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ummary" sheetId="2" state="visible" r:id="rId4"/>
    <sheet name="1. Control Room Space" sheetId="3" state="visible" r:id="rId5"/>
    <sheet name="2. UAV Procurement" sheetId="4" state="visible" r:id="rId6"/>
    <sheet name="3. Software Dev &amp; Deploy" sheetId="5" state="visible" r:id="rId7"/>
    <sheet name="4. Vehicle Procurement" sheetId="6" state="visible" r:id="rId8"/>
    <sheet name="5. Training &amp; Capacity" sheetId="7" state="visible" r:id="rId9"/>
    <sheet name="6. Project Management" sheetId="8" state="visible" r:id="rId10"/>
    <sheet name="7. Contingenc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<sst xmlns="http://schemas.openxmlformats.org/spreadsheetml/2006/main" count="167" uniqueCount="85">
  <si>
    <t xml:space="preserve">Ghana National Gas Company (GNGC) — Integrated Control Room Budget: Assumptions &amp; Controls</t>
  </si>
  <si>
    <t xml:space="preserve">Edit the yellow cells below (Subtotal and VAT Rate). Every cost-centre sheet recalculates automatically from these values.</t>
  </si>
  <si>
    <t xml:space="preserve">Global Assumption</t>
  </si>
  <si>
    <t xml:space="preserve">Value</t>
  </si>
  <si>
    <t xml:space="preserve">Notes</t>
  </si>
  <si>
    <t xml:space="preserve">Blended VAT / NHIL / GETFund rate (indicative)</t>
  </si>
  <si>
    <t xml:space="preserve">Used only to split each tax-inclusive subtotal into Net Cost + Tax on the cost-centre sheets. Adjust to GNGC's actual blended rate if different.</t>
  </si>
  <si>
    <t xml:space="preserve">Target Grand Total (tax-inclusive, GH¢)</t>
  </si>
  <si>
    <t xml:space="preserve">Reference figure only — for information. The actual project total is the sum of the seven Subtotal cells below.</t>
  </si>
  <si>
    <t xml:space="preserve">Cost Centre</t>
  </si>
  <si>
    <t xml:space="preserve">Subtotal — GH¢ (tax-inclusive)</t>
  </si>
  <si>
    <t xml:space="preserve">% of Total</t>
  </si>
  <si>
    <t xml:space="preserve">Linked Sheet</t>
  </si>
  <si>
    <t xml:space="preserve">1. Control Room Space Re-Engineering — Fixtures &amp; Fittings</t>
  </si>
  <si>
    <t xml:space="preserve">1. Control Room Space</t>
  </si>
  <si>
    <t xml:space="preserve">2. Procurement of UAVs (Long-Range &amp; Short-Range)</t>
  </si>
  <si>
    <t xml:space="preserve">2. UAV Procurement</t>
  </si>
  <si>
    <t xml:space="preserve">3. Software Development and Deployment</t>
  </si>
  <si>
    <t xml:space="preserve">3. Software Dev &amp; Deploy</t>
  </si>
  <si>
    <t xml:space="preserve">4. Procurement of Vehicles (Pick-Up)</t>
  </si>
  <si>
    <t xml:space="preserve">4. Vehicle Procurement</t>
  </si>
  <si>
    <t xml:space="preserve">5. Training and Capacity Building</t>
  </si>
  <si>
    <t xml:space="preserve">5. Training &amp; Capacity</t>
  </si>
  <si>
    <t xml:space="preserve">6. Project Management</t>
  </si>
  <si>
    <t xml:space="preserve">7. Contingency</t>
  </si>
  <si>
    <t xml:space="preserve">GRAND TOTAL — Integrated Control Room Budget</t>
  </si>
  <si>
    <t xml:space="preserve">Variance vs Target Grand Total</t>
  </si>
  <si>
    <t xml:space="preserve">Should read GH¢0 when the seven subtotals are set to reconcile with the target total.</t>
  </si>
  <si>
    <t xml:space="preserve">Tax Reconciliation (indicative, at blended rate above)</t>
  </si>
  <si>
    <t xml:space="preserve">Net Cost (excl. tax)</t>
  </si>
  <si>
    <t xml:space="preserve">Tax Element</t>
  </si>
  <si>
    <t xml:space="preserve">Gross (tax-inclusive)</t>
  </si>
  <si>
    <t xml:space="preserve">Total Project Budget</t>
  </si>
  <si>
    <t xml:space="preserve">Ghana National Gas Company (GNGC) — Integrated Control Room Budget: Summary</t>
  </si>
  <si>
    <t xml:space="preserve">All figures are pulled live from the Assumptions sheet and the seven cost-centre sheets. Tax inclusive, in Ghana Cedis (GH¢).</t>
  </si>
  <si>
    <t xml:space="preserve">Net Cost (GH¢)</t>
  </si>
  <si>
    <t xml:space="preserve">Tax (GH¢)</t>
  </si>
  <si>
    <t xml:space="preserve">Amount — GH¢ (tax-incl.)</t>
  </si>
  <si>
    <t xml:space="preserve">GRAND TOTAL</t>
  </si>
  <si>
    <t xml:space="preserve">To change any cost centre's total, edit the yellow Subtotal cell on the 'Assumptions' sheet — all figures above and on each cost-centre sheet update automatically.</t>
  </si>
  <si>
    <t xml:space="preserve">Line-item weights are fixed (%); amounts scale automatically from the Subtotal set on the Assumptions sheet.</t>
  </si>
  <si>
    <t xml:space="preserve">Cost Centre Subtotal (tax-inclusive, from Assumptions)</t>
  </si>
  <si>
    <t xml:space="preserve">VAT/NHIL/GETFund rate:</t>
  </si>
  <si>
    <t xml:space="preserve">Line Item</t>
  </si>
  <si>
    <t xml:space="preserve">Weight (%)</t>
  </si>
  <si>
    <t xml:space="preserve">Civil works &amp; interior renovation of control room space</t>
  </si>
  <si>
    <t xml:space="preserve">Raised access flooring &amp; fire suppression system</t>
  </si>
  <si>
    <t xml:space="preserve">Video wall, large-format displays &amp; mounting systems</t>
  </si>
  <si>
    <t xml:space="preserve">Ergonomic console furniture &amp; operator workstations</t>
  </si>
  <si>
    <t xml:space="preserve">Electrical rewiring, UPS &amp; backup power system</t>
  </si>
  <si>
    <t xml:space="preserve">HVAC &amp; environmental control upgrade</t>
  </si>
  <si>
    <t xml:space="preserve">Access control, CCTV &amp; physical security fit-out</t>
  </si>
  <si>
    <t xml:space="preserve">SUBTOTAL</t>
  </si>
  <si>
    <t xml:space="preserve">Long-range fixed-wing UAV units (x2) — WAGP corridor survey</t>
  </si>
  <si>
    <t xml:space="preserve">Short-range multirotor UAV units (x4) — site &amp; incident response</t>
  </si>
  <si>
    <t xml:space="preserve">Payload sensors: thermal, methane-sensing &amp; optical cameras</t>
  </si>
  <si>
    <t xml:space="preserve">Ground control stations &amp; data-link equipment</t>
  </si>
  <si>
    <t xml:space="preserve">Spare parts, batteries &amp; maintenance kits</t>
  </si>
  <si>
    <t xml:space="preserve">UAV pilot operator training &amp; certification</t>
  </si>
  <si>
    <t xml:space="preserve">Import duties, clearing &amp; logistics (UAV-specific)</t>
  </si>
  <si>
    <t xml:space="preserve">GasGuard Fusion platform — core development</t>
  </si>
  <si>
    <t xml:space="preserve">SCADA/CPM integration &amp; mass-balance reconciliation module</t>
  </si>
  <si>
    <t xml:space="preserve">AI/ML anomaly-detection model development &amp; training</t>
  </si>
  <si>
    <t xml:space="preserve">Control-room dashboard &amp; field mobile app development</t>
  </si>
  <si>
    <t xml:space="preserve">Cloud/server infrastructure, hosting &amp; licensing (Year 1)</t>
  </si>
  <si>
    <t xml:space="preserve">Cybersecurity hardening &amp; OT/IT network integration</t>
  </si>
  <si>
    <t xml:space="preserve">System testing, QA &amp; deployment</t>
  </si>
  <si>
    <t xml:space="preserve">4x4 double-cab pick-up trucks (x2 units)</t>
  </si>
  <si>
    <t xml:space="preserve">Vehicle branding, radio/GPS &amp; field-comms fit-out</t>
  </si>
  <si>
    <t xml:space="preserve">Registration, insurance &amp; road-worthiness licensing</t>
  </si>
  <si>
    <t xml:space="preserve">Spare tyres, recovery &amp; tool kits</t>
  </si>
  <si>
    <t xml:space="preserve">Control room operations &amp; dashboard-use training</t>
  </si>
  <si>
    <t xml:space="preserve">UAV pilot certification programme</t>
  </si>
  <si>
    <t xml:space="preserve">Software/platform administrator training</t>
  </si>
  <si>
    <t xml:space="preserve">Field technician &amp; OT/IT integration training</t>
  </si>
  <si>
    <t xml:space="preserve">Training materials, venue &amp; facilitation costs</t>
  </si>
  <si>
    <t xml:space="preserve">Study tour / knowledge-exchange with peer operator</t>
  </si>
  <si>
    <t xml:space="preserve">Project manager &amp; core project team fees (12 months)</t>
  </si>
  <si>
    <t xml:space="preserve">Site supervision &amp; QA/QC oversight</t>
  </si>
  <si>
    <t xml:space="preserve">Documentation, reporting &amp; change management</t>
  </si>
  <si>
    <t xml:space="preserve">Stakeholder engagement &amp; NPA/regulatory coordination</t>
  </si>
  <si>
    <t xml:space="preserve">PM software/tools, communications &amp; travel</t>
  </si>
  <si>
    <t xml:space="preserve">Price escalation contingency</t>
  </si>
  <si>
    <t xml:space="preserve">Currency / FX fluctuation buffer (USD-denominated hardware)</t>
  </si>
  <si>
    <t xml:space="preserve">Unforeseen scope &amp; technical risk allowance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</si>
</sst>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i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FFFF00"/>
        <bgColor rgb="FFFFFF00"/>
      </patternFill>
    </fill>
    <fill>
      <patternFill patternType="solid">
        <fgColor rgb="FF203864"/>
        <bgColor rgb="FF1F4E78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5"/>
    </row>
    <row r="5" customFormat="false" ht="30" hidden="false" customHeight="true" outlineLevel="0" collapsed="false">
      <c r="A5" s="6" t="s">
        <v>5</v>
      </c>
      <c r="B5" s="7" t="n">
        <v>0.15</v>
      </c>
      <c r="C5" s="8" t="s">
        <v>6</v>
      </c>
      <c r="D5" s="8"/>
    </row>
    <row r="6" customFormat="false" ht="22.35" hidden="false" customHeight="true" outlineLevel="0" collapsed="false">
      <c r="A6" s="6" t="s">
        <v>7</v>
      </c>
      <c r="B6" s="9" t="n">
        <v>16000000</v>
      </c>
      <c r="C6" s="8" t="s">
        <v>8</v>
      </c>
      <c r="D6" s="8"/>
    </row>
    <row r="8" customFormat="false" ht="25.5" hidden="false" customHeight="true" outlineLevel="0" collapsed="false">
      <c r="A8" s="10" t="s">
        <v>9</v>
      </c>
      <c r="B8" s="10" t="s">
        <v>10</v>
      </c>
      <c r="C8" s="10" t="s">
        <v>11</v>
      </c>
      <c r="D8" s="10" t="s">
        <v>12</v>
      </c>
    </row>
    <row r="9" customFormat="false" ht="15" hidden="false" customHeight="false" outlineLevel="0" collapsed="false">
      <c r="A9" s="6" t="s">
        <v>13</v>
      </c>
      <c r="B9" s="11" t="n">
        <v>3200000</v>
      </c>
      <c r="C9" s="12" t="n">
        <f aca="false">B9/$B$16</f>
        <v>0.2</v>
      </c>
      <c r="D9" s="13" t="s">
        <v>14</v>
      </c>
    </row>
    <row r="10" customFormat="false" ht="15" hidden="false" customHeight="false" outlineLevel="0" collapsed="false">
      <c r="A10" s="6" t="s">
        <v>15</v>
      </c>
      <c r="B10" s="11" t="n">
        <v>3600000</v>
      </c>
      <c r="C10" s="12" t="n">
        <f aca="false">B10/$B$16</f>
        <v>0.225</v>
      </c>
      <c r="D10" s="13" t="s">
        <v>16</v>
      </c>
    </row>
    <row r="11" customFormat="false" ht="15" hidden="false" customHeight="false" outlineLevel="0" collapsed="false">
      <c r="A11" s="6" t="s">
        <v>17</v>
      </c>
      <c r="B11" s="11" t="n">
        <v>4000000</v>
      </c>
      <c r="C11" s="12" t="n">
        <f aca="false">B11/$B$16</f>
        <v>0.25</v>
      </c>
      <c r="D11" s="13" t="s">
        <v>18</v>
      </c>
    </row>
    <row r="12" customFormat="false" ht="15" hidden="false" customHeight="false" outlineLevel="0" collapsed="false">
      <c r="A12" s="6" t="s">
        <v>19</v>
      </c>
      <c r="B12" s="11" t="n">
        <v>1200000</v>
      </c>
      <c r="C12" s="12" t="n">
        <f aca="false">B12/$B$16</f>
        <v>0.075</v>
      </c>
      <c r="D12" s="13" t="s">
        <v>20</v>
      </c>
    </row>
    <row r="13" customFormat="false" ht="15" hidden="false" customHeight="false" outlineLevel="0" collapsed="false">
      <c r="A13" s="6" t="s">
        <v>21</v>
      </c>
      <c r="B13" s="11" t="n">
        <v>1200000</v>
      </c>
      <c r="C13" s="12" t="n">
        <f aca="false">B13/$B$16</f>
        <v>0.075</v>
      </c>
      <c r="D13" s="13" t="s">
        <v>22</v>
      </c>
    </row>
    <row r="14" customFormat="false" ht="15" hidden="false" customHeight="false" outlineLevel="0" collapsed="false">
      <c r="A14" s="6" t="s">
        <v>23</v>
      </c>
      <c r="B14" s="11" t="n">
        <v>1600000</v>
      </c>
      <c r="C14" s="12" t="n">
        <f aca="false">B14/$B$16</f>
        <v>0.1</v>
      </c>
      <c r="D14" s="13" t="s">
        <v>23</v>
      </c>
    </row>
    <row r="15" customFormat="false" ht="15" hidden="false" customHeight="false" outlineLevel="0" collapsed="false">
      <c r="A15" s="6" t="s">
        <v>24</v>
      </c>
      <c r="B15" s="11" t="n">
        <v>1200000</v>
      </c>
      <c r="C15" s="12" t="n">
        <f aca="false">B15/$B$16</f>
        <v>0.075</v>
      </c>
      <c r="D15" s="13" t="s">
        <v>24</v>
      </c>
    </row>
    <row r="16" customFormat="false" ht="15" hidden="false" customHeight="false" outlineLevel="0" collapsed="false">
      <c r="A16" s="14" t="s">
        <v>25</v>
      </c>
      <c r="B16" s="15" t="n">
        <f aca="false">SUM(B9:B15)</f>
        <v>16000000</v>
      </c>
      <c r="C16" s="16" t="n">
        <f aca="false">SUM(C9:C15)</f>
        <v>1</v>
      </c>
      <c r="D16" s="17"/>
    </row>
    <row r="17" customFormat="false" ht="15" hidden="false" customHeight="false" outlineLevel="0" collapsed="false">
      <c r="A17" s="18" t="s">
        <v>26</v>
      </c>
      <c r="B17" s="19" t="n">
        <f aca="false">B16-B6</f>
        <v>0</v>
      </c>
      <c r="C17" s="20" t="s">
        <v>27</v>
      </c>
      <c r="D17" s="20"/>
    </row>
    <row r="20" customFormat="false" ht="15" hidden="false" customHeight="false" outlineLevel="0" collapsed="false">
      <c r="A20" s="21" t="s">
        <v>28</v>
      </c>
      <c r="B20" s="21"/>
      <c r="C20" s="21"/>
      <c r="D20" s="21"/>
    </row>
    <row r="21" customFormat="false" ht="15" hidden="false" customHeight="false" outlineLevel="0" collapsed="false">
      <c r="A21" s="10"/>
      <c r="B21" s="10" t="s">
        <v>29</v>
      </c>
      <c r="C21" s="10" t="s">
        <v>30</v>
      </c>
      <c r="D21" s="10" t="s">
        <v>31</v>
      </c>
    </row>
    <row r="22" customFormat="false" ht="15" hidden="false" customHeight="false" outlineLevel="0" collapsed="false">
      <c r="A22" s="6" t="s">
        <v>32</v>
      </c>
      <c r="B22" s="9" t="n">
        <f aca="false">B16/(1+$B$5)</f>
        <v>13913043.4782609</v>
      </c>
      <c r="C22" s="9" t="n">
        <f aca="false">D22-B22</f>
        <v>2086956.52173913</v>
      </c>
      <c r="D22" s="9" t="n">
        <f aca="false">B16</f>
        <v>16000000</v>
      </c>
    </row>
  </sheetData>
  <mergeCells count="7">
    <mergeCell ref="A1:D1"/>
    <mergeCell ref="A2:D2"/>
    <mergeCell ref="C4:D4"/>
    <mergeCell ref="C5:D5"/>
    <mergeCell ref="C6:D6"/>
    <mergeCell ref="C17:D17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33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34</v>
      </c>
      <c r="B2" s="2"/>
      <c r="C2" s="2"/>
      <c r="D2" s="2"/>
      <c r="E2" s="2"/>
    </row>
    <row r="4" customFormat="false" ht="25.5" hidden="false" customHeight="true" outlineLevel="0" collapsed="false">
      <c r="A4" s="10" t="s">
        <v>9</v>
      </c>
      <c r="B4" s="10" t="s">
        <v>35</v>
      </c>
      <c r="C4" s="10" t="s">
        <v>36</v>
      </c>
      <c r="D4" s="10" t="s">
        <v>37</v>
      </c>
      <c r="E4" s="10" t="s">
        <v>11</v>
      </c>
    </row>
    <row r="5" customFormat="false" ht="15" hidden="false" customHeight="false" outlineLevel="0" collapsed="false">
      <c r="A5" s="6" t="s">
        <v>13</v>
      </c>
      <c r="B5" s="22" t="n">
        <f aca="false">'1. Control Room Space'!C14</f>
        <v>2782608.69565217</v>
      </c>
      <c r="C5" s="22" t="n">
        <f aca="false">'1. Control Room Space'!D14</f>
        <v>417391.304347826</v>
      </c>
      <c r="D5" s="22" t="n">
        <f aca="false">'1. Control Room Space'!E14</f>
        <v>3200000</v>
      </c>
      <c r="E5" s="12" t="n">
        <f aca="false">D5/$D$12</f>
        <v>0.2</v>
      </c>
    </row>
    <row r="6" customFormat="false" ht="15" hidden="false" customHeight="false" outlineLevel="0" collapsed="false">
      <c r="A6" s="6" t="s">
        <v>15</v>
      </c>
      <c r="B6" s="22" t="n">
        <f aca="false">'2. UAV Procurement'!C14</f>
        <v>3130434.7826087</v>
      </c>
      <c r="C6" s="22" t="n">
        <f aca="false">'2. UAV Procurement'!D14</f>
        <v>469565.217391304</v>
      </c>
      <c r="D6" s="22" t="n">
        <f aca="false">'2. UAV Procurement'!E14</f>
        <v>3600000</v>
      </c>
      <c r="E6" s="12" t="n">
        <f aca="false">D6/$D$12</f>
        <v>0.225</v>
      </c>
    </row>
    <row r="7" customFormat="false" ht="15" hidden="false" customHeight="false" outlineLevel="0" collapsed="false">
      <c r="A7" s="6" t="s">
        <v>17</v>
      </c>
      <c r="B7" s="22" t="n">
        <f aca="false">'3. Software Dev &amp; Deploy'!C14</f>
        <v>3478260.86956522</v>
      </c>
      <c r="C7" s="22" t="n">
        <f aca="false">'3. Software Dev &amp; Deploy'!D14</f>
        <v>521739.130434782</v>
      </c>
      <c r="D7" s="22" t="n">
        <f aca="false">'3. Software Dev &amp; Deploy'!E14</f>
        <v>4000000</v>
      </c>
      <c r="E7" s="12" t="n">
        <f aca="false">D7/$D$12</f>
        <v>0.25</v>
      </c>
    </row>
    <row r="8" customFormat="false" ht="15" hidden="false" customHeight="false" outlineLevel="0" collapsed="false">
      <c r="A8" s="6" t="s">
        <v>19</v>
      </c>
      <c r="B8" s="22" t="n">
        <f aca="false">'4. Vehicle Procurement'!C11</f>
        <v>1043478.26086957</v>
      </c>
      <c r="C8" s="22" t="n">
        <f aca="false">'4. Vehicle Procurement'!D11</f>
        <v>156521.739130435</v>
      </c>
      <c r="D8" s="22" t="n">
        <f aca="false">'4. Vehicle Procurement'!E11</f>
        <v>1200000</v>
      </c>
      <c r="E8" s="12" t="n">
        <f aca="false">D8/$D$12</f>
        <v>0.075</v>
      </c>
    </row>
    <row r="9" customFormat="false" ht="15" hidden="false" customHeight="false" outlineLevel="0" collapsed="false">
      <c r="A9" s="6" t="s">
        <v>21</v>
      </c>
      <c r="B9" s="22" t="n">
        <f aca="false">'5. Training &amp; Capacity'!C13</f>
        <v>1043478.26086957</v>
      </c>
      <c r="C9" s="22" t="n">
        <f aca="false">'5. Training &amp; Capacity'!D13</f>
        <v>156521.739130435</v>
      </c>
      <c r="D9" s="22" t="n">
        <f aca="false">'5. Training &amp; Capacity'!E13</f>
        <v>1200000</v>
      </c>
      <c r="E9" s="12" t="n">
        <f aca="false">D9/$D$12</f>
        <v>0.075</v>
      </c>
    </row>
    <row r="10" customFormat="false" ht="15" hidden="false" customHeight="false" outlineLevel="0" collapsed="false">
      <c r="A10" s="6" t="s">
        <v>23</v>
      </c>
      <c r="B10" s="22" t="n">
        <f aca="false">'6. Project Management'!C12</f>
        <v>1391304.34782609</v>
      </c>
      <c r="C10" s="22" t="n">
        <f aca="false">'6. Project Management'!D12</f>
        <v>208695.652173913</v>
      </c>
      <c r="D10" s="22" t="n">
        <f aca="false">'6. Project Management'!E12</f>
        <v>1600000</v>
      </c>
      <c r="E10" s="12" t="n">
        <f aca="false">D10/$D$12</f>
        <v>0.1</v>
      </c>
    </row>
    <row r="11" customFormat="false" ht="15" hidden="false" customHeight="false" outlineLevel="0" collapsed="false">
      <c r="A11" s="6" t="s">
        <v>24</v>
      </c>
      <c r="B11" s="22" t="n">
        <f aca="false">'7. Contingency'!C10</f>
        <v>1043478.26086957</v>
      </c>
      <c r="C11" s="22" t="n">
        <f aca="false">'7. Contingency'!D10</f>
        <v>156521.739130435</v>
      </c>
      <c r="D11" s="22" t="n">
        <f aca="false">'7. Contingency'!E10</f>
        <v>1200000</v>
      </c>
      <c r="E11" s="12" t="n">
        <f aca="false">D11/$D$12</f>
        <v>0.075</v>
      </c>
    </row>
    <row r="12" customFormat="false" ht="15" hidden="false" customHeight="false" outlineLevel="0" collapsed="false">
      <c r="A12" s="14" t="s">
        <v>38</v>
      </c>
      <c r="B12" s="15" t="n">
        <f aca="false">SUM(B5:B11)</f>
        <v>13913043.4782609</v>
      </c>
      <c r="C12" s="15" t="n">
        <f aca="false">SUM(C5:C11)</f>
        <v>2086956.52173913</v>
      </c>
      <c r="D12" s="15" t="n">
        <f aca="false">SUM(D5:D11)</f>
        <v>16000000</v>
      </c>
      <c r="E12" s="17"/>
    </row>
    <row r="14" customFormat="false" ht="22.35" hidden="false" customHeight="true" outlineLevel="0" collapsed="false">
      <c r="A14" s="8" t="s">
        <v>39</v>
      </c>
      <c r="B14" s="8"/>
      <c r="C14" s="8"/>
      <c r="D14" s="8"/>
      <c r="E14" s="8"/>
    </row>
  </sheetData>
  <mergeCells count="3">
    <mergeCell ref="A1:E1"/>
    <mergeCell ref="A2:E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Assumptions!$B$9</f>
        <v>3200000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45</v>
      </c>
      <c r="B7" s="7" t="n">
        <v>0.3</v>
      </c>
      <c r="C7" s="9" t="n">
        <f aca="false">E7/(1+$E$4)</f>
        <v>834782.608695652</v>
      </c>
      <c r="D7" s="9" t="n">
        <f aca="false">E7-C7</f>
        <v>125217.391304348</v>
      </c>
      <c r="E7" s="9" t="n">
        <f aca="false">B7*$B$4</f>
        <v>960000</v>
      </c>
      <c r="F7" s="28"/>
    </row>
    <row r="8" customFormat="false" ht="30" hidden="false" customHeight="true" outlineLevel="0" collapsed="false">
      <c r="A8" s="27" t="s">
        <v>46</v>
      </c>
      <c r="B8" s="7" t="n">
        <v>0.15</v>
      </c>
      <c r="C8" s="9" t="n">
        <f aca="false">E8/(1+$E$4)</f>
        <v>417391.304347826</v>
      </c>
      <c r="D8" s="9" t="n">
        <f aca="false">E8-C8</f>
        <v>62608.6956521739</v>
      </c>
      <c r="E8" s="9" t="n">
        <f aca="false">B8*$B$4</f>
        <v>480000</v>
      </c>
      <c r="F8" s="28"/>
    </row>
    <row r="9" customFormat="false" ht="30" hidden="false" customHeight="true" outlineLevel="0" collapsed="false">
      <c r="A9" s="27" t="s">
        <v>47</v>
      </c>
      <c r="B9" s="7" t="n">
        <v>0.2</v>
      </c>
      <c r="C9" s="9" t="n">
        <f aca="false">E9/(1+$E$4)</f>
        <v>556521.739130435</v>
      </c>
      <c r="D9" s="9" t="n">
        <f aca="false">E9-C9</f>
        <v>83478.2608695652</v>
      </c>
      <c r="E9" s="9" t="n">
        <f aca="false">B9*$B$4</f>
        <v>640000</v>
      </c>
      <c r="F9" s="28"/>
    </row>
    <row r="10" customFormat="false" ht="30" hidden="false" customHeight="true" outlineLevel="0" collapsed="false">
      <c r="A10" s="27" t="s">
        <v>48</v>
      </c>
      <c r="B10" s="7" t="n">
        <v>0.15</v>
      </c>
      <c r="C10" s="9" t="n">
        <f aca="false">E10/(1+$E$4)</f>
        <v>417391.304347826</v>
      </c>
      <c r="D10" s="9" t="n">
        <f aca="false">E10-C10</f>
        <v>62608.6956521739</v>
      </c>
      <c r="E10" s="9" t="n">
        <f aca="false">B10*$B$4</f>
        <v>480000</v>
      </c>
      <c r="F10" s="28"/>
    </row>
    <row r="11" customFormat="false" ht="30" hidden="false" customHeight="true" outlineLevel="0" collapsed="false">
      <c r="A11" s="27" t="s">
        <v>49</v>
      </c>
      <c r="B11" s="7" t="n">
        <v>0.1</v>
      </c>
      <c r="C11" s="9" t="n">
        <f aca="false">E11/(1+$E$4)</f>
        <v>278260.869565217</v>
      </c>
      <c r="D11" s="9" t="n">
        <f aca="false">E11-C11</f>
        <v>41739.1304347826</v>
      </c>
      <c r="E11" s="9" t="n">
        <f aca="false">B11*$B$4</f>
        <v>320000</v>
      </c>
      <c r="F11" s="28"/>
    </row>
    <row r="12" customFormat="false" ht="30" hidden="false" customHeight="true" outlineLevel="0" collapsed="false">
      <c r="A12" s="27" t="s">
        <v>50</v>
      </c>
      <c r="B12" s="7" t="n">
        <v>0.05</v>
      </c>
      <c r="C12" s="9" t="n">
        <f aca="false">E12/(1+$E$4)</f>
        <v>139130.434782609</v>
      </c>
      <c r="D12" s="9" t="n">
        <f aca="false">E12-C12</f>
        <v>20869.5652173913</v>
      </c>
      <c r="E12" s="9" t="n">
        <f aca="false">B12*$B$4</f>
        <v>160000</v>
      </c>
      <c r="F12" s="28"/>
    </row>
    <row r="13" customFormat="false" ht="30" hidden="false" customHeight="true" outlineLevel="0" collapsed="false">
      <c r="A13" s="27" t="s">
        <v>51</v>
      </c>
      <c r="B13" s="7" t="n">
        <v>0.05</v>
      </c>
      <c r="C13" s="9" t="n">
        <f aca="false">E13/(1+$E$4)</f>
        <v>139130.434782609</v>
      </c>
      <c r="D13" s="9" t="n">
        <f aca="false">E13-C13</f>
        <v>20869.5652173913</v>
      </c>
      <c r="E13" s="9" t="n">
        <f aca="false">B13*$B$4</f>
        <v>160000</v>
      </c>
      <c r="F13" s="28"/>
    </row>
    <row r="14" customFormat="false" ht="15" hidden="false" customHeight="false" outlineLevel="0" collapsed="false">
      <c r="A14" s="29" t="s">
        <v>52</v>
      </c>
      <c r="B14" s="30" t="n">
        <f aca="false">SUM(B7:B13)</f>
        <v>1</v>
      </c>
      <c r="C14" s="31" t="n">
        <f aca="false">SUM(C7:C13)</f>
        <v>2782608.69565217</v>
      </c>
      <c r="D14" s="31" t="n">
        <f aca="false">SUM(D7:D13)</f>
        <v>417391.304347826</v>
      </c>
      <c r="E14" s="31" t="n">
        <f aca="false">SUM(E7:E13)</f>
        <v>3200000</v>
      </c>
      <c r="F14" s="32"/>
    </row>
    <row r="15" customFormat="false" ht="15" hidden="false" customHeight="false" outlineLevel="0" collapsed="false">
      <c r="A15" s="33" t="str">
        <f aca="false">IF(ROUND(B14,4)=1,"Weights check OK (100%)","WARNING: line-item weights do not sum to 100% — adjust yellow cells")</f>
        <v>Weights check OK (100%)</v>
      </c>
      <c r="B15" s="33"/>
      <c r="C15" s="33"/>
      <c r="D15" s="33"/>
      <c r="E15" s="33"/>
      <c r="F15" s="33"/>
    </row>
  </sheetData>
  <mergeCells count="4">
    <mergeCell ref="A1:F1"/>
    <mergeCell ref="A2:F2"/>
    <mergeCell ref="B4:C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Assumptions!$B$10</f>
        <v>3600000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53</v>
      </c>
      <c r="B7" s="7" t="n">
        <v>0.35</v>
      </c>
      <c r="C7" s="9" t="n">
        <f aca="false">E7/(1+$E$4)</f>
        <v>1095652.17391304</v>
      </c>
      <c r="D7" s="9" t="n">
        <f aca="false">E7-C7</f>
        <v>164347.826086957</v>
      </c>
      <c r="E7" s="9" t="n">
        <f aca="false">B7*$B$4</f>
        <v>1260000</v>
      </c>
      <c r="F7" s="28"/>
    </row>
    <row r="8" customFormat="false" ht="30" hidden="false" customHeight="true" outlineLevel="0" collapsed="false">
      <c r="A8" s="27" t="s">
        <v>54</v>
      </c>
      <c r="B8" s="7" t="n">
        <v>0.2</v>
      </c>
      <c r="C8" s="9" t="n">
        <f aca="false">E8/(1+$E$4)</f>
        <v>626086.956521739</v>
      </c>
      <c r="D8" s="9" t="n">
        <f aca="false">E8-C8</f>
        <v>93913.0434782609</v>
      </c>
      <c r="E8" s="9" t="n">
        <f aca="false">B8*$B$4</f>
        <v>720000</v>
      </c>
      <c r="F8" s="28"/>
    </row>
    <row r="9" customFormat="false" ht="30" hidden="false" customHeight="true" outlineLevel="0" collapsed="false">
      <c r="A9" s="27" t="s">
        <v>55</v>
      </c>
      <c r="B9" s="7" t="n">
        <v>0.2</v>
      </c>
      <c r="C9" s="9" t="n">
        <f aca="false">E9/(1+$E$4)</f>
        <v>626086.956521739</v>
      </c>
      <c r="D9" s="9" t="n">
        <f aca="false">E9-C9</f>
        <v>93913.0434782609</v>
      </c>
      <c r="E9" s="9" t="n">
        <f aca="false">B9*$B$4</f>
        <v>720000</v>
      </c>
      <c r="F9" s="28"/>
    </row>
    <row r="10" customFormat="false" ht="30" hidden="false" customHeight="true" outlineLevel="0" collapsed="false">
      <c r="A10" s="27" t="s">
        <v>56</v>
      </c>
      <c r="B10" s="7" t="n">
        <v>0.1</v>
      </c>
      <c r="C10" s="9" t="n">
        <f aca="false">E10/(1+$E$4)</f>
        <v>313043.47826087</v>
      </c>
      <c r="D10" s="9" t="n">
        <f aca="false">E10-C10</f>
        <v>46956.5217391304</v>
      </c>
      <c r="E10" s="9" t="n">
        <f aca="false">B10*$B$4</f>
        <v>360000</v>
      </c>
      <c r="F10" s="28"/>
    </row>
    <row r="11" customFormat="false" ht="30" hidden="false" customHeight="true" outlineLevel="0" collapsed="false">
      <c r="A11" s="27" t="s">
        <v>57</v>
      </c>
      <c r="B11" s="7" t="n">
        <v>0.08</v>
      </c>
      <c r="C11" s="9" t="n">
        <f aca="false">E11/(1+$E$4)</f>
        <v>250434.782608696</v>
      </c>
      <c r="D11" s="9" t="n">
        <f aca="false">E11-C11</f>
        <v>37565.2173913043</v>
      </c>
      <c r="E11" s="9" t="n">
        <f aca="false">B11*$B$4</f>
        <v>288000</v>
      </c>
      <c r="F11" s="28"/>
    </row>
    <row r="12" customFormat="false" ht="30" hidden="false" customHeight="true" outlineLevel="0" collapsed="false">
      <c r="A12" s="27" t="s">
        <v>58</v>
      </c>
      <c r="B12" s="7" t="n">
        <v>0.04</v>
      </c>
      <c r="C12" s="9" t="n">
        <f aca="false">E12/(1+$E$4)</f>
        <v>125217.391304348</v>
      </c>
      <c r="D12" s="9" t="n">
        <f aca="false">E12-C12</f>
        <v>18782.6086956522</v>
      </c>
      <c r="E12" s="9" t="n">
        <f aca="false">B12*$B$4</f>
        <v>144000</v>
      </c>
      <c r="F12" s="28"/>
    </row>
    <row r="13" customFormat="false" ht="30" hidden="false" customHeight="true" outlineLevel="0" collapsed="false">
      <c r="A13" s="27" t="s">
        <v>59</v>
      </c>
      <c r="B13" s="7" t="n">
        <v>0.03</v>
      </c>
      <c r="C13" s="9" t="n">
        <f aca="false">E13/(1+$E$4)</f>
        <v>93913.0434782609</v>
      </c>
      <c r="D13" s="9" t="n">
        <f aca="false">E13-C13</f>
        <v>14086.9565217391</v>
      </c>
      <c r="E13" s="9" t="n">
        <f aca="false">B13*$B$4</f>
        <v>108000</v>
      </c>
      <c r="F13" s="28"/>
    </row>
    <row r="14" customFormat="false" ht="15" hidden="false" customHeight="false" outlineLevel="0" collapsed="false">
      <c r="A14" s="29" t="s">
        <v>52</v>
      </c>
      <c r="B14" s="30" t="n">
        <f aca="false">SUM(B7:B13)</f>
        <v>1</v>
      </c>
      <c r="C14" s="31" t="n">
        <f aca="false">SUM(C7:C13)</f>
        <v>3130434.7826087</v>
      </c>
      <c r="D14" s="31" t="n">
        <f aca="false">SUM(D7:D13)</f>
        <v>469565.217391304</v>
      </c>
      <c r="E14" s="31" t="n">
        <f aca="false">SUM(E7:E13)</f>
        <v>3600000</v>
      </c>
      <c r="F14" s="32"/>
    </row>
    <row r="15" customFormat="false" ht="15" hidden="false" customHeight="false" outlineLevel="0" collapsed="false">
      <c r="A15" s="33" t="str">
        <f aca="false">IF(ROUND(B14,4)=1,"Weights check OK (100%)","WARNING: line-item weights do not sum to 100% — adjust yellow cells")</f>
        <v>Weights check OK (100%)</v>
      </c>
      <c r="B15" s="33"/>
      <c r="C15" s="33"/>
      <c r="D15" s="33"/>
      <c r="E15" s="33"/>
      <c r="F15" s="33"/>
    </row>
  </sheetData>
  <mergeCells count="4">
    <mergeCell ref="A1:F1"/>
    <mergeCell ref="A2:F2"/>
    <mergeCell ref="B4:C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Assumptions!$B$11</f>
        <v>4000000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60</v>
      </c>
      <c r="B7" s="7" t="n">
        <v>0.35</v>
      </c>
      <c r="C7" s="9" t="n">
        <f aca="false">E7/(1+$E$4)</f>
        <v>1217391.30434783</v>
      </c>
      <c r="D7" s="9" t="n">
        <f aca="false">E7-C7</f>
        <v>182608.695652174</v>
      </c>
      <c r="E7" s="9" t="n">
        <f aca="false">B7*$B$4</f>
        <v>1400000</v>
      </c>
      <c r="F7" s="28"/>
    </row>
    <row r="8" customFormat="false" ht="30" hidden="false" customHeight="true" outlineLevel="0" collapsed="false">
      <c r="A8" s="27" t="s">
        <v>61</v>
      </c>
      <c r="B8" s="7" t="n">
        <v>0.15</v>
      </c>
      <c r="C8" s="9" t="n">
        <f aca="false">E8/(1+$E$4)</f>
        <v>521739.130434783</v>
      </c>
      <c r="D8" s="9" t="n">
        <f aca="false">E8-C8</f>
        <v>78260.8695652174</v>
      </c>
      <c r="E8" s="9" t="n">
        <f aca="false">B8*$B$4</f>
        <v>600000</v>
      </c>
      <c r="F8" s="28"/>
    </row>
    <row r="9" customFormat="false" ht="30" hidden="false" customHeight="true" outlineLevel="0" collapsed="false">
      <c r="A9" s="27" t="s">
        <v>62</v>
      </c>
      <c r="B9" s="7" t="n">
        <v>0.2</v>
      </c>
      <c r="C9" s="9" t="n">
        <f aca="false">E9/(1+$E$4)</f>
        <v>695652.173913044</v>
      </c>
      <c r="D9" s="9" t="n">
        <f aca="false">E9-C9</f>
        <v>104347.826086956</v>
      </c>
      <c r="E9" s="9" t="n">
        <f aca="false">B9*$B$4</f>
        <v>800000</v>
      </c>
      <c r="F9" s="28"/>
    </row>
    <row r="10" customFormat="false" ht="30" hidden="false" customHeight="true" outlineLevel="0" collapsed="false">
      <c r="A10" s="27" t="s">
        <v>63</v>
      </c>
      <c r="B10" s="7" t="n">
        <v>0.1</v>
      </c>
      <c r="C10" s="9" t="n">
        <f aca="false">E10/(1+$E$4)</f>
        <v>347826.086956522</v>
      </c>
      <c r="D10" s="9" t="n">
        <f aca="false">E10-C10</f>
        <v>52173.9130434782</v>
      </c>
      <c r="E10" s="9" t="n">
        <f aca="false">B10*$B$4</f>
        <v>400000</v>
      </c>
      <c r="F10" s="28"/>
    </row>
    <row r="11" customFormat="false" ht="30" hidden="false" customHeight="true" outlineLevel="0" collapsed="false">
      <c r="A11" s="27" t="s">
        <v>64</v>
      </c>
      <c r="B11" s="7" t="n">
        <v>0.1</v>
      </c>
      <c r="C11" s="9" t="n">
        <f aca="false">E11/(1+$E$4)</f>
        <v>347826.086956522</v>
      </c>
      <c r="D11" s="9" t="n">
        <f aca="false">E11-C11</f>
        <v>52173.9130434782</v>
      </c>
      <c r="E11" s="9" t="n">
        <f aca="false">B11*$B$4</f>
        <v>400000</v>
      </c>
      <c r="F11" s="28"/>
    </row>
    <row r="12" customFormat="false" ht="30" hidden="false" customHeight="true" outlineLevel="0" collapsed="false">
      <c r="A12" s="27" t="s">
        <v>65</v>
      </c>
      <c r="B12" s="7" t="n">
        <v>0.05</v>
      </c>
      <c r="C12" s="9" t="n">
        <f aca="false">E12/(1+$E$4)</f>
        <v>173913.043478261</v>
      </c>
      <c r="D12" s="9" t="n">
        <f aca="false">E12-C12</f>
        <v>26086.9565217391</v>
      </c>
      <c r="E12" s="9" t="n">
        <f aca="false">B12*$B$4</f>
        <v>200000</v>
      </c>
      <c r="F12" s="28"/>
    </row>
    <row r="13" customFormat="false" ht="30" hidden="false" customHeight="true" outlineLevel="0" collapsed="false">
      <c r="A13" s="27" t="s">
        <v>66</v>
      </c>
      <c r="B13" s="7" t="n">
        <v>0.05</v>
      </c>
      <c r="C13" s="9" t="n">
        <f aca="false">E13/(1+$E$4)</f>
        <v>173913.043478261</v>
      </c>
      <c r="D13" s="9" t="n">
        <f aca="false">E13-C13</f>
        <v>26086.9565217391</v>
      </c>
      <c r="E13" s="9" t="n">
        <f aca="false">B13*$B$4</f>
        <v>200000</v>
      </c>
      <c r="F13" s="28"/>
    </row>
    <row r="14" customFormat="false" ht="15" hidden="false" customHeight="false" outlineLevel="0" collapsed="false">
      <c r="A14" s="29" t="s">
        <v>52</v>
      </c>
      <c r="B14" s="30" t="n">
        <f aca="false">SUM(B7:B13)</f>
        <v>1</v>
      </c>
      <c r="C14" s="31" t="n">
        <f aca="false">SUM(C7:C13)</f>
        <v>3478260.86956522</v>
      </c>
      <c r="D14" s="31" t="n">
        <f aca="false">SUM(D7:D13)</f>
        <v>521739.130434782</v>
      </c>
      <c r="E14" s="31" t="n">
        <f aca="false">SUM(E7:E13)</f>
        <v>4000000</v>
      </c>
      <c r="F14" s="32"/>
    </row>
    <row r="15" customFormat="false" ht="15" hidden="false" customHeight="false" outlineLevel="0" collapsed="false">
      <c r="A15" s="33" t="str">
        <f aca="false">IF(ROUND(B14,4)=1,"Weights check OK (100%)","WARNING: line-item weights do not sum to 100% — adjust yellow cells")</f>
        <v>Weights check OK (100%)</v>
      </c>
      <c r="B15" s="33"/>
      <c r="C15" s="33"/>
      <c r="D15" s="33"/>
      <c r="E15" s="33"/>
      <c r="F15" s="33"/>
    </row>
  </sheetData>
  <mergeCells count="4">
    <mergeCell ref="A1:F1"/>
    <mergeCell ref="A2:F2"/>
    <mergeCell ref="B4:C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Assumptions!$B$12</f>
        <v>1200000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67</v>
      </c>
      <c r="B7" s="7" t="n">
        <v>0.7</v>
      </c>
      <c r="C7" s="9" t="n">
        <f aca="false">E7/(1+$E$4)</f>
        <v>730434.782608696</v>
      </c>
      <c r="D7" s="9" t="n">
        <f aca="false">E7-C7</f>
        <v>109565.217391304</v>
      </c>
      <c r="E7" s="9" t="n">
        <f aca="false">B7*$B$4</f>
        <v>840000</v>
      </c>
      <c r="F7" s="28"/>
    </row>
    <row r="8" customFormat="false" ht="30" hidden="false" customHeight="true" outlineLevel="0" collapsed="false">
      <c r="A8" s="27" t="s">
        <v>68</v>
      </c>
      <c r="B8" s="7" t="n">
        <v>0.15</v>
      </c>
      <c r="C8" s="9" t="n">
        <f aca="false">E8/(1+$E$4)</f>
        <v>156521.739130435</v>
      </c>
      <c r="D8" s="9" t="n">
        <f aca="false">E8-C8</f>
        <v>23478.2608695652</v>
      </c>
      <c r="E8" s="9" t="n">
        <f aca="false">B8*$B$4</f>
        <v>180000</v>
      </c>
      <c r="F8" s="28"/>
    </row>
    <row r="9" customFormat="false" ht="30" hidden="false" customHeight="true" outlineLevel="0" collapsed="false">
      <c r="A9" s="27" t="s">
        <v>69</v>
      </c>
      <c r="B9" s="7" t="n">
        <v>0.1</v>
      </c>
      <c r="C9" s="9" t="n">
        <f aca="false">E9/(1+$E$4)</f>
        <v>104347.826086957</v>
      </c>
      <c r="D9" s="9" t="n">
        <f aca="false">E9-C9</f>
        <v>15652.1739130435</v>
      </c>
      <c r="E9" s="9" t="n">
        <f aca="false">B9*$B$4</f>
        <v>120000</v>
      </c>
      <c r="F9" s="28"/>
    </row>
    <row r="10" customFormat="false" ht="30" hidden="false" customHeight="true" outlineLevel="0" collapsed="false">
      <c r="A10" s="27" t="s">
        <v>70</v>
      </c>
      <c r="B10" s="7" t="n">
        <v>0.05</v>
      </c>
      <c r="C10" s="9" t="n">
        <f aca="false">E10/(1+$E$4)</f>
        <v>52173.9130434783</v>
      </c>
      <c r="D10" s="9" t="n">
        <f aca="false">E10-C10</f>
        <v>7826.08695652174</v>
      </c>
      <c r="E10" s="9" t="n">
        <f aca="false">B10*$B$4</f>
        <v>60000</v>
      </c>
      <c r="F10" s="28"/>
    </row>
    <row r="11" customFormat="false" ht="15" hidden="false" customHeight="false" outlineLevel="0" collapsed="false">
      <c r="A11" s="29" t="s">
        <v>52</v>
      </c>
      <c r="B11" s="30" t="n">
        <f aca="false">SUM(B7:B10)</f>
        <v>1</v>
      </c>
      <c r="C11" s="31" t="n">
        <f aca="false">SUM(C7:C10)</f>
        <v>1043478.26086957</v>
      </c>
      <c r="D11" s="31" t="n">
        <f aca="false">SUM(D7:D10)</f>
        <v>156521.739130435</v>
      </c>
      <c r="E11" s="31" t="n">
        <f aca="false">SUM(E7:E10)</f>
        <v>1200000</v>
      </c>
      <c r="F11" s="32"/>
    </row>
    <row r="12" customFormat="false" ht="15" hidden="false" customHeight="false" outlineLevel="0" collapsed="false">
      <c r="A12" s="33" t="str">
        <f aca="false">IF(ROUND(B11,4)=1,"Weights check OK (100%)","WARNING: line-item weights do not sum to 100% — adjust yellow cells")</f>
        <v>Weights check OK (100%)</v>
      </c>
      <c r="B12" s="33"/>
      <c r="C12" s="33"/>
      <c r="D12" s="33"/>
      <c r="E12" s="33"/>
      <c r="F12" s="33"/>
    </row>
  </sheetData>
  <mergeCells count="4">
    <mergeCell ref="A1:F1"/>
    <mergeCell ref="A2:F2"/>
    <mergeCell ref="B4:C4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Assumptions!$B$13</f>
        <v>1200000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71</v>
      </c>
      <c r="B7" s="7" t="n">
        <v>0.3</v>
      </c>
      <c r="C7" s="9" t="n">
        <f aca="false">E7/(1+$E$4)</f>
        <v>313043.47826087</v>
      </c>
      <c r="D7" s="9" t="n">
        <f aca="false">E7-C7</f>
        <v>46956.5217391304</v>
      </c>
      <c r="E7" s="9" t="n">
        <f aca="false">B7*$B$4</f>
        <v>360000</v>
      </c>
      <c r="F7" s="28"/>
    </row>
    <row r="8" customFormat="false" ht="30" hidden="false" customHeight="true" outlineLevel="0" collapsed="false">
      <c r="A8" s="27" t="s">
        <v>72</v>
      </c>
      <c r="B8" s="7" t="n">
        <v>0.2</v>
      </c>
      <c r="C8" s="9" t="n">
        <f aca="false">E8/(1+$E$4)</f>
        <v>208695.652173913</v>
      </c>
      <c r="D8" s="9" t="n">
        <f aca="false">E8-C8</f>
        <v>31304.3478260869</v>
      </c>
      <c r="E8" s="9" t="n">
        <f aca="false">B8*$B$4</f>
        <v>240000</v>
      </c>
      <c r="F8" s="28"/>
    </row>
    <row r="9" customFormat="false" ht="30" hidden="false" customHeight="true" outlineLevel="0" collapsed="false">
      <c r="A9" s="27" t="s">
        <v>73</v>
      </c>
      <c r="B9" s="7" t="n">
        <v>0.2</v>
      </c>
      <c r="C9" s="9" t="n">
        <f aca="false">E9/(1+$E$4)</f>
        <v>208695.652173913</v>
      </c>
      <c r="D9" s="9" t="n">
        <f aca="false">E9-C9</f>
        <v>31304.3478260869</v>
      </c>
      <c r="E9" s="9" t="n">
        <f aca="false">B9*$B$4</f>
        <v>240000</v>
      </c>
      <c r="F9" s="28"/>
    </row>
    <row r="10" customFormat="false" ht="30" hidden="false" customHeight="true" outlineLevel="0" collapsed="false">
      <c r="A10" s="27" t="s">
        <v>74</v>
      </c>
      <c r="B10" s="7" t="n">
        <v>0.15</v>
      </c>
      <c r="C10" s="9" t="n">
        <f aca="false">E10/(1+$E$4)</f>
        <v>156521.739130435</v>
      </c>
      <c r="D10" s="9" t="n">
        <f aca="false">E10-C10</f>
        <v>23478.2608695652</v>
      </c>
      <c r="E10" s="9" t="n">
        <f aca="false">B10*$B$4</f>
        <v>180000</v>
      </c>
      <c r="F10" s="28"/>
    </row>
    <row r="11" customFormat="false" ht="30" hidden="false" customHeight="true" outlineLevel="0" collapsed="false">
      <c r="A11" s="27" t="s">
        <v>75</v>
      </c>
      <c r="B11" s="7" t="n">
        <v>0.1</v>
      </c>
      <c r="C11" s="9" t="n">
        <f aca="false">E11/(1+$E$4)</f>
        <v>104347.826086957</v>
      </c>
      <c r="D11" s="9" t="n">
        <f aca="false">E11-C11</f>
        <v>15652.1739130435</v>
      </c>
      <c r="E11" s="9" t="n">
        <f aca="false">B11*$B$4</f>
        <v>120000</v>
      </c>
      <c r="F11" s="28"/>
    </row>
    <row r="12" customFormat="false" ht="30" hidden="false" customHeight="true" outlineLevel="0" collapsed="false">
      <c r="A12" s="27" t="s">
        <v>76</v>
      </c>
      <c r="B12" s="7" t="n">
        <v>0.05</v>
      </c>
      <c r="C12" s="9" t="n">
        <f aca="false">E12/(1+$E$4)</f>
        <v>52173.9130434783</v>
      </c>
      <c r="D12" s="9" t="n">
        <f aca="false">E12-C12</f>
        <v>7826.08695652174</v>
      </c>
      <c r="E12" s="9" t="n">
        <f aca="false">B12*$B$4</f>
        <v>60000</v>
      </c>
      <c r="F12" s="28"/>
    </row>
    <row r="13" customFormat="false" ht="15" hidden="false" customHeight="false" outlineLevel="0" collapsed="false">
      <c r="A13" s="29" t="s">
        <v>52</v>
      </c>
      <c r="B13" s="30" t="n">
        <f aca="false">SUM(B7:B12)</f>
        <v>1</v>
      </c>
      <c r="C13" s="31" t="n">
        <f aca="false">SUM(C7:C12)</f>
        <v>1043478.26086957</v>
      </c>
      <c r="D13" s="31" t="n">
        <f aca="false">SUM(D7:D12)</f>
        <v>156521.739130435</v>
      </c>
      <c r="E13" s="31" t="n">
        <f aca="false">SUM(E7:E12)</f>
        <v>1200000</v>
      </c>
      <c r="F13" s="32"/>
    </row>
    <row r="14" customFormat="false" ht="15" hidden="false" customHeight="false" outlineLevel="0" collapsed="false">
      <c r="A14" s="33" t="str">
        <f aca="false">IF(ROUND(B13,4)=1,"Weights check OK (100%)","WARNING: line-item weights do not sum to 100% — adjust yellow cells")</f>
        <v>Weights check OK (100%)</v>
      </c>
      <c r="B14" s="33"/>
      <c r="C14" s="33"/>
      <c r="D14" s="33"/>
      <c r="E14" s="33"/>
      <c r="F14" s="33"/>
    </row>
  </sheetData>
  <mergeCells count="4">
    <mergeCell ref="A1:F1"/>
    <mergeCell ref="A2:F2"/>
    <mergeCell ref="B4:C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Assumptions!$B$14</f>
        <v>1600000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77</v>
      </c>
      <c r="B7" s="7" t="n">
        <v>0.4</v>
      </c>
      <c r="C7" s="9" t="n">
        <f aca="false">E7/(1+$E$4)</f>
        <v>556521.739130435</v>
      </c>
      <c r="D7" s="9" t="n">
        <f aca="false">E7-C7</f>
        <v>83478.2608695652</v>
      </c>
      <c r="E7" s="9" t="n">
        <f aca="false">B7*$B$4</f>
        <v>640000</v>
      </c>
      <c r="F7" s="28"/>
    </row>
    <row r="8" customFormat="false" ht="30" hidden="false" customHeight="true" outlineLevel="0" collapsed="false">
      <c r="A8" s="27" t="s">
        <v>78</v>
      </c>
      <c r="B8" s="7" t="n">
        <v>0.2</v>
      </c>
      <c r="C8" s="9" t="n">
        <f aca="false">E8/(1+$E$4)</f>
        <v>278260.869565217</v>
      </c>
      <c r="D8" s="9" t="n">
        <f aca="false">E8-C8</f>
        <v>41739.1304347826</v>
      </c>
      <c r="E8" s="9" t="n">
        <f aca="false">B8*$B$4</f>
        <v>320000</v>
      </c>
      <c r="F8" s="28"/>
    </row>
    <row r="9" customFormat="false" ht="30" hidden="false" customHeight="true" outlineLevel="0" collapsed="false">
      <c r="A9" s="27" t="s">
        <v>79</v>
      </c>
      <c r="B9" s="7" t="n">
        <v>0.15</v>
      </c>
      <c r="C9" s="9" t="n">
        <f aca="false">E9/(1+$E$4)</f>
        <v>208695.652173913</v>
      </c>
      <c r="D9" s="9" t="n">
        <f aca="false">E9-C9</f>
        <v>31304.3478260869</v>
      </c>
      <c r="E9" s="9" t="n">
        <f aca="false">B9*$B$4</f>
        <v>240000</v>
      </c>
      <c r="F9" s="28"/>
    </row>
    <row r="10" customFormat="false" ht="30" hidden="false" customHeight="true" outlineLevel="0" collapsed="false">
      <c r="A10" s="27" t="s">
        <v>80</v>
      </c>
      <c r="B10" s="7" t="n">
        <v>0.15</v>
      </c>
      <c r="C10" s="9" t="n">
        <f aca="false">E10/(1+$E$4)</f>
        <v>208695.652173913</v>
      </c>
      <c r="D10" s="9" t="n">
        <f aca="false">E10-C10</f>
        <v>31304.3478260869</v>
      </c>
      <c r="E10" s="9" t="n">
        <f aca="false">B10*$B$4</f>
        <v>240000</v>
      </c>
      <c r="F10" s="28"/>
    </row>
    <row r="11" customFormat="false" ht="30" hidden="false" customHeight="true" outlineLevel="0" collapsed="false">
      <c r="A11" s="27" t="s">
        <v>81</v>
      </c>
      <c r="B11" s="7" t="n">
        <v>0.1</v>
      </c>
      <c r="C11" s="9" t="n">
        <f aca="false">E11/(1+$E$4)</f>
        <v>139130.434782609</v>
      </c>
      <c r="D11" s="9" t="n">
        <f aca="false">E11-C11</f>
        <v>20869.5652173913</v>
      </c>
      <c r="E11" s="9" t="n">
        <f aca="false">B11*$B$4</f>
        <v>160000</v>
      </c>
      <c r="F11" s="28"/>
    </row>
    <row r="12" customFormat="false" ht="15" hidden="false" customHeight="false" outlineLevel="0" collapsed="false">
      <c r="A12" s="29" t="s">
        <v>52</v>
      </c>
      <c r="B12" s="30" t="n">
        <f aca="false">SUM(B7:B11)</f>
        <v>1</v>
      </c>
      <c r="C12" s="31" t="n">
        <f aca="false">SUM(C7:C11)</f>
        <v>1391304.34782609</v>
      </c>
      <c r="D12" s="31" t="n">
        <f aca="false">SUM(D7:D11)</f>
        <v>208695.652173913</v>
      </c>
      <c r="E12" s="31" t="n">
        <f aca="false">SUM(E7:E11)</f>
        <v>1600000</v>
      </c>
      <c r="F12" s="32"/>
    </row>
    <row r="13" customFormat="false" ht="15" hidden="false" customHeight="false" outlineLevel="0" collapsed="false">
      <c r="A13" s="33" t="str">
        <f aca="false">IF(ROUND(B12,4)=1,"Weights check OK (100%)","WARNING: line-item weights do not sum to 100% — adjust yellow cells")</f>
        <v>Weights check OK (100%)</v>
      </c>
      <c r="B13" s="33"/>
      <c r="C13" s="33"/>
      <c r="D13" s="33"/>
      <c r="E13" s="33"/>
      <c r="F13" s="33"/>
    </row>
  </sheetData>
  <mergeCells count="4">
    <mergeCell ref="A1:F1"/>
    <mergeCell ref="A2:F2"/>
    <mergeCell ref="B4:C4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3" t="s">
        <v>41</v>
      </c>
      <c r="B4" s="24" t="n">
        <f aca="false">Assumptions!$B$15</f>
        <v>1200000</v>
      </c>
      <c r="C4" s="24"/>
      <c r="D4" s="25" t="s">
        <v>42</v>
      </c>
      <c r="E4" s="26" t="n">
        <f aca="false">Assumptions!$B$5</f>
        <v>0.15</v>
      </c>
    </row>
    <row r="6" customFormat="false" ht="25.5" hidden="false" customHeight="true" outlineLevel="0" collapsed="false">
      <c r="A6" s="10" t="s">
        <v>43</v>
      </c>
      <c r="B6" s="10" t="s">
        <v>44</v>
      </c>
      <c r="C6" s="10" t="s">
        <v>35</v>
      </c>
      <c r="D6" s="10" t="s">
        <v>36</v>
      </c>
      <c r="E6" s="10" t="s">
        <v>37</v>
      </c>
      <c r="F6" s="10" t="s">
        <v>4</v>
      </c>
    </row>
    <row r="7" customFormat="false" ht="30" hidden="false" customHeight="true" outlineLevel="0" collapsed="false">
      <c r="A7" s="27" t="s">
        <v>82</v>
      </c>
      <c r="B7" s="7" t="n">
        <v>0.4</v>
      </c>
      <c r="C7" s="9" t="n">
        <f aca="false">E7/(1+$E$4)</f>
        <v>417391.304347826</v>
      </c>
      <c r="D7" s="9" t="n">
        <f aca="false">E7-C7</f>
        <v>62608.6956521739</v>
      </c>
      <c r="E7" s="9" t="n">
        <f aca="false">B7*$B$4</f>
        <v>480000</v>
      </c>
      <c r="F7" s="28"/>
    </row>
    <row r="8" customFormat="false" ht="30" hidden="false" customHeight="true" outlineLevel="0" collapsed="false">
      <c r="A8" s="27" t="s">
        <v>83</v>
      </c>
      <c r="B8" s="7" t="n">
        <v>0.3</v>
      </c>
      <c r="C8" s="9" t="n">
        <f aca="false">E8/(1+$E$4)</f>
        <v>313043.47826087</v>
      </c>
      <c r="D8" s="9" t="n">
        <f aca="false">E8-C8</f>
        <v>46956.5217391304</v>
      </c>
      <c r="E8" s="9" t="n">
        <f aca="false">B8*$B$4</f>
        <v>360000</v>
      </c>
      <c r="F8" s="28"/>
    </row>
    <row r="9" customFormat="false" ht="30" hidden="false" customHeight="true" outlineLevel="0" collapsed="false">
      <c r="A9" s="27" t="s">
        <v>84</v>
      </c>
      <c r="B9" s="7" t="n">
        <v>0.3</v>
      </c>
      <c r="C9" s="9" t="n">
        <f aca="false">E9/(1+$E$4)</f>
        <v>313043.47826087</v>
      </c>
      <c r="D9" s="9" t="n">
        <f aca="false">E9-C9</f>
        <v>46956.5217391304</v>
      </c>
      <c r="E9" s="9" t="n">
        <f aca="false">B9*$B$4</f>
        <v>360000</v>
      </c>
      <c r="F9" s="28"/>
    </row>
    <row r="10" customFormat="false" ht="15" hidden="false" customHeight="false" outlineLevel="0" collapsed="false">
      <c r="A10" s="29" t="s">
        <v>52</v>
      </c>
      <c r="B10" s="30" t="n">
        <f aca="false">SUM(B7:B9)</f>
        <v>1</v>
      </c>
      <c r="C10" s="31" t="n">
        <f aca="false">SUM(C7:C9)</f>
        <v>1043478.26086957</v>
      </c>
      <c r="D10" s="31" t="n">
        <f aca="false">SUM(D7:D9)</f>
        <v>156521.739130435</v>
      </c>
      <c r="E10" s="31" t="n">
        <f aca="false">SUM(E7:E9)</f>
        <v>1200000</v>
      </c>
      <c r="F10" s="32"/>
    </row>
    <row r="11" customFormat="false" ht="15" hidden="false" customHeight="false" outlineLevel="0" collapsed="false">
      <c r="A11" s="33" t="str">
        <f aca="false">IF(ROUND(B10,4)=1,"Weights check OK (100%)","WARNING: line-item weights do not sum to 100% — adjust yellow cells")</f>
        <v>Weights check OK (100%)</v>
      </c>
      <c r="B11" s="33"/>
      <c r="C11" s="33"/>
      <c r="D11" s="33"/>
      <c r="E11" s="33"/>
      <c r="F11" s="33"/>
    </row>
  </sheetData>
  <mergeCells count="4">
    <mergeCell ref="A1:F1"/>
    <mergeCell ref="A2:F2"/>
    <mergeCell ref="B4:C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2026-08-04T22:18:31Z</dcterms:created>
  <dc:creator>openpyxl</dc:creator>
  <dc:description/>
  <dc:language>en-US</dc:language>
  <cp:lastModifiedBy/>
  <dcterms:modified xsi:type="dcterms:W3CDTF">2026-08-04T22:18:31Z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
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1. Control Room" sheetId="3" state="visible" r:id="rId5"/>
    <sheet name="2. UAV Procurement" sheetId="4" state="visible" r:id="rId6"/>
    <sheet name="3. Software Dev &amp; Deploy" sheetId="5" state="visible" r:id="rId7"/>
    <sheet name="4. Vehicle Procurement" sheetId="6" state="visible" r:id="rId8"/>
    <sheet name="5. Training &amp; Capacity" sheetId="7" state="visible" r:id="rId9"/>
    <sheet name="6. Project Management" sheetId="8" state="visible" r:id="rId10"/>
    <sheet name="7. Contingenc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<sst xmlns="http://schemas.openxmlformats.org/spreadsheetml/2006/main" count="207" uniqueCount="112">
  <si>
    <t xml:space="preserve">SMART INNOVATIONS GHANA LIMITED</t>
  </si>
  <si>
    <t xml:space="preserve">GasGuard Suite — Integrated Pipeline Monitoring, Loss-Prevention &amp; Custody-Integrity Platform</t>
  </si>
  <si>
    <t xml:space="preserve">Budget Proposal for Ghana National Gas Company (GNGC)  —  Prepared by Smart Innovations Ghana Limited, Accra</t>
  </si>
  <si>
    <t xml:space="preserve">TOTAL CONTRACT VALUE (TAX INCL.)</t>
  </si>
  <si>
    <t xml:space="preserve">TOTAL CONTRACT VALUE (TAX EXCL.)</t>
  </si>
  <si>
    <t xml:space="preserve">TOTAL TAX</t>
  </si>
  <si>
    <t xml:space="preserve">EFFECTIVE TAX RATE</t>
  </si>
  <si>
    <t xml:space="preserve">BUDGET BY SECTION</t>
  </si>
  <si>
    <t xml:space="preserve">Budget Section</t>
  </si>
  <si>
    <t xml:space="preserve">Subtotal (Tax Excl)</t>
  </si>
  <si>
    <t xml:space="preserve">Tax</t>
  </si>
  <si>
    <t xml:space="preserve">Subtotal (Tax Incl)</t>
  </si>
  <si>
    <t xml:space="preserve">% of Total</t>
  </si>
  <si>
    <t xml:space="preserve">1. Control Room Space Re-Engineering</t>
  </si>
  <si>
    <t xml:space="preserve">2. UAV Procurement (Long- &amp; Short-Range)</t>
  </si>
  <si>
    <t xml:space="preserve">3. Software Development and Deployment</t>
  </si>
  <si>
    <t xml:space="preserve">4. Vehicle Procurement (Pick-Ups)</t>
  </si>
  <si>
    <t xml:space="preserve">5. Training and Capacity Building</t>
  </si>
  <si>
    <t xml:space="preserve">6. Project Management</t>
  </si>
  <si>
    <t xml:space="preserve">7. Contingency</t>
  </si>
  <si>
    <t xml:space="preserve">TOTAL</t>
  </si>
  <si>
    <t xml:space="preserve">Check — Total (Tax Incl.) should equal Master Contract Value</t>
  </si>
  <si>
    <t xml:space="preserve">HOW TO USE THIS WORKBOOK</t>
  </si>
  <si>
    <t xml:space="preserve">1. Go to the Assumptions tab. Set the Total Contract Value (Tax Inclusive) and Tax Rate at the top.</t>
  </si>
  <si>
    <t xml:space="preserve">2. Adjust the Allocation % for each of the 7 budget sections — they must sum to 100%.</t>
  </si>
  <si>
    <t xml:space="preserve">3. Open any numbered section tab to fine-tune the Weight % of individual line items — must sum to 100% within that section.</t>
  </si>
  <si>
    <t xml:space="preserve">4. Every subtotal, tax figure, and the grand total recalculate automatically — no other cells need to be touched.</t>
  </si>
  <si>
    <t xml:space="preserve">5. Green text = linked from Assumptions. Blue text/yellow fill = editable input. Black text = formula.</t>
  </si>
  <si>
    <t xml:space="preserve">GasGuard Suite — Budget Assumptions &amp; Controls</t>
  </si>
  <si>
    <t xml:space="preserve">Ghana National Gas Company (GNGC) | All amounts in Ghana Cedis (GH₵). Edit BLUE cells only — changes flow automatically into every section sheet and the Summary.</t>
  </si>
  <si>
    <t xml:space="preserve">1.  MASTER CONTRACT VALUE</t>
  </si>
  <si>
    <t xml:space="preserve">Total Contract Value (Tax Inclusive)</t>
  </si>
  <si>
    <t xml:space="preserve">Effective Tax Rate (VAT / NHIL / GETFund, applied on tax-exclusive value)</t>
  </si>
  <si>
    <t xml:space="preserve">Total Contract Value (Tax Exclusive)</t>
  </si>
  <si>
    <t xml:space="preserve">Total Tax Amount</t>
  </si>
  <si>
    <t xml:space="preserve">Note: adjust the tax rate here to match GNGC's applicable VAT/levy treatment for this contract.</t>
  </si>
  <si>
    <t xml:space="preserve">2.  BUDGET SECTION ALLOCATION  (% of Tax-Exclusive Total)</t>
  </si>
  <si>
    <t xml:space="preserve">Allocation %</t>
  </si>
  <si>
    <t xml:space="preserve">1. Control Room Space Re-Engineering (fixtures &amp; fittings)</t>
  </si>
  <si>
    <t xml:space="preserve">2. UAV Procurement (long- &amp; short-range)</t>
  </si>
  <si>
    <t xml:space="preserve">4. Vehicle Procurement (pick-ups)</t>
  </si>
  <si>
    <t xml:space="preserve">Check — Allocation % must equal 100%</t>
  </si>
  <si>
    <t xml:space="preserve">LEGEND</t>
  </si>
  <si>
    <t xml:space="preserve">Blue text / yellow fill = editable input cell</t>
  </si>
  <si>
    <t xml:space="preserve">Black text = formula (auto-calculated — do not overwrite)</t>
  </si>
  <si>
    <t xml:space="preserve">Green text = link pulled in from this Assumptions sheet on the section tabs</t>
  </si>
  <si>
    <t xml:space="preserve">Fixtures &amp; fittings to convert GNGC's existing control room into the GasGuard Fusion command centre — unified dashboard, video wall, and secure workstations for control-room and integrity staff.</t>
  </si>
  <si>
    <t xml:space="preserve">Section Subtotal (Tax Exclusive) — linked from Assumptions</t>
  </si>
  <si>
    <t xml:space="preserve">Section Subtotal (Tax Inclusive) — linked from Assumptions</t>
  </si>
  <si>
    <t xml:space="preserve">Effective Tax Rate — linked from Assumptions</t>
  </si>
  <si>
    <t xml:space="preserve">% of Total Contract Value (Tax Incl.)</t>
  </si>
  <si>
    <t xml:space="preserve">LINE-ITEM DETAIL  (Weight % is editable and must sum to 100%)</t>
  </si>
  <si>
    <t xml:space="preserve">Line Item</t>
  </si>
  <si>
    <t xml:space="preserve">Weight % within Section</t>
  </si>
  <si>
    <t xml:space="preserve">Amount (Tax Excl)</t>
  </si>
  <si>
    <t xml:space="preserve">Amount (Tax Incl)</t>
  </si>
  <si>
    <t xml:space="preserve">Notes</t>
  </si>
  <si>
    <t xml:space="preserve">Control Room Civil &amp; Electrical Re-Engineering</t>
  </si>
  <si>
    <t xml:space="preserve">Partitioning, cabling, raised flooring, power re-distribution</t>
  </si>
  <si>
    <t xml:space="preserve">Operator Workstations &amp; Ergonomic Furniture</t>
  </si>
  <si>
    <t xml:space="preserve">Multi-monitor consoles for control-room operators</t>
  </si>
  <si>
    <t xml:space="preserve">Video Wall / Large-Format Display System</t>
  </si>
  <si>
    <t xml:space="preserve">Unified GasGuard Fusion dashboard display</t>
  </si>
  <si>
    <t xml:space="preserve">HVAC, Lighting &amp; Power Backup Upgrade</t>
  </si>
  <si>
    <t xml:space="preserve">Includes UPS sizing for 24/7 monitoring operations</t>
  </si>
  <si>
    <t xml:space="preserve">Access Control &amp; Physical Security Fit-Out</t>
  </si>
  <si>
    <t xml:space="preserve">Biometric/card access to the re-engineered space</t>
  </si>
  <si>
    <t xml:space="preserve">SECTION TOTAL</t>
  </si>
  <si>
    <t xml:space="preserve">Check — Weight % sums to 100% and Section Total ties to Assumptions</t>
  </si>
  <si>
    <t xml:space="preserve">Unmanned aerial platforms supporting GasGuard SkyView aerial screening — long-range coverage of the WAGP corridor and upstream feeder network, short-range rapid response to flagged incidents.</t>
  </si>
  <si>
    <t xml:space="preserve">Long-Range Fixed-Wing UAV Units (2) – corridor &amp; basin screening</t>
  </si>
  <si>
    <t xml:space="preserve">Extended-endurance platforms for WAGP corridor coverage</t>
  </si>
  <si>
    <t xml:space="preserve">Short-Range Multirotor UAV Units (4) – site &amp; incident response</t>
  </si>
  <si>
    <t xml:space="preserve">Rapid-deployment units for flagged sites</t>
  </si>
  <si>
    <t xml:space="preserve">UAV Sensor Payloads (Methane/Gas Detection &amp; Thermal Imaging)</t>
  </si>
  <si>
    <t xml:space="preserve">Complements GasGuard SkyView satellite screening</t>
  </si>
  <si>
    <t xml:space="preserve">Ground Control Stations &amp; Communications Equipment</t>
  </si>
  <si>
    <t xml:space="preserve">Spare Parts, Maintenance Kit &amp; Charging Infrastructure</t>
  </si>
  <si>
    <t xml:space="preserve">Development and deployment of the GasGuard Suite software layer — Reconcile, Fusion, FiberWatch/TrackTrace analytics, MarkChain, and the control-room/mobile applications.</t>
  </si>
  <si>
    <t xml:space="preserve">GasGuard Reconcile – CPM Mass-Balance Software Development</t>
  </si>
  <si>
    <t xml:space="preserve">API 1130 methodology, custody-point configuration</t>
  </si>
  <si>
    <t xml:space="preserve">GasGuard Fusion – AI/ML Anomaly-Detection Platform Development</t>
  </si>
  <si>
    <t xml:space="preserve">Trained on GNGC's own operating/incident data</t>
  </si>
  <si>
    <t xml:space="preserve">GasGuard FiberWatch &amp; TrackTrace Analytics Modules</t>
  </si>
  <si>
    <t xml:space="preserve">DAS/AIS fusion; LPG fleet route analytics</t>
  </si>
  <si>
    <t xml:space="preserve">GasGuard MarkChain – Custody Audit-Trail Software</t>
  </si>
  <si>
    <t xml:space="preserve">Digital custody-transfer audit trail</t>
  </si>
  <si>
    <t xml:space="preserve">Control-Room Dashboard &amp; Mobile App Development</t>
  </si>
  <si>
    <t xml:space="preserve">Field/enforcement mobile application</t>
  </si>
  <si>
    <t xml:space="preserve">Cloud Hosting, Data Infrastructure &amp; Cybersecurity Implementation (Yr 1)</t>
  </si>
  <si>
    <t xml:space="preserve">OT/IT boundary hardening per Section 9 of the proposal</t>
  </si>
  <si>
    <t xml:space="preserve">System Integration &amp; User Acceptance Testing</t>
  </si>
  <si>
    <t xml:space="preserve">Field vehicles supporting site survey, installation/commissioning, and ongoing enforcement and inspection activity across GNGC's network.</t>
  </si>
  <si>
    <t xml:space="preserve">4x4 Double-Cab Pick-Up Trucks – Field Inspection &amp; Enforcement (6 units)</t>
  </si>
  <si>
    <t xml:space="preserve">Indicative fleet size; confirm final count in Phase 0</t>
  </si>
  <si>
    <t xml:space="preserve">Vehicle GPS/Telematics Fitting &amp; Branding</t>
  </si>
  <si>
    <t xml:space="preserve">Registration, Insurance &amp; Roadworthy Certification (Year 1)</t>
  </si>
  <si>
    <t xml:space="preserve">Vehicle Tools, Recovery &amp; Safety Equipment</t>
  </si>
  <si>
    <t xml:space="preserve">Structured knowledge transfer so GNGC's own teams can operate and extend the GasGuard platform independently, per the commitment in Section 6 of the proposal.</t>
  </si>
  <si>
    <t xml:space="preserve">Control Room Operator Training</t>
  </si>
  <si>
    <t xml:space="preserve">Field &amp; Enforcement Staff Training (incl. UAV Pilot Certification)</t>
  </si>
  <si>
    <t xml:space="preserve">IT/OT Staff Technical Knowledge Transfer</t>
  </si>
  <si>
    <t xml:space="preserve">GNGC Management &amp; Executive Briefing Programme</t>
  </si>
  <si>
    <t xml:space="preserve">In-country project leadership embedded alongside GNGC's integrity, IT/OT, and operations staff across the full engagement.</t>
  </si>
  <si>
    <t xml:space="preserve">Project Director (18-Month Engagement)</t>
  </si>
  <si>
    <t xml:space="preserve">Local Project Management Team</t>
  </si>
  <si>
    <t xml:space="preserve">Cybersecurity/OT Integration Coordination</t>
  </si>
  <si>
    <t xml:space="preserve">In-Country SLA Support Mobilization (Year 1)</t>
  </si>
  <si>
    <t xml:space="preserve">Reporting, Governance &amp; Stakeholder Coordination</t>
  </si>
  <si>
    <t xml:space="preserve">Master project-level contingency covering scope, schedule, and price risk across all budget sections.</t>
  </si>
  <si>
    <t xml:space="preserve">Master Project-Level Contingency</t>
  </si>
  <si>
    <t xml:space="preserve">Held centrally; drawn down only against approved change requests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</si>
</sst>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GH₵ &quot;#,##0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b val="true"/>
      <sz val="11.5"/>
      <color rgb="FF1F4E78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4F7FB"/>
        <bgColor rgb="FFF2F2F2"/>
      </patternFill>
    </fill>
    <fill>
      <patternFill patternType="solid">
        <fgColor rgb="FFF2F2F2"/>
        <bgColor rgb="FFF4F7FB"/>
      </patternFill>
    </fill>
    <fill>
      <patternFill patternType="solid">
        <fgColor rgb="FFC9A227"/>
        <bgColor rgb="FFDC853E"/>
      </patternFill>
    </fill>
    <fill>
      <patternFill patternType="solid">
        <fgColor rgb="FFFFF2A8"/>
        <bgColor rgb="FFFFFDE7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FFDE7"/>
      <rgbColor rgb="FFF4F7FB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2A8"/>
      <rgbColor rgb="FF99CCFF"/>
      <rgbColor rgb="FFFF99CC"/>
      <rgbColor rgb="FF7F7F7F"/>
      <rgbColor rgb="FFFFCC99"/>
      <rgbColor rgb="FF4672A8"/>
      <rgbColor rgb="FF33CCCC"/>
      <rgbColor rgb="FF99CC00"/>
      <rgbColor rgb="FFFFCC00"/>
      <rgbColor rgb="FFC9A227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595959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Share by Section (Tax Inclusive)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Summary!$B$12:$B$18</c:f>
              <c:strCache>
                <c:ptCount val="7"/>
                <c:pt idx="0">
                  <c:v>1. Control Room Space Re-Engineering</c:v>
                </c:pt>
                <c:pt idx="1">
                  <c:v>2. UAV Procurement (Long- &amp; Short-Range)</c:v>
                </c:pt>
                <c:pt idx="2">
                  <c:v>3. Software Development and Deployment</c:v>
                </c:pt>
                <c:pt idx="3">
                  <c:v>4. Vehicle Procurement (Pick-Ups)</c:v>
                </c:pt>
                <c:pt idx="4">
                  <c:v>5. Training and Capacity Building</c:v>
                </c:pt>
                <c:pt idx="5">
                  <c:v>6. Project Management</c:v>
                </c:pt>
                <c:pt idx="6">
                  <c:v>7. Contingency</c:v>
                </c:pt>
              </c:strCache>
            </c:strRef>
          </c:cat>
          <c:val>
            <c:numRef>
              <c:f>Summary!$E$12:$E$18</c:f>
              <c:numCache>
                <c:formatCode>"GH₵ "#,##0</c:formatCode>
                <c:ptCount val="7"/>
                <c:pt idx="0">
                  <c:v>1342916.16</c:v>
                </c:pt>
                <c:pt idx="1">
                  <c:v>3021561.36</c:v>
                </c:pt>
                <c:pt idx="2">
                  <c:v>5035935.6</c:v>
                </c:pt>
                <c:pt idx="3">
                  <c:v>1678645.2</c:v>
                </c:pt>
                <c:pt idx="4">
                  <c:v>1342916.16</c:v>
                </c:pt>
                <c:pt idx="5">
                  <c:v>2685832.32</c:v>
                </c:pt>
                <c:pt idx="6">
                  <c:v>1678645.2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by Section (GH₵, Tax Inclusive)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Summary!$B$12:$B$18</c:f>
              <c:strCache>
                <c:ptCount val="7"/>
                <c:pt idx="0">
                  <c:v>1. Control Room Space Re-Engineering</c:v>
                </c:pt>
                <c:pt idx="1">
                  <c:v>2. UAV Procurement (Long- &amp; Short-Range)</c:v>
                </c:pt>
                <c:pt idx="2">
                  <c:v>3. Software Development and Deployment</c:v>
                </c:pt>
                <c:pt idx="3">
                  <c:v>4. Vehicle Procurement (Pick-Ups)</c:v>
                </c:pt>
                <c:pt idx="4">
                  <c:v>5. Training and Capacity Building</c:v>
                </c:pt>
                <c:pt idx="5">
                  <c:v>6. Project Management</c:v>
                </c:pt>
                <c:pt idx="6">
                  <c:v>7. Contingency</c:v>
                </c:pt>
              </c:strCache>
            </c:strRef>
          </c:cat>
          <c:val>
            <c:numRef>
              <c:f>Summary!$E$12:$E$18</c:f>
              <c:numCache>
                <c:formatCode>"GH₵ "#,##0</c:formatCode>
                <c:ptCount val="7"/>
                <c:pt idx="0">
                  <c:v>1342916.16</c:v>
                </c:pt>
                <c:pt idx="1">
                  <c:v>3021561.36</c:v>
                </c:pt>
                <c:pt idx="2">
                  <c:v>5035935.6</c:v>
                </c:pt>
                <c:pt idx="3">
                  <c:v>1678645.2</c:v>
                </c:pt>
                <c:pt idx="4">
                  <c:v>1342916.16</c:v>
                </c:pt>
                <c:pt idx="5">
                  <c:v>2685832.32</c:v>
                </c:pt>
                <c:pt idx="6">
                  <c:v>1678645.2</c:v>
                </c:pt>
              </c:numCache>
            </c:numRef>
          </c:val>
        </c:ser>
        <c:gapWidth val="150"/>
        <c:overlap val="0"/>
        <c:axId val="50400628"/>
        <c:axId val="28509095"/>
      </c:barChart>
      <c:catAx>
        <c:axId val="50400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09095"/>
        <c:crosses val="autoZero"/>
        <c:auto val="1"/>
        <c:lblAlgn val="ctr"/>
        <c:lblOffset val="100"/>
        <c:noMultiLvlLbl val="0"/>
      </c:catAx>
      <c:valAx>
        <c:axId val="28509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GH₵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GH₵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006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4</xdr:col>
      <xdr:colOff>42480</xdr:colOff>
      <xdr:row>38</xdr:row>
      <xdr:rowOff>1080</xdr:rowOff>
    </xdr:to>
    <xdr:graphicFrame>
      <xdr:nvGraphicFramePr>
        <xdr:cNvPr id="0" name="Chart 1"/>
        <xdr:cNvGraphicFramePr/>
      </xdr:nvGraphicFramePr>
      <xdr:xfrm>
        <a:off x="211320" y="4705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393480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5568480" y="4705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3.5" hidden="false" customHeight="true" outlineLevel="0" collapsed="false">
      <c r="B5" s="4" t="s">
        <v>3</v>
      </c>
      <c r="C5" s="4"/>
      <c r="D5" s="4" t="s">
        <v>4</v>
      </c>
      <c r="E5" s="4"/>
      <c r="F5" s="4" t="s">
        <v>5</v>
      </c>
      <c r="G5" s="4"/>
    </row>
    <row r="6" customFormat="false" ht="25.5" hidden="false" customHeight="true" outlineLevel="0" collapsed="false">
      <c r="B6" s="5" t="n">
        <f aca="false">Assumptions!B5</f>
        <v>16786452</v>
      </c>
      <c r="C6" s="5"/>
      <c r="D6" s="5" t="n">
        <f aca="false">Assumptions!B7</f>
        <v>14596914.7826087</v>
      </c>
      <c r="E6" s="5"/>
      <c r="F6" s="5" t="n">
        <f aca="false">Assumptions!B8</f>
        <v>2189537.2173913</v>
      </c>
      <c r="G6" s="5"/>
    </row>
    <row r="8" customFormat="false" ht="13.5" hidden="false" customHeight="true" outlineLevel="0" collapsed="false">
      <c r="B8" s="4" t="s">
        <v>6</v>
      </c>
      <c r="C8" s="4"/>
    </row>
    <row r="9" customFormat="false" ht="25.5" hidden="false" customHeight="true" outlineLevel="0" collapsed="false">
      <c r="B9" s="6" t="n">
        <f aca="false">Assumptions!B6</f>
        <v>0.15</v>
      </c>
      <c r="C9" s="6"/>
    </row>
    <row r="10" customFormat="false" ht="18" hidden="false" customHeight="true" outlineLevel="0" collapsed="false">
      <c r="A10" s="7" t="s">
        <v>7</v>
      </c>
      <c r="B10" s="7"/>
      <c r="C10" s="7"/>
      <c r="D10" s="7"/>
      <c r="E10" s="7"/>
      <c r="F10" s="7"/>
      <c r="G10" s="7"/>
    </row>
    <row r="11" customFormat="false" ht="27.75" hidden="false" customHeight="true" outlineLevel="0" collapsed="false"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8"/>
    </row>
    <row r="12" customFormat="false" ht="15" hidden="false" customHeight="false" outlineLevel="0" collapsed="false">
      <c r="B12" s="9" t="s">
        <v>13</v>
      </c>
      <c r="C12" s="10" t="n">
        <f aca="false">Assumptions!C13</f>
        <v>1167753.1826087</v>
      </c>
      <c r="D12" s="10" t="n">
        <f aca="false">Assumptions!D13</f>
        <v>175162.977391304</v>
      </c>
      <c r="E12" s="10" t="n">
        <f aca="false">Assumptions!E13</f>
        <v>1342916.16</v>
      </c>
      <c r="F12" s="11" t="n">
        <f aca="false">E12/$B$6</f>
        <v>0.08</v>
      </c>
      <c r="G12" s="12"/>
    </row>
    <row r="13" customFormat="false" ht="15" hidden="false" customHeight="false" outlineLevel="0" collapsed="false">
      <c r="B13" s="13" t="s">
        <v>14</v>
      </c>
      <c r="C13" s="14" t="n">
        <f aca="false">Assumptions!C14</f>
        <v>2627444.66086957</v>
      </c>
      <c r="D13" s="14" t="n">
        <f aca="false">Assumptions!D14</f>
        <v>394116.699130435</v>
      </c>
      <c r="E13" s="14" t="n">
        <f aca="false">Assumptions!E14</f>
        <v>3021561.36</v>
      </c>
      <c r="F13" s="15" t="n">
        <f aca="false">E13/$B$6</f>
        <v>0.18</v>
      </c>
      <c r="G13" s="16"/>
    </row>
    <row r="14" customFormat="false" ht="15" hidden="false" customHeight="false" outlineLevel="0" collapsed="false">
      <c r="B14" s="9" t="s">
        <v>15</v>
      </c>
      <c r="C14" s="10" t="n">
        <f aca="false">Assumptions!C15</f>
        <v>4379074.43478261</v>
      </c>
      <c r="D14" s="10" t="n">
        <f aca="false">Assumptions!D15</f>
        <v>656861.165217391</v>
      </c>
      <c r="E14" s="10" t="n">
        <f aca="false">Assumptions!E15</f>
        <v>5035935.6</v>
      </c>
      <c r="F14" s="11" t="n">
        <f aca="false">E14/$B$6</f>
        <v>0.3</v>
      </c>
      <c r="G14" s="12"/>
    </row>
    <row r="15" customFormat="false" ht="15" hidden="false" customHeight="false" outlineLevel="0" collapsed="false">
      <c r="B15" s="13" t="s">
        <v>16</v>
      </c>
      <c r="C15" s="14" t="n">
        <f aca="false">Assumptions!C16</f>
        <v>1459691.47826087</v>
      </c>
      <c r="D15" s="14" t="n">
        <f aca="false">Assumptions!D16</f>
        <v>218953.72173913</v>
      </c>
      <c r="E15" s="14" t="n">
        <f aca="false">Assumptions!E16</f>
        <v>1678645.2</v>
      </c>
      <c r="F15" s="15" t="n">
        <f aca="false">E15/$B$6</f>
        <v>0.1</v>
      </c>
      <c r="G15" s="16"/>
    </row>
    <row r="16" customFormat="false" ht="15" hidden="false" customHeight="false" outlineLevel="0" collapsed="false">
      <c r="B16" s="9" t="s">
        <v>17</v>
      </c>
      <c r="C16" s="10" t="n">
        <f aca="false">Assumptions!C17</f>
        <v>1167753.1826087</v>
      </c>
      <c r="D16" s="10" t="n">
        <f aca="false">Assumptions!D17</f>
        <v>175162.977391304</v>
      </c>
      <c r="E16" s="10" t="n">
        <f aca="false">Assumptions!E17</f>
        <v>1342916.16</v>
      </c>
      <c r="F16" s="11" t="n">
        <f aca="false">E16/$B$6</f>
        <v>0.08</v>
      </c>
      <c r="G16" s="12"/>
    </row>
    <row r="17" customFormat="false" ht="15" hidden="false" customHeight="false" outlineLevel="0" collapsed="false">
      <c r="B17" s="13" t="s">
        <v>18</v>
      </c>
      <c r="C17" s="14" t="n">
        <f aca="false">Assumptions!C18</f>
        <v>2335506.36521739</v>
      </c>
      <c r="D17" s="14" t="n">
        <f aca="false">Assumptions!D18</f>
        <v>350325.954782609</v>
      </c>
      <c r="E17" s="14" t="n">
        <f aca="false">Assumptions!E18</f>
        <v>2685832.32</v>
      </c>
      <c r="F17" s="15" t="n">
        <f aca="false">E17/$B$6</f>
        <v>0.16</v>
      </c>
      <c r="G17" s="16"/>
    </row>
    <row r="18" customFormat="false" ht="15" hidden="false" customHeight="false" outlineLevel="0" collapsed="false">
      <c r="B18" s="9" t="s">
        <v>19</v>
      </c>
      <c r="C18" s="10" t="n">
        <f aca="false">Assumptions!C19</f>
        <v>1459691.47826087</v>
      </c>
      <c r="D18" s="10" t="n">
        <f aca="false">Assumptions!D19</f>
        <v>218953.72173913</v>
      </c>
      <c r="E18" s="10" t="n">
        <f aca="false">Assumptions!E19</f>
        <v>1678645.2</v>
      </c>
      <c r="F18" s="11" t="n">
        <f aca="false">E18/$B$6</f>
        <v>0.1</v>
      </c>
      <c r="G18" s="12"/>
    </row>
    <row r="19" customFormat="false" ht="15" hidden="false" customHeight="false" outlineLevel="0" collapsed="false">
      <c r="B19" s="17" t="s">
        <v>20</v>
      </c>
      <c r="C19" s="18" t="n">
        <f aca="false">SUM(C12:C18)</f>
        <v>14596914.7826087</v>
      </c>
      <c r="D19" s="18" t="n">
        <f aca="false">SUM(D12:D18)</f>
        <v>2189537.2173913</v>
      </c>
      <c r="E19" s="18" t="n">
        <f aca="false">SUM(E12:E18)</f>
        <v>16786452</v>
      </c>
      <c r="F19" s="19" t="n">
        <f aca="false">SUM(F12:F18)</f>
        <v>1</v>
      </c>
      <c r="G19" s="20"/>
    </row>
    <row r="20" customFormat="false" ht="15" hidden="false" customHeight="false" outlineLevel="0" collapsed="false">
      <c r="B20" s="21" t="s">
        <v>21</v>
      </c>
      <c r="E20" s="22" t="str">
        <f aca="false">IF(ROUND(E19-B6,2)=0,"OK ✓","CHECK")</f>
        <v>OK ✓</v>
      </c>
    </row>
    <row r="41" customFormat="false" ht="18" hidden="false" customHeight="true" outlineLevel="0" collapsed="false">
      <c r="A41" s="7" t="s">
        <v>22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B42" s="22" t="s">
        <v>23</v>
      </c>
    </row>
    <row r="43" customFormat="false" ht="15" hidden="false" customHeight="false" outlineLevel="0" collapsed="false">
      <c r="B43" s="22" t="s">
        <v>24</v>
      </c>
    </row>
    <row r="44" customFormat="false" ht="15" hidden="false" customHeight="false" outlineLevel="0" collapsed="false">
      <c r="B44" s="22" t="s">
        <v>25</v>
      </c>
    </row>
    <row r="45" customFormat="false" ht="15" hidden="false" customHeight="false" outlineLevel="0" collapsed="false">
      <c r="B45" s="22" t="s">
        <v>26</v>
      </c>
    </row>
    <row r="46" customFormat="false" ht="15" hidden="false" customHeight="false" outlineLevel="0" collapsed="false">
      <c r="B46" s="22" t="s">
        <v>27</v>
      </c>
    </row>
  </sheetData>
  <mergeCells count="13">
    <mergeCell ref="A1:H1"/>
    <mergeCell ref="A2:H2"/>
    <mergeCell ref="A3:H3"/>
    <mergeCell ref="B5:C5"/>
    <mergeCell ref="D5:E5"/>
    <mergeCell ref="F5:G5"/>
    <mergeCell ref="B6:C6"/>
    <mergeCell ref="D6:E6"/>
    <mergeCell ref="F6:G6"/>
    <mergeCell ref="B8:C8"/>
    <mergeCell ref="B9:C9"/>
    <mergeCell ref="A10:G10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"/>
  </cols>
  <sheetData>
    <row r="1" customFormat="false" ht="30" hidden="false" customHeight="true" outlineLevel="0" collapsed="false">
      <c r="A1" s="23" t="s">
        <v>28</v>
      </c>
      <c r="B1" s="23"/>
      <c r="C1" s="23"/>
      <c r="D1" s="23"/>
      <c r="E1" s="23"/>
      <c r="F1" s="23"/>
    </row>
    <row r="2" customFormat="false" ht="18" hidden="false" customHeight="true" outlineLevel="0" collapsed="false">
      <c r="A2" s="24" t="s">
        <v>29</v>
      </c>
      <c r="B2" s="24"/>
      <c r="C2" s="24"/>
      <c r="D2" s="24"/>
      <c r="E2" s="24"/>
      <c r="F2" s="24"/>
    </row>
    <row r="4" customFormat="false" ht="18" hidden="false" customHeight="true" outlineLevel="0" collapsed="false">
      <c r="A4" s="7" t="s">
        <v>30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25" t="s">
        <v>31</v>
      </c>
      <c r="B5" s="26" t="n">
        <v>16786452</v>
      </c>
    </row>
    <row r="6" customFormat="false" ht="15" hidden="false" customHeight="false" outlineLevel="0" collapsed="false">
      <c r="A6" s="22" t="s">
        <v>32</v>
      </c>
      <c r="B6" s="27" t="n">
        <v>0.15</v>
      </c>
    </row>
    <row r="7" customFormat="false" ht="15" hidden="false" customHeight="false" outlineLevel="0" collapsed="false">
      <c r="A7" s="22" t="s">
        <v>33</v>
      </c>
      <c r="B7" s="28" t="n">
        <f aca="false">B5/(1+B6)</f>
        <v>14596914.7826087</v>
      </c>
    </row>
    <row r="8" customFormat="false" ht="15" hidden="false" customHeight="false" outlineLevel="0" collapsed="false">
      <c r="A8" s="22" t="s">
        <v>34</v>
      </c>
      <c r="B8" s="28" t="n">
        <f aca="false">B5-B7</f>
        <v>2189537.2173913</v>
      </c>
    </row>
    <row r="9" customFormat="false" ht="15" hidden="false" customHeight="false" outlineLevel="0" collapsed="false">
      <c r="A9" s="21" t="s">
        <v>35</v>
      </c>
    </row>
    <row r="11" customFormat="false" ht="18" hidden="false" customHeight="true" outlineLevel="0" collapsed="false">
      <c r="A11" s="7" t="s">
        <v>36</v>
      </c>
      <c r="B11" s="7"/>
      <c r="C11" s="7"/>
      <c r="D11" s="7"/>
      <c r="E11" s="7"/>
    </row>
    <row r="12" customFormat="false" ht="27.75" hidden="false" customHeight="true" outlineLevel="0" collapsed="false">
      <c r="A12" s="8" t="s">
        <v>8</v>
      </c>
      <c r="B12" s="8" t="s">
        <v>37</v>
      </c>
      <c r="C12" s="8" t="s">
        <v>9</v>
      </c>
      <c r="D12" s="8" t="s">
        <v>10</v>
      </c>
      <c r="E12" s="8" t="s">
        <v>11</v>
      </c>
    </row>
    <row r="13" customFormat="false" ht="15" hidden="false" customHeight="false" outlineLevel="0" collapsed="false">
      <c r="A13" s="13" t="s">
        <v>38</v>
      </c>
      <c r="B13" s="29" t="n">
        <v>0.08</v>
      </c>
      <c r="C13" s="28" t="n">
        <f aca="false">$B$7*B13</f>
        <v>1167753.1826087</v>
      </c>
      <c r="D13" s="28" t="n">
        <f aca="false">C13*$B$6</f>
        <v>175162.977391304</v>
      </c>
      <c r="E13" s="28" t="n">
        <f aca="false">C13+D13</f>
        <v>1342916.16</v>
      </c>
    </row>
    <row r="14" customFormat="false" ht="15" hidden="false" customHeight="false" outlineLevel="0" collapsed="false">
      <c r="A14" s="13" t="s">
        <v>39</v>
      </c>
      <c r="B14" s="29" t="n">
        <v>0.18</v>
      </c>
      <c r="C14" s="28" t="n">
        <f aca="false">$B$7*B14</f>
        <v>2627444.66086957</v>
      </c>
      <c r="D14" s="28" t="n">
        <f aca="false">C14*$B$6</f>
        <v>394116.699130435</v>
      </c>
      <c r="E14" s="28" t="n">
        <f aca="false">C14+D14</f>
        <v>3021561.36</v>
      </c>
    </row>
    <row r="15" customFormat="false" ht="15" hidden="false" customHeight="false" outlineLevel="0" collapsed="false">
      <c r="A15" s="13" t="s">
        <v>15</v>
      </c>
      <c r="B15" s="29" t="n">
        <v>0.3</v>
      </c>
      <c r="C15" s="28" t="n">
        <f aca="false">$B$7*B15</f>
        <v>4379074.43478261</v>
      </c>
      <c r="D15" s="28" t="n">
        <f aca="false">C15*$B$6</f>
        <v>656861.165217391</v>
      </c>
      <c r="E15" s="28" t="n">
        <f aca="false">C15+D15</f>
        <v>5035935.6</v>
      </c>
    </row>
    <row r="16" customFormat="false" ht="15" hidden="false" customHeight="false" outlineLevel="0" collapsed="false">
      <c r="A16" s="13" t="s">
        <v>40</v>
      </c>
      <c r="B16" s="29" t="n">
        <v>0.1</v>
      </c>
      <c r="C16" s="28" t="n">
        <f aca="false">$B$7*B16</f>
        <v>1459691.47826087</v>
      </c>
      <c r="D16" s="28" t="n">
        <f aca="false">C16*$B$6</f>
        <v>218953.72173913</v>
      </c>
      <c r="E16" s="28" t="n">
        <f aca="false">C16+D16</f>
        <v>1678645.2</v>
      </c>
    </row>
    <row r="17" customFormat="false" ht="15" hidden="false" customHeight="false" outlineLevel="0" collapsed="false">
      <c r="A17" s="13" t="s">
        <v>17</v>
      </c>
      <c r="B17" s="29" t="n">
        <v>0.08</v>
      </c>
      <c r="C17" s="28" t="n">
        <f aca="false">$B$7*B17</f>
        <v>1167753.1826087</v>
      </c>
      <c r="D17" s="28" t="n">
        <f aca="false">C17*$B$6</f>
        <v>175162.977391304</v>
      </c>
      <c r="E17" s="28" t="n">
        <f aca="false">C17+D17</f>
        <v>1342916.16</v>
      </c>
    </row>
    <row r="18" customFormat="false" ht="15" hidden="false" customHeight="false" outlineLevel="0" collapsed="false">
      <c r="A18" s="13" t="s">
        <v>18</v>
      </c>
      <c r="B18" s="29" t="n">
        <v>0.16</v>
      </c>
      <c r="C18" s="28" t="n">
        <f aca="false">$B$7*B18</f>
        <v>2335506.36521739</v>
      </c>
      <c r="D18" s="28" t="n">
        <f aca="false">C18*$B$6</f>
        <v>350325.954782609</v>
      </c>
      <c r="E18" s="28" t="n">
        <f aca="false">C18+D18</f>
        <v>2685832.32</v>
      </c>
    </row>
    <row r="19" customFormat="false" ht="15" hidden="false" customHeight="false" outlineLevel="0" collapsed="false">
      <c r="A19" s="13" t="s">
        <v>19</v>
      </c>
      <c r="B19" s="29" t="n">
        <v>0.1</v>
      </c>
      <c r="C19" s="28" t="n">
        <f aca="false">$B$7*B19</f>
        <v>1459691.47826087</v>
      </c>
      <c r="D19" s="28" t="n">
        <f aca="false">C19*$B$6</f>
        <v>218953.72173913</v>
      </c>
      <c r="E19" s="28" t="n">
        <f aca="false">C19+D19</f>
        <v>1678645.2</v>
      </c>
    </row>
    <row r="20" customFormat="false" ht="15" hidden="false" customHeight="false" outlineLevel="0" collapsed="false">
      <c r="A20" s="30" t="s">
        <v>20</v>
      </c>
      <c r="B20" s="31" t="n">
        <f aca="false">SUM(B13:B19)</f>
        <v>1</v>
      </c>
      <c r="C20" s="32" t="n">
        <f aca="false">SUM(C13:C19)</f>
        <v>14596914.7826087</v>
      </c>
      <c r="D20" s="32" t="n">
        <f aca="false">SUM(D13:D19)</f>
        <v>2189537.2173913</v>
      </c>
      <c r="E20" s="32" t="n">
        <f aca="false">SUM(E13:E19)</f>
        <v>16786452</v>
      </c>
    </row>
    <row r="21" customFormat="false" ht="15" hidden="false" customHeight="false" outlineLevel="0" collapsed="false">
      <c r="A21" s="22" t="s">
        <v>41</v>
      </c>
      <c r="B21" s="22" t="str">
        <f aca="false">IF(ROUND(B20,4)=1,"OK ✓","CHECK — adjust %")</f>
        <v>OK ✓</v>
      </c>
    </row>
    <row r="23" customFormat="false" ht="15" hidden="false" customHeight="false" outlineLevel="0" collapsed="false">
      <c r="A23" s="25" t="s">
        <v>42</v>
      </c>
    </row>
    <row r="24" customFormat="false" ht="15" hidden="false" customHeight="false" outlineLevel="0" collapsed="false">
      <c r="A24" s="33" t="s">
        <v>43</v>
      </c>
    </row>
    <row r="25" customFormat="false" ht="15" hidden="false" customHeight="false" outlineLevel="0" collapsed="false">
      <c r="A25" s="22" t="s">
        <v>44</v>
      </c>
    </row>
    <row r="26" customFormat="false" ht="15" hidden="false" customHeight="false" outlineLevel="0" collapsed="false">
      <c r="A26" s="34" t="s">
        <v>45</v>
      </c>
    </row>
  </sheetData>
  <mergeCells count="4">
    <mergeCell ref="A1:F1"/>
    <mergeCell ref="A2:F2"/>
    <mergeCell ref="A4:F4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13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46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Assumptions!C13</f>
        <v>1167753.1826087</v>
      </c>
    </row>
    <row r="5" customFormat="false" ht="15" hidden="false" customHeight="false" outlineLevel="0" collapsed="false">
      <c r="A5" s="22" t="s">
        <v>48</v>
      </c>
      <c r="B5" s="14" t="n">
        <f aca="false">Assumptions!E13</f>
        <v>1342916.16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0.08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5" hidden="false" customHeight="false" outlineLevel="0" collapsed="false">
      <c r="A10" s="13" t="s">
        <v>57</v>
      </c>
      <c r="B10" s="29" t="n">
        <v>0.3</v>
      </c>
      <c r="C10" s="28" t="n">
        <f aca="false">$B$4*B10</f>
        <v>350325.954782609</v>
      </c>
      <c r="D10" s="28" t="n">
        <f aca="false">C10*$B$6</f>
        <v>52548.8932173913</v>
      </c>
      <c r="E10" s="28" t="n">
        <f aca="false">C10+D10</f>
        <v>402874.848</v>
      </c>
      <c r="F10" s="36" t="s">
        <v>58</v>
      </c>
    </row>
    <row r="11" customFormat="false" ht="15" hidden="false" customHeight="false" outlineLevel="0" collapsed="false">
      <c r="A11" s="13" t="s">
        <v>59</v>
      </c>
      <c r="B11" s="29" t="n">
        <v>0.2</v>
      </c>
      <c r="C11" s="28" t="n">
        <f aca="false">$B$4*B11</f>
        <v>233550.636521739</v>
      </c>
      <c r="D11" s="28" t="n">
        <f aca="false">C11*$B$6</f>
        <v>35032.5954782609</v>
      </c>
      <c r="E11" s="28" t="n">
        <f aca="false">C11+D11</f>
        <v>268583.232</v>
      </c>
      <c r="F11" s="36" t="s">
        <v>60</v>
      </c>
    </row>
    <row r="12" customFormat="false" ht="15" hidden="false" customHeight="false" outlineLevel="0" collapsed="false">
      <c r="A12" s="13" t="s">
        <v>61</v>
      </c>
      <c r="B12" s="29" t="n">
        <v>0.2</v>
      </c>
      <c r="C12" s="28" t="n">
        <f aca="false">$B$4*B12</f>
        <v>233550.636521739</v>
      </c>
      <c r="D12" s="28" t="n">
        <f aca="false">C12*$B$6</f>
        <v>35032.5954782609</v>
      </c>
      <c r="E12" s="28" t="n">
        <f aca="false">C12+D12</f>
        <v>268583.232</v>
      </c>
      <c r="F12" s="36" t="s">
        <v>62</v>
      </c>
    </row>
    <row r="13" customFormat="false" ht="15" hidden="false" customHeight="false" outlineLevel="0" collapsed="false">
      <c r="A13" s="13" t="s">
        <v>63</v>
      </c>
      <c r="B13" s="29" t="n">
        <v>0.15</v>
      </c>
      <c r="C13" s="28" t="n">
        <f aca="false">$B$4*B13</f>
        <v>175162.977391304</v>
      </c>
      <c r="D13" s="28" t="n">
        <f aca="false">C13*$B$6</f>
        <v>26274.4466086957</v>
      </c>
      <c r="E13" s="28" t="n">
        <f aca="false">C13+D13</f>
        <v>201437.424</v>
      </c>
      <c r="F13" s="36" t="s">
        <v>64</v>
      </c>
    </row>
    <row r="14" customFormat="false" ht="15" hidden="false" customHeight="false" outlineLevel="0" collapsed="false">
      <c r="A14" s="13" t="s">
        <v>65</v>
      </c>
      <c r="B14" s="29" t="n">
        <v>0.15</v>
      </c>
      <c r="C14" s="28" t="n">
        <f aca="false">$B$4*B14</f>
        <v>175162.977391304</v>
      </c>
      <c r="D14" s="28" t="n">
        <f aca="false">C14*$B$6</f>
        <v>26274.4466086957</v>
      </c>
      <c r="E14" s="28" t="n">
        <f aca="false">C14+D14</f>
        <v>201437.424</v>
      </c>
      <c r="F14" s="36" t="s">
        <v>66</v>
      </c>
    </row>
    <row r="15" customFormat="false" ht="15" hidden="false" customHeight="false" outlineLevel="0" collapsed="false">
      <c r="A15" s="30" t="s">
        <v>67</v>
      </c>
      <c r="B15" s="31" t="n">
        <f aca="false">SUM(B10:B14)</f>
        <v>1</v>
      </c>
      <c r="C15" s="32" t="n">
        <f aca="false">SUM(C10:C14)</f>
        <v>1167753.1826087</v>
      </c>
      <c r="D15" s="32" t="n">
        <f aca="false">SUM(D10:D14)</f>
        <v>175162.977391304</v>
      </c>
      <c r="E15" s="32" t="n">
        <f aca="false">SUM(E10:E14)</f>
        <v>1342916.16</v>
      </c>
      <c r="F15" s="37"/>
    </row>
    <row r="16" customFormat="false" ht="15" hidden="false" customHeight="false" outlineLevel="0" collapsed="false">
      <c r="A16" s="21" t="s">
        <v>68</v>
      </c>
      <c r="B16" s="22" t="str">
        <f aca="false">IF(ROUND(B15,4)=1,"OK ✓","CHECK")</f>
        <v>OK ✓</v>
      </c>
      <c r="E16" s="22" t="str">
        <f aca="false">IF(ROUND(E15-B5,2)=0,"OK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14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69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Assumptions!C14</f>
        <v>2627444.66086957</v>
      </c>
    </row>
    <row r="5" customFormat="false" ht="15" hidden="false" customHeight="false" outlineLevel="0" collapsed="false">
      <c r="A5" s="22" t="s">
        <v>48</v>
      </c>
      <c r="B5" s="14" t="n">
        <f aca="false">Assumptions!E14</f>
        <v>3021561.36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0.18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5" hidden="false" customHeight="false" outlineLevel="0" collapsed="false">
      <c r="A10" s="13" t="s">
        <v>70</v>
      </c>
      <c r="B10" s="29" t="n">
        <v>0.35</v>
      </c>
      <c r="C10" s="28" t="n">
        <f aca="false">$B$4*B10</f>
        <v>919605.631304348</v>
      </c>
      <c r="D10" s="28" t="n">
        <f aca="false">C10*$B$6</f>
        <v>137940.844695652</v>
      </c>
      <c r="E10" s="28" t="n">
        <f aca="false">C10+D10</f>
        <v>1057546.476</v>
      </c>
      <c r="F10" s="36" t="s">
        <v>71</v>
      </c>
    </row>
    <row r="11" customFormat="false" ht="15" hidden="false" customHeight="false" outlineLevel="0" collapsed="false">
      <c r="A11" s="13" t="s">
        <v>72</v>
      </c>
      <c r="B11" s="29" t="n">
        <v>0.2</v>
      </c>
      <c r="C11" s="28" t="n">
        <f aca="false">$B$4*B11</f>
        <v>525488.932173913</v>
      </c>
      <c r="D11" s="28" t="n">
        <f aca="false">C11*$B$6</f>
        <v>78823.339826087</v>
      </c>
      <c r="E11" s="28" t="n">
        <f aca="false">C11+D11</f>
        <v>604312.272</v>
      </c>
      <c r="F11" s="36" t="s">
        <v>73</v>
      </c>
    </row>
    <row r="12" customFormat="false" ht="15" hidden="false" customHeight="false" outlineLevel="0" collapsed="false">
      <c r="A12" s="13" t="s">
        <v>74</v>
      </c>
      <c r="B12" s="29" t="n">
        <v>0.25</v>
      </c>
      <c r="C12" s="28" t="n">
        <f aca="false">$B$4*B12</f>
        <v>656861.165217391</v>
      </c>
      <c r="D12" s="28" t="n">
        <f aca="false">C12*$B$6</f>
        <v>98529.1747826087</v>
      </c>
      <c r="E12" s="28" t="n">
        <f aca="false">C12+D12</f>
        <v>755390.34</v>
      </c>
      <c r="F12" s="36" t="s">
        <v>75</v>
      </c>
    </row>
    <row r="13" customFormat="false" ht="15" hidden="false" customHeight="false" outlineLevel="0" collapsed="false">
      <c r="A13" s="13" t="s">
        <v>76</v>
      </c>
      <c r="B13" s="29" t="n">
        <v>0.12</v>
      </c>
      <c r="C13" s="28" t="n">
        <f aca="false">$B$4*B13</f>
        <v>315293.359304348</v>
      </c>
      <c r="D13" s="28" t="n">
        <f aca="false">C13*$B$6</f>
        <v>47294.0038956522</v>
      </c>
      <c r="E13" s="28" t="n">
        <f aca="false">C13+D13</f>
        <v>362587.3632</v>
      </c>
      <c r="F13" s="36"/>
    </row>
    <row r="14" customFormat="false" ht="15" hidden="false" customHeight="false" outlineLevel="0" collapsed="false">
      <c r="A14" s="13" t="s">
        <v>77</v>
      </c>
      <c r="B14" s="29" t="n">
        <v>0.08</v>
      </c>
      <c r="C14" s="28" t="n">
        <f aca="false">$B$4*B14</f>
        <v>210195.572869565</v>
      </c>
      <c r="D14" s="28" t="n">
        <f aca="false">C14*$B$6</f>
        <v>31529.3359304348</v>
      </c>
      <c r="E14" s="28" t="n">
        <f aca="false">C14+D14</f>
        <v>241724.9088</v>
      </c>
      <c r="F14" s="36"/>
    </row>
    <row r="15" customFormat="false" ht="15" hidden="false" customHeight="false" outlineLevel="0" collapsed="false">
      <c r="A15" s="30" t="s">
        <v>67</v>
      </c>
      <c r="B15" s="31" t="n">
        <f aca="false">SUM(B10:B14)</f>
        <v>1</v>
      </c>
      <c r="C15" s="32" t="n">
        <f aca="false">SUM(C10:C14)</f>
        <v>2627444.66086957</v>
      </c>
      <c r="D15" s="32" t="n">
        <f aca="false">SUM(D10:D14)</f>
        <v>394116.699130435</v>
      </c>
      <c r="E15" s="32" t="n">
        <f aca="false">SUM(E10:E14)</f>
        <v>3021561.36</v>
      </c>
      <c r="F15" s="37"/>
    </row>
    <row r="16" customFormat="false" ht="15" hidden="false" customHeight="false" outlineLevel="0" collapsed="false">
      <c r="A16" s="21" t="s">
        <v>68</v>
      </c>
      <c r="B16" s="22" t="str">
        <f aca="false">IF(ROUND(B15,4)=1,"OK ✓","CHECK")</f>
        <v>OK ✓</v>
      </c>
      <c r="E16" s="22" t="str">
        <f aca="false">IF(ROUND(E15-B5,2)=0,"OK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15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78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Assumptions!C15</f>
        <v>4379074.43478261</v>
      </c>
    </row>
    <row r="5" customFormat="false" ht="15" hidden="false" customHeight="false" outlineLevel="0" collapsed="false">
      <c r="A5" s="22" t="s">
        <v>48</v>
      </c>
      <c r="B5" s="14" t="n">
        <f aca="false">Assumptions!E15</f>
        <v>5035935.6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0.3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5" hidden="false" customHeight="false" outlineLevel="0" collapsed="false">
      <c r="A10" s="13" t="s">
        <v>79</v>
      </c>
      <c r="B10" s="29" t="n">
        <v>0.2</v>
      </c>
      <c r="C10" s="28" t="n">
        <f aca="false">$B$4*B10</f>
        <v>875814.886956522</v>
      </c>
      <c r="D10" s="28" t="n">
        <f aca="false">C10*$B$6</f>
        <v>131372.233043478</v>
      </c>
      <c r="E10" s="28" t="n">
        <f aca="false">C10+D10</f>
        <v>1007187.12</v>
      </c>
      <c r="F10" s="36" t="s">
        <v>80</v>
      </c>
    </row>
    <row r="11" customFormat="false" ht="15" hidden="false" customHeight="false" outlineLevel="0" collapsed="false">
      <c r="A11" s="13" t="s">
        <v>81</v>
      </c>
      <c r="B11" s="29" t="n">
        <v>0.25</v>
      </c>
      <c r="C11" s="28" t="n">
        <f aca="false">$B$4*B11</f>
        <v>1094768.60869565</v>
      </c>
      <c r="D11" s="28" t="n">
        <f aca="false">C11*$B$6</f>
        <v>164215.291304348</v>
      </c>
      <c r="E11" s="28" t="n">
        <f aca="false">C11+D11</f>
        <v>1258983.9</v>
      </c>
      <c r="F11" s="36" t="s">
        <v>82</v>
      </c>
    </row>
    <row r="12" customFormat="false" ht="15" hidden="false" customHeight="false" outlineLevel="0" collapsed="false">
      <c r="A12" s="13" t="s">
        <v>83</v>
      </c>
      <c r="B12" s="29" t="n">
        <v>0.15</v>
      </c>
      <c r="C12" s="28" t="n">
        <f aca="false">$B$4*B12</f>
        <v>656861.165217391</v>
      </c>
      <c r="D12" s="28" t="n">
        <f aca="false">C12*$B$6</f>
        <v>98529.1747826087</v>
      </c>
      <c r="E12" s="28" t="n">
        <f aca="false">C12+D12</f>
        <v>755390.34</v>
      </c>
      <c r="F12" s="36" t="s">
        <v>84</v>
      </c>
    </row>
    <row r="13" customFormat="false" ht="15" hidden="false" customHeight="false" outlineLevel="0" collapsed="false">
      <c r="A13" s="13" t="s">
        <v>85</v>
      </c>
      <c r="B13" s="29" t="n">
        <v>0.1</v>
      </c>
      <c r="C13" s="28" t="n">
        <f aca="false">$B$4*B13</f>
        <v>437907.443478261</v>
      </c>
      <c r="D13" s="28" t="n">
        <f aca="false">C13*$B$6</f>
        <v>65686.1165217391</v>
      </c>
      <c r="E13" s="28" t="n">
        <f aca="false">C13+D13</f>
        <v>503593.56</v>
      </c>
      <c r="F13" s="36" t="s">
        <v>86</v>
      </c>
    </row>
    <row r="14" customFormat="false" ht="15" hidden="false" customHeight="false" outlineLevel="0" collapsed="false">
      <c r="A14" s="13" t="s">
        <v>87</v>
      </c>
      <c r="B14" s="29" t="n">
        <v>0.12</v>
      </c>
      <c r="C14" s="28" t="n">
        <f aca="false">$B$4*B14</f>
        <v>525488.932173913</v>
      </c>
      <c r="D14" s="28" t="n">
        <f aca="false">C14*$B$6</f>
        <v>78823.339826087</v>
      </c>
      <c r="E14" s="28" t="n">
        <f aca="false">C14+D14</f>
        <v>604312.272</v>
      </c>
      <c r="F14" s="36" t="s">
        <v>88</v>
      </c>
    </row>
    <row r="15" customFormat="false" ht="23.85" hidden="false" customHeight="false" outlineLevel="0" collapsed="false">
      <c r="A15" s="13" t="s">
        <v>89</v>
      </c>
      <c r="B15" s="29" t="n">
        <v>0.1</v>
      </c>
      <c r="C15" s="28" t="n">
        <f aca="false">$B$4*B15</f>
        <v>437907.443478261</v>
      </c>
      <c r="D15" s="28" t="n">
        <f aca="false">C15*$B$6</f>
        <v>65686.1165217391</v>
      </c>
      <c r="E15" s="28" t="n">
        <f aca="false">C15+D15</f>
        <v>503593.56</v>
      </c>
      <c r="F15" s="36" t="s">
        <v>90</v>
      </c>
    </row>
    <row r="16" customFormat="false" ht="15" hidden="false" customHeight="false" outlineLevel="0" collapsed="false">
      <c r="A16" s="13" t="s">
        <v>91</v>
      </c>
      <c r="B16" s="29" t="n">
        <v>0.08</v>
      </c>
      <c r="C16" s="28" t="n">
        <f aca="false">$B$4*B16</f>
        <v>350325.954782609</v>
      </c>
      <c r="D16" s="28" t="n">
        <f aca="false">C16*$B$6</f>
        <v>52548.8932173913</v>
      </c>
      <c r="E16" s="28" t="n">
        <f aca="false">C16+D16</f>
        <v>402874.848</v>
      </c>
      <c r="F16" s="36"/>
    </row>
    <row r="17" customFormat="false" ht="15" hidden="false" customHeight="false" outlineLevel="0" collapsed="false">
      <c r="A17" s="30" t="s">
        <v>67</v>
      </c>
      <c r="B17" s="31" t="n">
        <f aca="false">SUM(B10:B16)</f>
        <v>1</v>
      </c>
      <c r="C17" s="32" t="n">
        <f aca="false">SUM(C10:C16)</f>
        <v>4379074.43478261</v>
      </c>
      <c r="D17" s="32" t="n">
        <f aca="false">SUM(D10:D16)</f>
        <v>656861.165217391</v>
      </c>
      <c r="E17" s="32" t="n">
        <f aca="false">SUM(E10:E16)</f>
        <v>5035935.6</v>
      </c>
      <c r="F17" s="37"/>
    </row>
    <row r="18" customFormat="false" ht="15" hidden="false" customHeight="false" outlineLevel="0" collapsed="false">
      <c r="A18" s="21" t="s">
        <v>68</v>
      </c>
      <c r="B18" s="22" t="str">
        <f aca="false">IF(ROUND(B17,4)=1,"OK ✓","CHECK")</f>
        <v>OK ✓</v>
      </c>
      <c r="E18" s="22" t="str">
        <f aca="false">IF(ROUND(E17-B5,2)=0,"OK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16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92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Assumptions!C16</f>
        <v>1459691.47826087</v>
      </c>
    </row>
    <row r="5" customFormat="false" ht="15" hidden="false" customHeight="false" outlineLevel="0" collapsed="false">
      <c r="A5" s="22" t="s">
        <v>48</v>
      </c>
      <c r="B5" s="14" t="n">
        <f aca="false">Assumptions!E16</f>
        <v>1678645.2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0.1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23.85" hidden="false" customHeight="false" outlineLevel="0" collapsed="false">
      <c r="A10" s="13" t="s">
        <v>93</v>
      </c>
      <c r="B10" s="29" t="n">
        <v>0.65</v>
      </c>
      <c r="C10" s="28" t="n">
        <f aca="false">$B$4*B10</f>
        <v>948799.460869566</v>
      </c>
      <c r="D10" s="28" t="n">
        <f aca="false">C10*$B$6</f>
        <v>142319.919130435</v>
      </c>
      <c r="E10" s="28" t="n">
        <f aca="false">C10+D10</f>
        <v>1091119.38</v>
      </c>
      <c r="F10" s="36" t="s">
        <v>94</v>
      </c>
    </row>
    <row r="11" customFormat="false" ht="15" hidden="false" customHeight="false" outlineLevel="0" collapsed="false">
      <c r="A11" s="13" t="s">
        <v>95</v>
      </c>
      <c r="B11" s="29" t="n">
        <v>0.15</v>
      </c>
      <c r="C11" s="28" t="n">
        <f aca="false">$B$4*B11</f>
        <v>218953.72173913</v>
      </c>
      <c r="D11" s="28" t="n">
        <f aca="false">C11*$B$6</f>
        <v>32843.0582608696</v>
      </c>
      <c r="E11" s="28" t="n">
        <f aca="false">C11+D11</f>
        <v>251796.78</v>
      </c>
      <c r="F11" s="36"/>
    </row>
    <row r="12" customFormat="false" ht="15" hidden="false" customHeight="false" outlineLevel="0" collapsed="false">
      <c r="A12" s="13" t="s">
        <v>96</v>
      </c>
      <c r="B12" s="29" t="n">
        <v>0.12</v>
      </c>
      <c r="C12" s="28" t="n">
        <f aca="false">$B$4*B12</f>
        <v>175162.977391304</v>
      </c>
      <c r="D12" s="28" t="n">
        <f aca="false">C12*$B$6</f>
        <v>26274.4466086957</v>
      </c>
      <c r="E12" s="28" t="n">
        <f aca="false">C12+D12</f>
        <v>201437.424</v>
      </c>
      <c r="F12" s="36"/>
    </row>
    <row r="13" customFormat="false" ht="15" hidden="false" customHeight="false" outlineLevel="0" collapsed="false">
      <c r="A13" s="13" t="s">
        <v>97</v>
      </c>
      <c r="B13" s="29" t="n">
        <v>0.08</v>
      </c>
      <c r="C13" s="28" t="n">
        <f aca="false">$B$4*B13</f>
        <v>116775.31826087</v>
      </c>
      <c r="D13" s="28" t="n">
        <f aca="false">C13*$B$6</f>
        <v>17516.2977391304</v>
      </c>
      <c r="E13" s="28" t="n">
        <f aca="false">C13+D13</f>
        <v>134291.616</v>
      </c>
      <c r="F13" s="36"/>
    </row>
    <row r="14" customFormat="false" ht="15" hidden="false" customHeight="false" outlineLevel="0" collapsed="false">
      <c r="A14" s="30" t="s">
        <v>67</v>
      </c>
      <c r="B14" s="31" t="n">
        <f aca="false">SUM(B10:B13)</f>
        <v>1</v>
      </c>
      <c r="C14" s="32" t="n">
        <f aca="false">SUM(C10:C13)</f>
        <v>1459691.47826087</v>
      </c>
      <c r="D14" s="32" t="n">
        <f aca="false">SUM(D10:D13)</f>
        <v>218953.72173913</v>
      </c>
      <c r="E14" s="32" t="n">
        <f aca="false">SUM(E10:E13)</f>
        <v>1678645.2</v>
      </c>
      <c r="F14" s="37"/>
    </row>
    <row r="15" customFormat="false" ht="15" hidden="false" customHeight="false" outlineLevel="0" collapsed="false">
      <c r="A15" s="21" t="s">
        <v>68</v>
      </c>
      <c r="B15" s="22" t="str">
        <f aca="false">IF(ROUND(B14,4)=1,"OK ✓","CHECK")</f>
        <v>OK ✓</v>
      </c>
      <c r="E15" s="22" t="str">
        <f aca="false">IF(ROUND(E14-B5,2)=0,"OK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17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98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Assumptions!C17</f>
        <v>1167753.1826087</v>
      </c>
    </row>
    <row r="5" customFormat="false" ht="15" hidden="false" customHeight="false" outlineLevel="0" collapsed="false">
      <c r="A5" s="22" t="s">
        <v>48</v>
      </c>
      <c r="B5" s="14" t="n">
        <f aca="false">Assumptions!E17</f>
        <v>1342916.16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0.08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5" hidden="false" customHeight="false" outlineLevel="0" collapsed="false">
      <c r="A10" s="13" t="s">
        <v>99</v>
      </c>
      <c r="B10" s="29" t="n">
        <v>0.25</v>
      </c>
      <c r="C10" s="28" t="n">
        <f aca="false">$B$4*B10</f>
        <v>291938.295652174</v>
      </c>
      <c r="D10" s="28" t="n">
        <f aca="false">C10*$B$6</f>
        <v>43790.7443478261</v>
      </c>
      <c r="E10" s="28" t="n">
        <f aca="false">C10+D10</f>
        <v>335729.04</v>
      </c>
      <c r="F10" s="36"/>
    </row>
    <row r="11" customFormat="false" ht="15" hidden="false" customHeight="false" outlineLevel="0" collapsed="false">
      <c r="A11" s="13" t="s">
        <v>100</v>
      </c>
      <c r="B11" s="29" t="n">
        <v>0.3</v>
      </c>
      <c r="C11" s="28" t="n">
        <f aca="false">$B$4*B11</f>
        <v>350325.954782609</v>
      </c>
      <c r="D11" s="28" t="n">
        <f aca="false">C11*$B$6</f>
        <v>52548.8932173913</v>
      </c>
      <c r="E11" s="28" t="n">
        <f aca="false">C11+D11</f>
        <v>402874.848</v>
      </c>
      <c r="F11" s="36"/>
    </row>
    <row r="12" customFormat="false" ht="15" hidden="false" customHeight="false" outlineLevel="0" collapsed="false">
      <c r="A12" s="13" t="s">
        <v>101</v>
      </c>
      <c r="B12" s="29" t="n">
        <v>0.25</v>
      </c>
      <c r="C12" s="28" t="n">
        <f aca="false">$B$4*B12</f>
        <v>291938.295652174</v>
      </c>
      <c r="D12" s="28" t="n">
        <f aca="false">C12*$B$6</f>
        <v>43790.7443478261</v>
      </c>
      <c r="E12" s="28" t="n">
        <f aca="false">C12+D12</f>
        <v>335729.04</v>
      </c>
      <c r="F12" s="36"/>
    </row>
    <row r="13" customFormat="false" ht="15" hidden="false" customHeight="false" outlineLevel="0" collapsed="false">
      <c r="A13" s="13" t="s">
        <v>102</v>
      </c>
      <c r="B13" s="29" t="n">
        <v>0.2</v>
      </c>
      <c r="C13" s="28" t="n">
        <f aca="false">$B$4*B13</f>
        <v>233550.636521739</v>
      </c>
      <c r="D13" s="28" t="n">
        <f aca="false">C13*$B$6</f>
        <v>35032.5954782609</v>
      </c>
      <c r="E13" s="28" t="n">
        <f aca="false">C13+D13</f>
        <v>268583.232</v>
      </c>
      <c r="F13" s="36"/>
    </row>
    <row r="14" customFormat="false" ht="15" hidden="false" customHeight="false" outlineLevel="0" collapsed="false">
      <c r="A14" s="30" t="s">
        <v>67</v>
      </c>
      <c r="B14" s="31" t="n">
        <f aca="false">SUM(B10:B13)</f>
        <v>1</v>
      </c>
      <c r="C14" s="32" t="n">
        <f aca="false">SUM(C10:C13)</f>
        <v>1167753.1826087</v>
      </c>
      <c r="D14" s="32" t="n">
        <f aca="false">SUM(D10:D13)</f>
        <v>175162.977391304</v>
      </c>
      <c r="E14" s="32" t="n">
        <f aca="false">SUM(E10:E13)</f>
        <v>1342916.16</v>
      </c>
      <c r="F14" s="37"/>
    </row>
    <row r="15" customFormat="false" ht="15" hidden="false" customHeight="false" outlineLevel="0" collapsed="false">
      <c r="A15" s="21" t="s">
        <v>68</v>
      </c>
      <c r="B15" s="22" t="str">
        <f aca="false">IF(ROUND(B14,4)=1,"OK ✓","CHECK")</f>
        <v>OK ✓</v>
      </c>
      <c r="E15" s="22" t="str">
        <f aca="false">IF(ROUND(E14-B5,2)=0,"OK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18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103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Assumptions!C18</f>
        <v>2335506.36521739</v>
      </c>
    </row>
    <row r="5" customFormat="false" ht="15" hidden="false" customHeight="false" outlineLevel="0" collapsed="false">
      <c r="A5" s="22" t="s">
        <v>48</v>
      </c>
      <c r="B5" s="14" t="n">
        <f aca="false">Assumptions!E18</f>
        <v>2685832.32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0.16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5" hidden="false" customHeight="false" outlineLevel="0" collapsed="false">
      <c r="A10" s="13" t="s">
        <v>104</v>
      </c>
      <c r="B10" s="29" t="n">
        <v>0.3</v>
      </c>
      <c r="C10" s="28" t="n">
        <f aca="false">$B$4*B10</f>
        <v>700651.909565217</v>
      </c>
      <c r="D10" s="28" t="n">
        <f aca="false">C10*$B$6</f>
        <v>105097.786434783</v>
      </c>
      <c r="E10" s="28" t="n">
        <f aca="false">C10+D10</f>
        <v>805749.696</v>
      </c>
      <c r="F10" s="36"/>
    </row>
    <row r="11" customFormat="false" ht="15" hidden="false" customHeight="false" outlineLevel="0" collapsed="false">
      <c r="A11" s="13" t="s">
        <v>105</v>
      </c>
      <c r="B11" s="29" t="n">
        <v>0.25</v>
      </c>
      <c r="C11" s="28" t="n">
        <f aca="false">$B$4*B11</f>
        <v>583876.591304348</v>
      </c>
      <c r="D11" s="28" t="n">
        <f aca="false">C11*$B$6</f>
        <v>87581.4886956522</v>
      </c>
      <c r="E11" s="28" t="n">
        <f aca="false">C11+D11</f>
        <v>671458.08</v>
      </c>
      <c r="F11" s="36"/>
    </row>
    <row r="12" customFormat="false" ht="15" hidden="false" customHeight="false" outlineLevel="0" collapsed="false">
      <c r="A12" s="13" t="s">
        <v>106</v>
      </c>
      <c r="B12" s="29" t="n">
        <v>0.2</v>
      </c>
      <c r="C12" s="28" t="n">
        <f aca="false">$B$4*B12</f>
        <v>467101.273043478</v>
      </c>
      <c r="D12" s="28" t="n">
        <f aca="false">C12*$B$6</f>
        <v>70065.1909565218</v>
      </c>
      <c r="E12" s="28" t="n">
        <f aca="false">C12+D12</f>
        <v>537166.464</v>
      </c>
      <c r="F12" s="36"/>
    </row>
    <row r="13" customFormat="false" ht="15" hidden="false" customHeight="false" outlineLevel="0" collapsed="false">
      <c r="A13" s="13" t="s">
        <v>107</v>
      </c>
      <c r="B13" s="29" t="n">
        <v>0.15</v>
      </c>
      <c r="C13" s="28" t="n">
        <f aca="false">$B$4*B13</f>
        <v>350325.954782609</v>
      </c>
      <c r="D13" s="28" t="n">
        <f aca="false">C13*$B$6</f>
        <v>52548.8932173913</v>
      </c>
      <c r="E13" s="28" t="n">
        <f aca="false">C13+D13</f>
        <v>402874.848</v>
      </c>
      <c r="F13" s="36"/>
    </row>
    <row r="14" customFormat="false" ht="15" hidden="false" customHeight="false" outlineLevel="0" collapsed="false">
      <c r="A14" s="13" t="s">
        <v>108</v>
      </c>
      <c r="B14" s="29" t="n">
        <v>0.1</v>
      </c>
      <c r="C14" s="28" t="n">
        <f aca="false">$B$4*B14</f>
        <v>233550.636521739</v>
      </c>
      <c r="D14" s="28" t="n">
        <f aca="false">C14*$B$6</f>
        <v>35032.5954782609</v>
      </c>
      <c r="E14" s="28" t="n">
        <f aca="false">C14+D14</f>
        <v>268583.232</v>
      </c>
      <c r="F14" s="36"/>
    </row>
    <row r="15" customFormat="false" ht="15" hidden="false" customHeight="false" outlineLevel="0" collapsed="false">
      <c r="A15" s="30" t="s">
        <v>67</v>
      </c>
      <c r="B15" s="31" t="n">
        <f aca="false">SUM(B10:B14)</f>
        <v>1</v>
      </c>
      <c r="C15" s="32" t="n">
        <f aca="false">SUM(C10:C14)</f>
        <v>2335506.36521739</v>
      </c>
      <c r="D15" s="32" t="n">
        <f aca="false">SUM(D10:D14)</f>
        <v>350325.954782609</v>
      </c>
      <c r="E15" s="32" t="n">
        <f aca="false">SUM(E10:E14)</f>
        <v>2685832.32</v>
      </c>
      <c r="F15" s="37"/>
    </row>
    <row r="16" customFormat="false" ht="15" hidden="false" customHeight="false" outlineLevel="0" collapsed="false">
      <c r="A16" s="21" t="s">
        <v>68</v>
      </c>
      <c r="B16" s="22" t="str">
        <f aca="false">IF(ROUND(B15,4)=1,"OK ✓","CHECK")</f>
        <v>OK ✓</v>
      </c>
      <c r="E16" s="22" t="str">
        <f aca="false">IF(ROUND(E15-B5,2)=0,"OK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23" t="s">
        <v>19</v>
      </c>
      <c r="B1" s="23"/>
      <c r="C1" s="23"/>
      <c r="D1" s="23"/>
      <c r="E1" s="23"/>
      <c r="F1" s="23"/>
    </row>
    <row r="2" customFormat="false" ht="27.75" hidden="false" customHeight="true" outlineLevel="0" collapsed="false">
      <c r="A2" s="24" t="s">
        <v>109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2" t="s">
        <v>47</v>
      </c>
      <c r="B4" s="14" t="n">
        <f aca="false">Assumptions!C19</f>
        <v>1459691.47826087</v>
      </c>
    </row>
    <row r="5" customFormat="false" ht="15" hidden="false" customHeight="false" outlineLevel="0" collapsed="false">
      <c r="A5" s="22" t="s">
        <v>48</v>
      </c>
      <c r="B5" s="14" t="n">
        <f aca="false">Assumptions!E19</f>
        <v>1678645.2</v>
      </c>
    </row>
    <row r="6" customFormat="false" ht="15" hidden="false" customHeight="false" outlineLevel="0" collapsed="false">
      <c r="A6" s="22" t="s">
        <v>49</v>
      </c>
      <c r="B6" s="35" t="n">
        <f aca="false">Assumptions!$B$6</f>
        <v>0.15</v>
      </c>
    </row>
    <row r="7" customFormat="false" ht="15" hidden="false" customHeight="false" outlineLevel="0" collapsed="false">
      <c r="A7" s="22" t="s">
        <v>50</v>
      </c>
      <c r="B7" s="15" t="n">
        <f aca="false">B5/Assumptions!$B$5</f>
        <v>0.1</v>
      </c>
    </row>
    <row r="8" customFormat="false" ht="18" hidden="false" customHeight="true" outlineLevel="0" collapsed="false">
      <c r="A8" s="7" t="s">
        <v>51</v>
      </c>
      <c r="B8" s="7"/>
      <c r="C8" s="7"/>
      <c r="D8" s="7"/>
      <c r="E8" s="7"/>
      <c r="F8" s="7"/>
    </row>
    <row r="9" customFormat="false" ht="27.75" hidden="false" customHeight="true" outlineLevel="0" collapsed="false">
      <c r="A9" s="8" t="s">
        <v>52</v>
      </c>
      <c r="B9" s="8" t="s">
        <v>53</v>
      </c>
      <c r="C9" s="8" t="s">
        <v>54</v>
      </c>
      <c r="D9" s="8" t="s">
        <v>10</v>
      </c>
      <c r="E9" s="8" t="s">
        <v>55</v>
      </c>
      <c r="F9" s="8" t="s">
        <v>56</v>
      </c>
    </row>
    <row r="10" customFormat="false" ht="19.4" hidden="false" customHeight="false" outlineLevel="0" collapsed="false">
      <c r="A10" s="13" t="s">
        <v>110</v>
      </c>
      <c r="B10" s="29" t="n">
        <v>1</v>
      </c>
      <c r="C10" s="28" t="n">
        <f aca="false">$B$4*B10</f>
        <v>1459691.47826087</v>
      </c>
      <c r="D10" s="28" t="n">
        <f aca="false">C10*$B$6</f>
        <v>218953.72173913</v>
      </c>
      <c r="E10" s="28" t="n">
        <f aca="false">C10+D10</f>
        <v>1678645.2</v>
      </c>
      <c r="F10" s="36" t="s">
        <v>111</v>
      </c>
    </row>
    <row r="11" customFormat="false" ht="15" hidden="false" customHeight="false" outlineLevel="0" collapsed="false">
      <c r="A11" s="30" t="s">
        <v>67</v>
      </c>
      <c r="B11" s="31" t="n">
        <f aca="false">SUM(B10:B10)</f>
        <v>1</v>
      </c>
      <c r="C11" s="32" t="n">
        <f aca="false">SUM(C10:C10)</f>
        <v>1459691.47826087</v>
      </c>
      <c r="D11" s="32" t="n">
        <f aca="false">SUM(D10:D10)</f>
        <v>218953.72173913</v>
      </c>
      <c r="E11" s="32" t="n">
        <f aca="false">SUM(E10:E10)</f>
        <v>1678645.2</v>
      </c>
      <c r="F11" s="37"/>
    </row>
    <row r="12" customFormat="false" ht="15" hidden="false" customHeight="false" outlineLevel="0" collapsed="false">
      <c r="A12" s="21" t="s">
        <v>68</v>
      </c>
      <c r="B12" s="22" t="str">
        <f aca="false">IF(ROUND(B11,4)=1,"OK ✓","CHECK")</f>
        <v>OK ✓</v>
      </c>
      <c r="E12" s="22" t="str">
        <f aca="false">IF(ROUND(E11-B5,2)=0,"OK ✓","CHECK")</f>
        <v>OK ✓</v>
      </c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2026-08-04T22:31:57Z</dcterms:created>
  <dc:creator>openpyxl</dc:creator>
  <dc:description/>
  <dc:language>en-US</dc:language>
  <cp:lastModifiedBy/>
  <dcterms:modified xsi:type="dcterms:W3CDTF">2026-08-04T22:32:04Z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
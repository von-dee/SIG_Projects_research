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ummary" sheetId="3" state="visible" r:id="rId5"/>
    <sheet name="Phase 0 - Diagnostic" sheetId="4" state="visible" r:id="rId6"/>
    <sheet name="Phase 1 - Foundational" sheetId="5" state="visible" r:id="rId7"/>
    <sheet name="Phase 2 - Corridor-Fleet" sheetId="6" state="visible" r:id="rId8"/>
    <sheet name="Phase 3 - Marking-Fusion" sheetId="7" state="visible" r:id="rId9"/>
    <sheet name="Support-Subscription (Yr2+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<sst xmlns="http://schemas.openxmlformats.org/spreadsheetml/2006/main" count="204" uniqueCount="137">
  <si>
    <t xml:space="preserve">GasGuard Suite — Integrated Budget Model</t>
  </si>
  <si>
    <t xml:space="preserve">Prepared by Smart Innovations Ghana Limited (SIGL) for Ghana National Gas Company (GNGC)</t>
  </si>
  <si>
    <t xml:space="preserve">CONFIDENTIAL — Prepared exclusively for GNGC evaluation purposes | July 2026</t>
  </si>
  <si>
    <t xml:space="preserve">How this workbook works</t>
  </si>
  <si>
    <t xml:space="preserve">This workbook contains a single, project-wide budget of GHS 16,000,000 (tax-inclusive), phased in line with Section 6 of the SIGL proposal (Phase 0 - Phase 3). All figures are driven from the Assumptions tab: change any blue cell there and every phase tab, plus the Summary tab, recalculates automatically.</t>
  </si>
  <si>
    <t xml:space="preserve">Tab</t>
  </si>
  <si>
    <t xml:space="preserve">Purpose</t>
  </si>
  <si>
    <t xml:space="preserve">Assumptions</t>
  </si>
  <si>
    <t xml:space="preserve">Master control tab. Set the total contract value, the effective tax rate, the % of budget allocated to each phase, and the % split of each phase across cost categories (hardware, software, professional services, training, project management, contingency). Also sets the illustrative Year 2+ support fee.</t>
  </si>
  <si>
    <t xml:space="preserve">Summary</t>
  </si>
  <si>
    <t xml:space="preserve">Roll-up of all four phases: tax-exclusive subtotal, tax, and tax-inclusive total per phase, reconciled against the Assumptions tab.</t>
  </si>
  <si>
    <t xml:space="preserve">Phase 0 - Diagnostic</t>
  </si>
  <si>
    <t xml:space="preserve">Joint diagnostic assessment (Weeks 1-6): infrastructure review, data review, site survey, business case.</t>
  </si>
  <si>
    <t xml:space="preserve">Phase 1 - Foundational</t>
  </si>
  <si>
    <t xml:space="preserve">Foundational modules (Months 2-8): GasGuard Reconcile, GasGuard FieldLink, core GasGuard Fusion dashboard.</t>
  </si>
  <si>
    <t xml:space="preserve">Phase 2 - Corridor-Fleet</t>
  </si>
  <si>
    <t xml:space="preserve">Corridor and fleet instrumentation (Months 6-14): GasGuard FiberWatch, GasGuard TrackTrace, GasGuard SkyView.</t>
  </si>
  <si>
    <t xml:space="preserve">Phase 3 - Marking-Fusion</t>
  </si>
  <si>
    <t xml:space="preserve">Product marking and full fusion (Months 12-18): GasGuard MarkChain and full AI/ML fusion-layer integration.</t>
  </si>
  <si>
    <t xml:space="preserve">Colour legend</t>
  </si>
  <si>
    <t xml:space="preserve">Blue text</t>
  </si>
  <si>
    <t xml:space="preserve">Editable input — safe to change.</t>
  </si>
  <si>
    <t xml:space="preserve">Black text</t>
  </si>
  <si>
    <t xml:space="preserve">Formula calculated within the same sheet — do not overtype.</t>
  </si>
  <si>
    <t xml:space="preserve">Green text</t>
  </si>
  <si>
    <t xml:space="preserve">Formula linked from another sheet (usually Assumptions) — do not overtype.</t>
  </si>
  <si>
    <t xml:space="preserve">Note on tax</t>
  </si>
  <si>
    <t xml:space="preserve">The effective rate combines VAT (15%), NHIL (2.5%) and GETFund (2.5%) on the same base, per Ghana's VAT Act, 2025 (Act 1151), effective 1 January 2026 (Ghana Revenue Authority). Adjust the rate in Assumptions!C8 if regulations change.</t>
  </si>
  <si>
    <t xml:space="preserve">GasGuard Suite — Master Budget Assumptions</t>
  </si>
  <si>
    <t xml:space="preserve">Ghana National Gas Company (GNGC) — Integrated Pipeline Monitoring, Loss-Prevention &amp; Custody-Integrity Platform</t>
  </si>
  <si>
    <t xml:space="preserve">EDIT ONLY THE BLUE CELLS BELOW. All phase, category and summary totals recalculate automatically from these inputs.</t>
  </si>
  <si>
    <t xml:space="preserve">1.  CONTRACT VALUE &amp; TAX</t>
  </si>
  <si>
    <t xml:space="preserve">Total Contract Value (Tax-Inclusive, GHS)</t>
  </si>
  <si>
    <t xml:space="preserve">Effective Tax Rate  (VAT 15% + NHIL 2.5% + GETFund 2.5%, same base)</t>
  </si>
  <si>
    <t xml:space="preserve">Tax-Exclusive Contract Value (GHS)</t>
  </si>
  <si>
    <t xml:space="preserve">Total Tax Amount (GHS)</t>
  </si>
  <si>
    <t xml:space="preserve">Source: Ghana Revenue Authority, VAT Act, 2025 (Act 1151), effective 1 January 2026 (combined VAT + NHIL + GETFund = 20.0% effective rate). https://gra.gov.gh/domestic-tax/tax-types/vat/</t>
  </si>
  <si>
    <t xml:space="preserve">2.  PHASE ALLOCATION  (% of Tax-Exclusive Contract Value)</t>
  </si>
  <si>
    <t xml:space="preserve">Phase</t>
  </si>
  <si>
    <t xml:space="preserve">% Allocation</t>
  </si>
  <si>
    <t xml:space="preserve">Tax-Exclusive Amount (GHS)</t>
  </si>
  <si>
    <t xml:space="preserve">Tax (GHS)</t>
  </si>
  <si>
    <t xml:space="preserve">Tax-Inclusive Amount (GHS)</t>
  </si>
  <si>
    <t xml:space="preserve">Phase 0 - Diagnostic Assessment</t>
  </si>
  <si>
    <t xml:space="preserve">Phase 1 - Foundational Modules</t>
  </si>
  <si>
    <t xml:space="preserve">Phase 2 - Corridor &amp; Fleet Instrumentation</t>
  </si>
  <si>
    <t xml:space="preserve">Phase 3 - Product Marking &amp; Full Fusion</t>
  </si>
  <si>
    <t xml:space="preserve">TOTAL</t>
  </si>
  <si>
    <t xml:space="preserve">Check: % Allocation sums to 100%?</t>
  </si>
  <si>
    <t xml:space="preserve">3.  COST CATEGORY ALLOCATION  (% within each Phase — each column must total 100%)</t>
  </si>
  <si>
    <t xml:space="preserve">Cost Category</t>
  </si>
  <si>
    <t xml:space="preserve">Phase 0</t>
  </si>
  <si>
    <t xml:space="preserve">Phase 1</t>
  </si>
  <si>
    <t xml:space="preserve">Phase 2</t>
  </si>
  <si>
    <t xml:space="preserve">Phase 3</t>
  </si>
  <si>
    <t xml:space="preserve">Hardware &amp; Equipment Procurement</t>
  </si>
  <si>
    <t xml:space="preserve">Software Licensing &amp; Platform Integration</t>
  </si>
  <si>
    <t xml:space="preserve">Professional Services &amp; Implementation</t>
  </si>
  <si>
    <t xml:space="preserve">Training &amp; Knowledge Transfer</t>
  </si>
  <si>
    <t xml:space="preserve">Project Management &amp; Governance</t>
  </si>
  <si>
    <t xml:space="preserve">Contingency</t>
  </si>
  <si>
    <t xml:space="preserve">TOTAL (must equal 100%)</t>
  </si>
  <si>
    <t xml:space="preserve">4.  YEAR 2+ ANNUAL SUPPORT &amp; SUBSCRIPTION  (illustrative — NOT included in the GHS 16,000,000 Phase 0-3 total)</t>
  </si>
  <si>
    <t xml:space="preserve">Annual Support Fee (% of cumulative Software Licensing value)</t>
  </si>
  <si>
    <t xml:space="preserve">Cumulative Software Licensing Value (Tax-Exclusive, GHS)</t>
  </si>
  <si>
    <t xml:space="preserve">Annual Support Fee (Tax-Exclusive, GHS)</t>
  </si>
  <si>
    <t xml:space="preserve">Annual Support Fee (Tax-Inclusive, GHS)</t>
  </si>
  <si>
    <t xml:space="preserve">Recommended commercial structure per proposal Section 8: one-time integration/implementation fees (Phases 0-3 above) plus an annual software-and-support subscription beginning in Year 2, following Phase 1 go-live.</t>
  </si>
  <si>
    <t xml:space="preserve">GasGuard Suite — Budget Summary</t>
  </si>
  <si>
    <t xml:space="preserve">Roll-up of all phases, reconciled against the Assumptions tab. Change inputs on the Assumptions tab; this sheet updates automatically.</t>
  </si>
  <si>
    <t xml:space="preserve">Subtotal (Tax-Excl, GHS)</t>
  </si>
  <si>
    <t xml:space="preserve">Total (Tax-Incl, GHS)</t>
  </si>
  <si>
    <t xml:space="preserve">% of Project</t>
  </si>
  <si>
    <t xml:space="preserve">GRAND TOTAL</t>
  </si>
  <si>
    <t xml:space="preserve">Check: Grand Total = Assumptions Total Contract Value?</t>
  </si>
  <si>
    <t xml:space="preserve">COST CATEGORY ROLL-UP  (across all phases, Tax-Exclusive GHS)</t>
  </si>
  <si>
    <t xml:space="preserve">Total (Tax-Excl, GHS)</t>
  </si>
  <si>
    <t xml:space="preserve">PHASE 0 — Joint Diagnostic Assessment</t>
  </si>
  <si>
    <t xml:space="preserve">Weeks 1-6  |  SCADA/metering/reporting review, internal loss-data review (NDA), site survey, GNGC-specific business case</t>
  </si>
  <si>
    <t xml:space="preserve">Phase Total (Tax-Exclusive, GHS)</t>
  </si>
  <si>
    <t xml:space="preserve">Effective Tax Rate</t>
  </si>
  <si>
    <t xml:space="preserve">Phase Total (Tax-Inclusive, GHS)</t>
  </si>
  <si>
    <t xml:space="preserve">Cost Category / Line Item</t>
  </si>
  <si>
    <t xml:space="preserve">Weight</t>
  </si>
  <si>
    <t xml:space="preserve">Amount (Tax-Excl, GHS)</t>
  </si>
  <si>
    <t xml:space="preserve">PROFESSIONAL SERVICES &amp; IMPLEMENTATION</t>
  </si>
  <si>
    <t xml:space="preserve">      Site survey &amp; data review (Atuabo plant, offshore WAGP corridor, LPG routes)</t>
  </si>
  <si>
    <t xml:space="preserve">      SCADA / metering infrastructure review</t>
  </si>
  <si>
    <t xml:space="preserve">      Business case &amp; prioritized deployment plan development</t>
  </si>
  <si>
    <t xml:space="preserve">PROJECT MANAGEMENT &amp; GOVERNANCE</t>
  </si>
  <si>
    <t xml:space="preserve">      Phase 0 project coordination &amp; GNGC liaison</t>
  </si>
  <si>
    <t xml:space="preserve">TRAINING &amp; KNOWLEDGE TRANSFER</t>
  </si>
  <si>
    <t xml:space="preserve">      Kickoff workshops with GNGC technical, integrity &amp; IT/OT teams</t>
  </si>
  <si>
    <t xml:space="preserve">CONTINGENCY</t>
  </si>
  <si>
    <t xml:space="preserve">      Contingency reserve</t>
  </si>
  <si>
    <t xml:space="preserve">SUBTOTAL (Tax-Exclusive, GHS)</t>
  </si>
  <si>
    <t xml:space="preserve">Tax (Effective Rate)</t>
  </si>
  <si>
    <t xml:space="preserve">TOTAL (Tax-Inclusive, GHS)</t>
  </si>
  <si>
    <t xml:space="preserve">Check vs Assumptions Phase Total</t>
  </si>
  <si>
    <t xml:space="preserve">PHASE 1 — Foundational Modules</t>
  </si>
  <si>
    <t xml:space="preserve">Months 2-8  |  GasGuard Reconcile across custody-transfer points, GasGuard FieldLink at priority sites, core GasGuard Fusion dashboard</t>
  </si>
  <si>
    <t xml:space="preserve">HARDWARE &amp; EQUIPMENT PROCUREMENT</t>
  </si>
  <si>
    <t xml:space="preserve">      IoT LPWAN / cellular sensors &amp; gateways (GasGuard FieldLink)</t>
  </si>
  <si>
    <t xml:space="preserve">      Metering interface / integration hardware (GasGuard Reconcile)</t>
  </si>
  <si>
    <t xml:space="preserve">SOFTWARE LICENSING &amp; PLATFORM INTEGRATION</t>
  </si>
  <si>
    <t xml:space="preserve">      GasGuard Reconcile (CPM mass-balance) licensing &amp; configuration</t>
  </si>
  <si>
    <t xml:space="preserve">      GasGuard Fusion core dashboard build</t>
  </si>
  <si>
    <t xml:space="preserve">      SCADA / telemetry data-integration connectors</t>
  </si>
  <si>
    <t xml:space="preserve">      Field deployment &amp; commissioning</t>
  </si>
  <si>
    <t xml:space="preserve">      Systems integration &amp; testing</t>
  </si>
  <si>
    <t xml:space="preserve">      Control-room &amp; field-staff training</t>
  </si>
  <si>
    <t xml:space="preserve">      Phase 1 project management</t>
  </si>
  <si>
    <t xml:space="preserve">PHASE 2 — Corridor &amp; Fleet Instrumentation</t>
  </si>
  <si>
    <t xml:space="preserve">Months 6-14  |  GasGuard FiberWatch on the offshore WAGP corridor, GasGuard TrackTrace on the LPG bulk-vehicle fleet, GasGuard SkyView onboarding</t>
  </si>
  <si>
    <t xml:space="preserve">      Fiber-optic DAS interrogator units &amp; cabling (GasGuard FiberWatch)</t>
  </si>
  <si>
    <t xml:space="preserve">      Tamper-evident flow meters &amp; GPS telematics units (GasGuard TrackTrace)</t>
  </si>
  <si>
    <t xml:space="preserve">      Satellite imagery subscription setup (GasGuard SkyView)</t>
  </si>
  <si>
    <t xml:space="preserve">      DAS analytics &amp; AIS vessel-tracking fusion</t>
  </si>
  <si>
    <t xml:space="preserve">      TrackTrace fleet-management software</t>
  </si>
  <si>
    <t xml:space="preserve">      SkyView satellite data integration</t>
  </si>
  <si>
    <t xml:space="preserve">      Offshore corridor installation &amp; commissioning</t>
  </si>
  <si>
    <t xml:space="preserve">      LPG bulk-fleet instrumentation rollout</t>
  </si>
  <si>
    <t xml:space="preserve">      Enforcement &amp; field-team training</t>
  </si>
  <si>
    <t xml:space="preserve">      Phase 2 project management</t>
  </si>
  <si>
    <t xml:space="preserve">PHASE 3 — Product Marking &amp; Full Fusion</t>
  </si>
  <si>
    <t xml:space="preserve">Months 12-18  |  GasGuard MarkChain rollout with the NPA's Petroleum Product Marking Scheme, full AI fusion-layer integration</t>
  </si>
  <si>
    <t xml:space="preserve">      Product-marking / tracer dosing equipment</t>
  </si>
  <si>
    <t xml:space="preserve">      GasGuard MarkChain digital custody audit trail</t>
  </si>
  <si>
    <t xml:space="preserve">      Full AI/ML fusion-layer integration &amp; model refinement</t>
  </si>
  <si>
    <t xml:space="preserve">      NPA coordination &amp; marking-scheme rollout</t>
  </si>
  <si>
    <t xml:space="preserve">      Full-network fusion integration &amp; testing</t>
  </si>
  <si>
    <t xml:space="preserve">      Knowledge transfer &amp; handover to GNGC operations team</t>
  </si>
  <si>
    <t xml:space="preserve">      Phase 3 project management</t>
  </si>
  <si>
    <t xml:space="preserve">Year 2+ Annual Support &amp; Subscription (Illustrative)</t>
  </si>
  <si>
    <t xml:space="preserve">NOT part of the GHS 16,000,000 Phase 0-3 project total — a recommended recurring commercial structure per proposal Section 8.</t>
  </si>
  <si>
    <t xml:space="preserve">Annual Support Fee Rate (% of Software Licensing value)</t>
  </si>
  <si>
    <t xml:space="preserve">This fee is recommended to begin in Year 2, following Phase 1 go-live, and covers the GasGuard Fusion platform, dashboard, and AI/ML model maintenance across all deployed modules. Third-party hardware maintenance/renewal (fiber interrogators, satellite subscriptions, IoT device replacement) is separate and to be defined jointly during Phase 0, per proposal Section 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</si>
</sst>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.5"/>
      <color rgb="FF262626"/>
      <name val="Arial"/>
      <family val="0"/>
      <charset val="1"/>
    </font>
    <font>
      <sz val="10.5"/>
      <color rgb="FF26262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</cols>
  <sheetData>
    <row r="1" customFormat="false" ht="24.4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.75" hidden="false" customHeight="true" outlineLevel="0" collapsed="false">
      <c r="A5" s="4"/>
      <c r="B5" s="5"/>
    </row>
    <row r="6" customFormat="false" ht="15.75" hidden="false" customHeight="true" outlineLevel="0" collapsed="false">
      <c r="A6" s="6" t="s">
        <v>3</v>
      </c>
      <c r="B6" s="6"/>
    </row>
    <row r="7" customFormat="false" ht="30" hidden="false" customHeight="true" outlineLevel="0" collapsed="false">
      <c r="A7" s="7" t="s">
        <v>4</v>
      </c>
      <c r="B7" s="7"/>
    </row>
    <row r="8" customFormat="false" ht="15.75" hidden="false" customHeight="true" outlineLevel="0" collapsed="false">
      <c r="A8" s="4"/>
      <c r="B8" s="5"/>
    </row>
    <row r="9" customFormat="false" ht="15.75" hidden="false" customHeight="true" outlineLevel="0" collapsed="false">
      <c r="A9" s="8" t="s">
        <v>5</v>
      </c>
      <c r="B9" s="5" t="s">
        <v>6</v>
      </c>
    </row>
    <row r="10" customFormat="false" ht="55.5" hidden="false" customHeight="true" outlineLevel="0" collapsed="false">
      <c r="A10" s="4" t="s">
        <v>7</v>
      </c>
      <c r="B10" s="5" t="s">
        <v>8</v>
      </c>
    </row>
    <row r="11" customFormat="false" ht="27.75" hidden="false" customHeight="true" outlineLevel="0" collapsed="false">
      <c r="A11" s="4" t="s">
        <v>9</v>
      </c>
      <c r="B11" s="5" t="s">
        <v>10</v>
      </c>
    </row>
    <row r="12" customFormat="false" ht="27.75" hidden="false" customHeight="true" outlineLevel="0" collapsed="false">
      <c r="A12" s="4" t="s">
        <v>11</v>
      </c>
      <c r="B12" s="5" t="s">
        <v>12</v>
      </c>
    </row>
    <row r="13" customFormat="false" ht="27.75" hidden="false" customHeight="true" outlineLevel="0" collapsed="false">
      <c r="A13" s="4" t="s">
        <v>13</v>
      </c>
      <c r="B13" s="5" t="s">
        <v>14</v>
      </c>
    </row>
    <row r="14" customFormat="false" ht="27.75" hidden="false" customHeight="true" outlineLevel="0" collapsed="false">
      <c r="A14" s="4" t="s">
        <v>15</v>
      </c>
      <c r="B14" s="5" t="s">
        <v>16</v>
      </c>
    </row>
    <row r="15" customFormat="false" ht="27.75" hidden="false" customHeight="true" outlineLevel="0" collapsed="false">
      <c r="A15" s="4" t="s">
        <v>17</v>
      </c>
      <c r="B15" s="5" t="s">
        <v>18</v>
      </c>
    </row>
    <row r="16" customFormat="false" ht="15.75" hidden="false" customHeight="true" outlineLevel="0" collapsed="false">
      <c r="A16" s="4"/>
      <c r="B16" s="5"/>
    </row>
    <row r="17" customFormat="false" ht="15.75" hidden="false" customHeight="true" outlineLevel="0" collapsed="false">
      <c r="A17" s="6" t="s">
        <v>19</v>
      </c>
      <c r="B17" s="6"/>
    </row>
    <row r="18" customFormat="false" ht="15.75" hidden="false" customHeight="true" outlineLevel="0" collapsed="false">
      <c r="A18" s="8" t="s">
        <v>20</v>
      </c>
      <c r="B18" s="5" t="s">
        <v>21</v>
      </c>
    </row>
    <row r="19" customFormat="false" ht="15.75" hidden="false" customHeight="true" outlineLevel="0" collapsed="false">
      <c r="A19" s="8" t="s">
        <v>22</v>
      </c>
      <c r="B19" s="5" t="s">
        <v>23</v>
      </c>
    </row>
    <row r="20" customFormat="false" ht="15.75" hidden="false" customHeight="true" outlineLevel="0" collapsed="false">
      <c r="A20" s="8" t="s">
        <v>24</v>
      </c>
      <c r="B20" s="5" t="s">
        <v>25</v>
      </c>
    </row>
    <row r="21" customFormat="false" ht="15.75" hidden="false" customHeight="true" outlineLevel="0" collapsed="false">
      <c r="A21" s="4"/>
      <c r="B21" s="5"/>
    </row>
    <row r="22" customFormat="false" ht="42" hidden="false" customHeight="true" outlineLevel="0" collapsed="false">
      <c r="A22" s="8" t="s">
        <v>26</v>
      </c>
      <c r="B22" s="5" t="s">
        <v>27</v>
      </c>
    </row>
  </sheetData>
  <mergeCells count="6">
    <mergeCell ref="A1:B1"/>
    <mergeCell ref="A2:B2"/>
    <mergeCell ref="A3:B3"/>
    <mergeCell ref="A6:B6"/>
    <mergeCell ref="A7:B7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9" t="s">
        <v>28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29</v>
      </c>
      <c r="B2" s="10"/>
      <c r="C2" s="10"/>
      <c r="D2" s="10"/>
      <c r="E2" s="10"/>
      <c r="F2" s="10"/>
    </row>
    <row r="4" customFormat="false" ht="18" hidden="false" customHeight="true" outlineLevel="0" collapsed="false">
      <c r="A4" s="11" t="s">
        <v>30</v>
      </c>
      <c r="B4" s="11"/>
      <c r="C4" s="11"/>
      <c r="D4" s="11"/>
      <c r="E4" s="11"/>
      <c r="F4" s="11"/>
    </row>
    <row r="6" customFormat="false" ht="15" hidden="false" customHeight="false" outlineLevel="0" collapsed="false">
      <c r="A6" s="12" t="s">
        <v>31</v>
      </c>
      <c r="B6" s="12"/>
      <c r="C6" s="12"/>
      <c r="D6" s="12"/>
      <c r="E6" s="12"/>
      <c r="F6" s="12"/>
    </row>
    <row r="7" customFormat="false" ht="15" hidden="false" customHeight="false" outlineLevel="0" collapsed="false">
      <c r="B7" s="4" t="s">
        <v>32</v>
      </c>
      <c r="C7" s="13" t="n">
        <v>16000000</v>
      </c>
    </row>
    <row r="8" customFormat="false" ht="15" hidden="false" customHeight="false" outlineLevel="0" collapsed="false">
      <c r="B8" s="4" t="s">
        <v>33</v>
      </c>
      <c r="C8" s="14" t="n">
        <v>0.2</v>
      </c>
    </row>
    <row r="9" customFormat="false" ht="15" hidden="false" customHeight="false" outlineLevel="0" collapsed="false">
      <c r="B9" s="4" t="s">
        <v>34</v>
      </c>
      <c r="C9" s="15" t="n">
        <f aca="false">C7/(1+C8)</f>
        <v>13333333.3333333</v>
      </c>
    </row>
    <row r="10" customFormat="false" ht="15" hidden="false" customHeight="false" outlineLevel="0" collapsed="false">
      <c r="B10" s="4" t="s">
        <v>35</v>
      </c>
      <c r="C10" s="15" t="n">
        <f aca="false">C7-C9</f>
        <v>2666666.66666667</v>
      </c>
    </row>
    <row r="11" customFormat="false" ht="22.35" hidden="false" customHeight="true" outlineLevel="0" collapsed="false">
      <c r="A11" s="16" t="s">
        <v>36</v>
      </c>
      <c r="B11" s="16"/>
      <c r="C11" s="16"/>
      <c r="D11" s="16"/>
      <c r="E11" s="16"/>
      <c r="F11" s="16"/>
    </row>
    <row r="13" customFormat="false" ht="15" hidden="false" customHeight="false" outlineLevel="0" collapsed="false">
      <c r="A13" s="12" t="s">
        <v>37</v>
      </c>
      <c r="B13" s="12"/>
      <c r="C13" s="12"/>
      <c r="D13" s="12"/>
      <c r="E13" s="12"/>
      <c r="F13" s="12"/>
    </row>
    <row r="14" customFormat="false" ht="30" hidden="false" customHeight="true" outlineLevel="0" collapsed="false">
      <c r="B14" s="17" t="s">
        <v>38</v>
      </c>
      <c r="C14" s="17" t="s">
        <v>39</v>
      </c>
      <c r="D14" s="17" t="s">
        <v>40</v>
      </c>
      <c r="E14" s="17" t="s">
        <v>41</v>
      </c>
      <c r="F14" s="17" t="s">
        <v>42</v>
      </c>
    </row>
    <row r="15" customFormat="false" ht="15" hidden="false" customHeight="false" outlineLevel="0" collapsed="false">
      <c r="B15" s="18" t="s">
        <v>43</v>
      </c>
      <c r="C15" s="14" t="n">
        <v>0.03</v>
      </c>
      <c r="D15" s="15" t="n">
        <f aca="false">$C$9*C15</f>
        <v>400000</v>
      </c>
      <c r="E15" s="15" t="n">
        <f aca="false">D15*$C$8</f>
        <v>80000</v>
      </c>
      <c r="F15" s="15" t="n">
        <f aca="false">D15+E15</f>
        <v>480000</v>
      </c>
    </row>
    <row r="16" customFormat="false" ht="15" hidden="false" customHeight="false" outlineLevel="0" collapsed="false">
      <c r="B16" s="18" t="s">
        <v>44</v>
      </c>
      <c r="C16" s="14" t="n">
        <v>0.32</v>
      </c>
      <c r="D16" s="15" t="n">
        <f aca="false">$C$9*C16</f>
        <v>4266666.66666667</v>
      </c>
      <c r="E16" s="15" t="n">
        <f aca="false">D16*$C$8</f>
        <v>853333.333333334</v>
      </c>
      <c r="F16" s="15" t="n">
        <f aca="false">D16+E16</f>
        <v>5120000</v>
      </c>
    </row>
    <row r="17" customFormat="false" ht="15" hidden="false" customHeight="false" outlineLevel="0" collapsed="false">
      <c r="B17" s="18" t="s">
        <v>45</v>
      </c>
      <c r="C17" s="14" t="n">
        <v>0.4</v>
      </c>
      <c r="D17" s="15" t="n">
        <f aca="false">$C$9*C17</f>
        <v>5333333.33333333</v>
      </c>
      <c r="E17" s="15" t="n">
        <f aca="false">D17*$C$8</f>
        <v>1066666.66666667</v>
      </c>
      <c r="F17" s="15" t="n">
        <f aca="false">D17+E17</f>
        <v>6400000</v>
      </c>
    </row>
    <row r="18" customFormat="false" ht="15" hidden="false" customHeight="false" outlineLevel="0" collapsed="false">
      <c r="B18" s="18" t="s">
        <v>46</v>
      </c>
      <c r="C18" s="14" t="n">
        <v>0.25</v>
      </c>
      <c r="D18" s="15" t="n">
        <f aca="false">$C$9*C18</f>
        <v>3333333.33333333</v>
      </c>
      <c r="E18" s="15" t="n">
        <f aca="false">D18*$C$8</f>
        <v>666666.666666667</v>
      </c>
      <c r="F18" s="15" t="n">
        <f aca="false">D18+E18</f>
        <v>4000000</v>
      </c>
    </row>
    <row r="19" customFormat="false" ht="15" hidden="false" customHeight="false" outlineLevel="0" collapsed="false">
      <c r="B19" s="19" t="s">
        <v>47</v>
      </c>
      <c r="C19" s="20" t="n">
        <f aca="false">SUM(C15:C18)</f>
        <v>1</v>
      </c>
      <c r="D19" s="21" t="n">
        <f aca="false">SUM(D15:D18)</f>
        <v>13333333.3333333</v>
      </c>
      <c r="E19" s="21" t="n">
        <f aca="false">SUM(E15:E18)</f>
        <v>2666666.66666667</v>
      </c>
      <c r="F19" s="21" t="n">
        <f aca="false">SUM(F15:F18)</f>
        <v>16000000</v>
      </c>
    </row>
    <row r="20" customFormat="false" ht="15" hidden="false" customHeight="false" outlineLevel="0" collapsed="false">
      <c r="B20" s="22" t="s">
        <v>48</v>
      </c>
      <c r="C20" s="22" t="str">
        <f aca="false">IF(ROUND(C19,4)=1,"OK","MISMATCH")</f>
        <v>OK</v>
      </c>
    </row>
    <row r="22" customFormat="false" ht="15" hidden="false" customHeight="false" outlineLevel="0" collapsed="false">
      <c r="A22" s="12" t="s">
        <v>49</v>
      </c>
      <c r="B22" s="12"/>
      <c r="C22" s="12"/>
      <c r="D22" s="12"/>
      <c r="E22" s="12"/>
      <c r="F22" s="12"/>
    </row>
    <row r="23" customFormat="false" ht="15" hidden="false" customHeight="false" outlineLevel="0" collapsed="false">
      <c r="B23" s="23" t="s">
        <v>50</v>
      </c>
      <c r="C23" s="23" t="s">
        <v>51</v>
      </c>
      <c r="D23" s="23" t="s">
        <v>52</v>
      </c>
      <c r="E23" s="23" t="s">
        <v>53</v>
      </c>
      <c r="F23" s="23" t="s">
        <v>54</v>
      </c>
    </row>
    <row r="24" customFormat="false" ht="15" hidden="false" customHeight="false" outlineLevel="0" collapsed="false">
      <c r="B24" s="18" t="s">
        <v>55</v>
      </c>
      <c r="C24" s="24" t="n">
        <v>0</v>
      </c>
      <c r="D24" s="24" t="n">
        <v>0.25</v>
      </c>
      <c r="E24" s="24" t="n">
        <v>0.45</v>
      </c>
      <c r="F24" s="24" t="n">
        <v>0.15</v>
      </c>
    </row>
    <row r="25" customFormat="false" ht="15" hidden="false" customHeight="false" outlineLevel="0" collapsed="false">
      <c r="B25" s="18" t="s">
        <v>56</v>
      </c>
      <c r="C25" s="24" t="n">
        <v>0</v>
      </c>
      <c r="D25" s="24" t="n">
        <v>0.35</v>
      </c>
      <c r="E25" s="24" t="n">
        <v>0.25</v>
      </c>
      <c r="F25" s="24" t="n">
        <v>0.35</v>
      </c>
    </row>
    <row r="26" customFormat="false" ht="15" hidden="false" customHeight="false" outlineLevel="0" collapsed="false">
      <c r="B26" s="18" t="s">
        <v>57</v>
      </c>
      <c r="C26" s="24" t="n">
        <v>0.55</v>
      </c>
      <c r="D26" s="24" t="n">
        <v>0.25</v>
      </c>
      <c r="E26" s="24" t="n">
        <v>0.2</v>
      </c>
      <c r="F26" s="24" t="n">
        <v>0.3</v>
      </c>
    </row>
    <row r="27" customFormat="false" ht="15" hidden="false" customHeight="false" outlineLevel="0" collapsed="false">
      <c r="B27" s="18" t="s">
        <v>58</v>
      </c>
      <c r="C27" s="24" t="n">
        <v>0.1</v>
      </c>
      <c r="D27" s="24" t="n">
        <v>0.05</v>
      </c>
      <c r="E27" s="24" t="n">
        <v>0.04</v>
      </c>
      <c r="F27" s="24" t="n">
        <v>0.08</v>
      </c>
    </row>
    <row r="28" customFormat="false" ht="15" hidden="false" customHeight="false" outlineLevel="0" collapsed="false">
      <c r="B28" s="18" t="s">
        <v>59</v>
      </c>
      <c r="C28" s="24" t="n">
        <v>0.2</v>
      </c>
      <c r="D28" s="24" t="n">
        <v>0.05</v>
      </c>
      <c r="E28" s="24" t="n">
        <v>0.04</v>
      </c>
      <c r="F28" s="24" t="n">
        <v>0.07</v>
      </c>
    </row>
    <row r="29" customFormat="false" ht="15" hidden="false" customHeight="false" outlineLevel="0" collapsed="false">
      <c r="B29" s="18" t="s">
        <v>60</v>
      </c>
      <c r="C29" s="24" t="n">
        <v>0.15</v>
      </c>
      <c r="D29" s="24" t="n">
        <v>0.05</v>
      </c>
      <c r="E29" s="24" t="n">
        <v>0.02</v>
      </c>
      <c r="F29" s="24" t="n">
        <v>0.05</v>
      </c>
    </row>
    <row r="30" customFormat="false" ht="15" hidden="false" customHeight="false" outlineLevel="0" collapsed="false">
      <c r="B30" s="19" t="s">
        <v>61</v>
      </c>
      <c r="C30" s="25" t="n">
        <f aca="false">SUM(C24:C29)</f>
        <v>1</v>
      </c>
      <c r="D30" s="25" t="n">
        <f aca="false">SUM(D24:D29)</f>
        <v>1</v>
      </c>
      <c r="E30" s="25" t="n">
        <f aca="false">SUM(E24:E29)</f>
        <v>1</v>
      </c>
      <c r="F30" s="25" t="n">
        <f aca="false">SUM(F24:F29)</f>
        <v>1</v>
      </c>
    </row>
    <row r="32" customFormat="false" ht="15" hidden="false" customHeight="false" outlineLevel="0" collapsed="false">
      <c r="A32" s="12" t="s">
        <v>62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B33" s="4" t="s">
        <v>63</v>
      </c>
      <c r="C33" s="26" t="n">
        <v>0.18</v>
      </c>
    </row>
    <row r="34" customFormat="false" ht="15" hidden="false" customHeight="false" outlineLevel="0" collapsed="false">
      <c r="B34" s="4" t="s">
        <v>64</v>
      </c>
      <c r="C34" s="27" t="n">
        <f aca="false">D15*C25+D16*D25+D17*E25+D18*F25</f>
        <v>3993333.33333333</v>
      </c>
    </row>
    <row r="35" customFormat="false" ht="15" hidden="false" customHeight="false" outlineLevel="0" collapsed="false">
      <c r="B35" s="4" t="s">
        <v>65</v>
      </c>
      <c r="C35" s="27" t="n">
        <f aca="false">C34*C33</f>
        <v>718800</v>
      </c>
    </row>
    <row r="36" customFormat="false" ht="15" hidden="false" customHeight="false" outlineLevel="0" collapsed="false">
      <c r="B36" s="4" t="s">
        <v>66</v>
      </c>
      <c r="C36" s="27" t="n">
        <f aca="false">C35*(1+$C$8)</f>
        <v>862560</v>
      </c>
    </row>
    <row r="37" customFormat="false" ht="22.35" hidden="false" customHeight="true" outlineLevel="0" collapsed="false">
      <c r="A37" s="16" t="s">
        <v>67</v>
      </c>
      <c r="B37" s="16"/>
      <c r="C37" s="16"/>
      <c r="D37" s="16"/>
      <c r="E37" s="16"/>
      <c r="F37" s="16"/>
    </row>
  </sheetData>
  <mergeCells count="9">
    <mergeCell ref="A1:F1"/>
    <mergeCell ref="A2:F2"/>
    <mergeCell ref="A4:F4"/>
    <mergeCell ref="A6:F6"/>
    <mergeCell ref="A11:F11"/>
    <mergeCell ref="A13:F13"/>
    <mergeCell ref="A22:F22"/>
    <mergeCell ref="A32:F32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2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9" t="s">
        <v>68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0" t="s">
        <v>69</v>
      </c>
      <c r="B2" s="10"/>
      <c r="C2" s="10"/>
      <c r="D2" s="10"/>
      <c r="E2" s="10"/>
      <c r="F2" s="10"/>
    </row>
    <row r="4" customFormat="false" ht="30" hidden="false" customHeight="true" outlineLevel="0" collapsed="false">
      <c r="B4" s="17" t="s">
        <v>38</v>
      </c>
      <c r="C4" s="17" t="s">
        <v>70</v>
      </c>
      <c r="D4" s="17" t="s">
        <v>41</v>
      </c>
      <c r="E4" s="17" t="s">
        <v>71</v>
      </c>
      <c r="F4" s="17" t="s">
        <v>72</v>
      </c>
    </row>
    <row r="5" customFormat="false" ht="15" hidden="false" customHeight="false" outlineLevel="0" collapsed="false">
      <c r="B5" s="18" t="s">
        <v>43</v>
      </c>
      <c r="C5" s="28" t="n">
        <f aca="false">'Phase 0 - Diagnostic'!D19</f>
        <v>400000</v>
      </c>
      <c r="D5" s="28" t="n">
        <f aca="false">'Phase 0 - Diagnostic'!D20</f>
        <v>80000</v>
      </c>
      <c r="E5" s="28" t="n">
        <f aca="false">'Phase 0 - Diagnostic'!D21</f>
        <v>480000</v>
      </c>
      <c r="F5" s="29" t="n">
        <f aca="false">E5/$E$9</f>
        <v>0.03</v>
      </c>
    </row>
    <row r="6" customFormat="false" ht="15" hidden="false" customHeight="false" outlineLevel="0" collapsed="false">
      <c r="B6" s="18" t="s">
        <v>44</v>
      </c>
      <c r="C6" s="28" t="n">
        <f aca="false">'Phase 1 - Foundational'!D25</f>
        <v>4266666.66666667</v>
      </c>
      <c r="D6" s="28" t="n">
        <f aca="false">'Phase 1 - Foundational'!D26</f>
        <v>853333.333333334</v>
      </c>
      <c r="E6" s="28" t="n">
        <f aca="false">'Phase 1 - Foundational'!D27</f>
        <v>5120000</v>
      </c>
      <c r="F6" s="29" t="n">
        <f aca="false">E6/$E$9</f>
        <v>0.32</v>
      </c>
    </row>
    <row r="7" customFormat="false" ht="15" hidden="false" customHeight="false" outlineLevel="0" collapsed="false">
      <c r="B7" s="18" t="s">
        <v>45</v>
      </c>
      <c r="C7" s="28" t="n">
        <f aca="false">'Phase 2 - Corridor-Fleet'!D26</f>
        <v>5333333.33333333</v>
      </c>
      <c r="D7" s="28" t="n">
        <f aca="false">'Phase 2 - Corridor-Fleet'!D27</f>
        <v>1066666.66666667</v>
      </c>
      <c r="E7" s="28" t="n">
        <f aca="false">'Phase 2 - Corridor-Fleet'!D28</f>
        <v>6400000</v>
      </c>
      <c r="F7" s="29" t="n">
        <f aca="false">E7/$E$9</f>
        <v>0.4</v>
      </c>
    </row>
    <row r="8" customFormat="false" ht="15" hidden="false" customHeight="false" outlineLevel="0" collapsed="false">
      <c r="B8" s="18" t="s">
        <v>46</v>
      </c>
      <c r="C8" s="28" t="n">
        <f aca="false">'Phase 3 - Marking-Fusion'!D23</f>
        <v>3333333.33333333</v>
      </c>
      <c r="D8" s="28" t="n">
        <f aca="false">'Phase 3 - Marking-Fusion'!D24</f>
        <v>666666.666666667</v>
      </c>
      <c r="E8" s="28" t="n">
        <f aca="false">'Phase 3 - Marking-Fusion'!D25</f>
        <v>4000000</v>
      </c>
      <c r="F8" s="29" t="n">
        <f aca="false">E8/$E$9</f>
        <v>0.25</v>
      </c>
    </row>
    <row r="9" customFormat="false" ht="15" hidden="false" customHeight="false" outlineLevel="0" collapsed="false">
      <c r="B9" s="30" t="s">
        <v>73</v>
      </c>
      <c r="C9" s="31" t="n">
        <f aca="false">SUM(C5:C8)</f>
        <v>13333333.3333333</v>
      </c>
      <c r="D9" s="31" t="n">
        <f aca="false">SUM(D5:D8)</f>
        <v>2666666.66666667</v>
      </c>
      <c r="E9" s="31" t="n">
        <f aca="false">SUM(E5:E8)</f>
        <v>16000000</v>
      </c>
      <c r="F9" s="32" t="n">
        <f aca="false">E9/E9</f>
        <v>1</v>
      </c>
    </row>
    <row r="11" customFormat="false" ht="15" hidden="false" customHeight="false" outlineLevel="0" collapsed="false">
      <c r="B11" s="22" t="s">
        <v>74</v>
      </c>
      <c r="E11" s="22" t="str">
        <f aca="false">IF(ROUND(E9-Assumptions!$C$7,2)=0,"OK","MISMATCH")</f>
        <v>OK</v>
      </c>
    </row>
    <row r="13" customFormat="false" ht="15" hidden="false" customHeight="false" outlineLevel="0" collapsed="false">
      <c r="A13" s="12" t="s">
        <v>75</v>
      </c>
      <c r="B13" s="12"/>
      <c r="C13" s="12"/>
      <c r="D13" s="12"/>
      <c r="E13" s="12"/>
      <c r="F13" s="12"/>
    </row>
    <row r="14" customFormat="false" ht="15" hidden="false" customHeight="false" outlineLevel="0" collapsed="false">
      <c r="B14" s="33" t="s">
        <v>50</v>
      </c>
      <c r="C14" s="33" t="s">
        <v>76</v>
      </c>
    </row>
    <row r="15" customFormat="false" ht="15" hidden="false" customHeight="false" outlineLevel="0" collapsed="false">
      <c r="B15" s="18" t="s">
        <v>55</v>
      </c>
      <c r="C15" s="28" t="n">
        <f aca="false">Assumptions!D15*Assumptions!C24+Assumptions!D16*Assumptions!D24+Assumptions!D17*Assumptions!E24+Assumptions!D18*Assumptions!F24</f>
        <v>3966666.66666667</v>
      </c>
    </row>
    <row r="16" customFormat="false" ht="15" hidden="false" customHeight="false" outlineLevel="0" collapsed="false">
      <c r="B16" s="18" t="s">
        <v>56</v>
      </c>
      <c r="C16" s="28" t="n">
        <f aca="false">Assumptions!D15*Assumptions!C25+Assumptions!D16*Assumptions!D25+Assumptions!D17*Assumptions!E25+Assumptions!D18*Assumptions!F25</f>
        <v>3993333.33333333</v>
      </c>
    </row>
    <row r="17" customFormat="false" ht="15" hidden="false" customHeight="false" outlineLevel="0" collapsed="false">
      <c r="B17" s="18" t="s">
        <v>57</v>
      </c>
      <c r="C17" s="28" t="n">
        <f aca="false">Assumptions!D15*Assumptions!C26+Assumptions!D16*Assumptions!D26+Assumptions!D17*Assumptions!E26+Assumptions!D18*Assumptions!F26</f>
        <v>3353333.33333333</v>
      </c>
    </row>
    <row r="18" customFormat="false" ht="15" hidden="false" customHeight="false" outlineLevel="0" collapsed="false">
      <c r="B18" s="18" t="s">
        <v>58</v>
      </c>
      <c r="C18" s="28" t="n">
        <f aca="false">Assumptions!D15*Assumptions!C27+Assumptions!D16*Assumptions!D27+Assumptions!D17*Assumptions!E27+Assumptions!D18*Assumptions!F27</f>
        <v>733333.333333334</v>
      </c>
    </row>
    <row r="19" customFormat="false" ht="15" hidden="false" customHeight="false" outlineLevel="0" collapsed="false">
      <c r="B19" s="18" t="s">
        <v>59</v>
      </c>
      <c r="C19" s="28" t="n">
        <f aca="false">Assumptions!D15*Assumptions!C28+Assumptions!D16*Assumptions!D28+Assumptions!D17*Assumptions!E28+Assumptions!D18*Assumptions!F28</f>
        <v>740000</v>
      </c>
    </row>
    <row r="20" customFormat="false" ht="15" hidden="false" customHeight="false" outlineLevel="0" collapsed="false">
      <c r="B20" s="18" t="s">
        <v>60</v>
      </c>
      <c r="C20" s="28" t="n">
        <f aca="false">Assumptions!D15*Assumptions!C29+Assumptions!D16*Assumptions!D29+Assumptions!D17*Assumptions!E29+Assumptions!D18*Assumptions!F29</f>
        <v>546666.666666667</v>
      </c>
    </row>
    <row r="21" customFormat="false" ht="15" hidden="false" customHeight="false" outlineLevel="0" collapsed="false">
      <c r="B21" s="34" t="s">
        <v>47</v>
      </c>
      <c r="C21" s="21" t="n">
        <f aca="false">SUM(C15:C20)</f>
        <v>13333333.3333333</v>
      </c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9" t="s">
        <v>77</v>
      </c>
      <c r="B1" s="9"/>
      <c r="C1" s="9"/>
      <c r="D1" s="9"/>
    </row>
    <row r="2" customFormat="false" ht="15" hidden="false" customHeight="false" outlineLevel="0" collapsed="false">
      <c r="A2" s="10" t="s">
        <v>78</v>
      </c>
      <c r="B2" s="10"/>
      <c r="C2" s="10"/>
      <c r="D2" s="10"/>
    </row>
    <row r="4" customFormat="false" ht="15" hidden="false" customHeight="false" outlineLevel="0" collapsed="false">
      <c r="B4" s="4" t="s">
        <v>79</v>
      </c>
      <c r="C4" s="35" t="n">
        <f aca="false">Assumptions!D15</f>
        <v>400000</v>
      </c>
      <c r="D4" s="35"/>
    </row>
    <row r="5" customFormat="false" ht="15" hidden="false" customHeight="false" outlineLevel="0" collapsed="false">
      <c r="B5" s="4" t="s">
        <v>80</v>
      </c>
      <c r="C5" s="36" t="n">
        <f aca="false">Assumptions!$C$8</f>
        <v>0.2</v>
      </c>
      <c r="D5" s="36"/>
    </row>
    <row r="6" customFormat="false" ht="15" hidden="false" customHeight="false" outlineLevel="0" collapsed="false">
      <c r="B6" s="4" t="s">
        <v>81</v>
      </c>
      <c r="C6" s="35" t="n">
        <f aca="false">Assumptions!F15</f>
        <v>480000</v>
      </c>
      <c r="D6" s="35"/>
    </row>
    <row r="8" customFormat="false" ht="15" hidden="false" customHeight="false" outlineLevel="0" collapsed="false">
      <c r="B8" s="23" t="s">
        <v>82</v>
      </c>
      <c r="C8" s="23" t="s">
        <v>83</v>
      </c>
      <c r="D8" s="23" t="s">
        <v>84</v>
      </c>
    </row>
    <row r="9" customFormat="false" ht="15" hidden="false" customHeight="false" outlineLevel="0" collapsed="false">
      <c r="B9" s="37" t="s">
        <v>85</v>
      </c>
      <c r="C9" s="38" t="n">
        <f aca="false">Assumptions!C26</f>
        <v>0.55</v>
      </c>
      <c r="D9" s="39" t="n">
        <f aca="false">$C$4*C9</f>
        <v>220000</v>
      </c>
    </row>
    <row r="10" customFormat="false" ht="15" hidden="false" customHeight="false" outlineLevel="0" collapsed="false">
      <c r="B10" s="18" t="s">
        <v>86</v>
      </c>
      <c r="C10" s="24" t="n">
        <v>0.5</v>
      </c>
      <c r="D10" s="15" t="n">
        <f aca="false">$D$9*C10</f>
        <v>110000</v>
      </c>
    </row>
    <row r="11" customFormat="false" ht="15" hidden="false" customHeight="false" outlineLevel="0" collapsed="false">
      <c r="B11" s="18" t="s">
        <v>87</v>
      </c>
      <c r="C11" s="24" t="n">
        <v>0.3</v>
      </c>
      <c r="D11" s="15" t="n">
        <f aca="false">$D$9*C11</f>
        <v>66000</v>
      </c>
    </row>
    <row r="12" customFormat="false" ht="15" hidden="false" customHeight="false" outlineLevel="0" collapsed="false">
      <c r="B12" s="18" t="s">
        <v>88</v>
      </c>
      <c r="C12" s="24" t="n">
        <v>0.2</v>
      </c>
      <c r="D12" s="15" t="n">
        <f aca="false">$D$9*C12</f>
        <v>44000</v>
      </c>
    </row>
    <row r="13" customFormat="false" ht="15" hidden="false" customHeight="false" outlineLevel="0" collapsed="false">
      <c r="B13" s="37" t="s">
        <v>89</v>
      </c>
      <c r="C13" s="38" t="n">
        <f aca="false">Assumptions!C28</f>
        <v>0.2</v>
      </c>
      <c r="D13" s="39" t="n">
        <f aca="false">$C$4*C13</f>
        <v>80000</v>
      </c>
    </row>
    <row r="14" customFormat="false" ht="15" hidden="false" customHeight="false" outlineLevel="0" collapsed="false">
      <c r="B14" s="18" t="s">
        <v>90</v>
      </c>
      <c r="C14" s="24" t="n">
        <v>1</v>
      </c>
      <c r="D14" s="15" t="n">
        <f aca="false">$D$13*C14</f>
        <v>80000</v>
      </c>
    </row>
    <row r="15" customFormat="false" ht="15" hidden="false" customHeight="false" outlineLevel="0" collapsed="false">
      <c r="B15" s="37" t="s">
        <v>91</v>
      </c>
      <c r="C15" s="38" t="n">
        <f aca="false">Assumptions!C27</f>
        <v>0.1</v>
      </c>
      <c r="D15" s="39" t="n">
        <f aca="false">$C$4*C15</f>
        <v>40000</v>
      </c>
    </row>
    <row r="16" customFormat="false" ht="15" hidden="false" customHeight="false" outlineLevel="0" collapsed="false">
      <c r="B16" s="18" t="s">
        <v>92</v>
      </c>
      <c r="C16" s="24" t="n">
        <v>1</v>
      </c>
      <c r="D16" s="15" t="n">
        <f aca="false">$D$15*C16</f>
        <v>40000</v>
      </c>
    </row>
    <row r="17" customFormat="false" ht="15" hidden="false" customHeight="false" outlineLevel="0" collapsed="false">
      <c r="B17" s="37" t="s">
        <v>93</v>
      </c>
      <c r="C17" s="38" t="n">
        <f aca="false">Assumptions!C29</f>
        <v>0.15</v>
      </c>
      <c r="D17" s="39" t="n">
        <f aca="false">$C$4*C17</f>
        <v>60000</v>
      </c>
    </row>
    <row r="18" customFormat="false" ht="15" hidden="false" customHeight="false" outlineLevel="0" collapsed="false">
      <c r="B18" s="18" t="s">
        <v>94</v>
      </c>
      <c r="C18" s="24" t="n">
        <v>1</v>
      </c>
      <c r="D18" s="15" t="n">
        <f aca="false">$D$17*C18</f>
        <v>60000</v>
      </c>
    </row>
    <row r="19" customFormat="false" ht="15" hidden="false" customHeight="false" outlineLevel="0" collapsed="false">
      <c r="B19" s="34" t="s">
        <v>95</v>
      </c>
      <c r="C19" s="40"/>
      <c r="D19" s="21" t="n">
        <f aca="false">D9+D13+D15+D17</f>
        <v>400000</v>
      </c>
    </row>
    <row r="20" customFormat="false" ht="15" hidden="false" customHeight="false" outlineLevel="0" collapsed="false">
      <c r="B20" s="18" t="s">
        <v>96</v>
      </c>
      <c r="C20" s="41"/>
      <c r="D20" s="15" t="n">
        <f aca="false">D19*$C$5</f>
        <v>80000</v>
      </c>
    </row>
    <row r="21" customFormat="false" ht="15" hidden="false" customHeight="false" outlineLevel="0" collapsed="false">
      <c r="B21" s="30" t="s">
        <v>97</v>
      </c>
      <c r="C21" s="42"/>
      <c r="D21" s="31" t="n">
        <f aca="false">D19+D20</f>
        <v>480000</v>
      </c>
    </row>
    <row r="23" customFormat="false" ht="15" hidden="false" customHeight="false" outlineLevel="0" collapsed="false">
      <c r="B23" s="22" t="s">
        <v>98</v>
      </c>
      <c r="D23" s="22" t="str">
        <f aca="false">IF(ROUND(D21-$C$6,2)=0,"OK","MISMATCH")</f>
        <v>OK</v>
      </c>
    </row>
  </sheetData>
  <mergeCells count="5">
    <mergeCell ref="A1:D1"/>
    <mergeCell ref="A2:D2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9" t="s">
        <v>99</v>
      </c>
      <c r="B1" s="9"/>
      <c r="C1" s="9"/>
      <c r="D1" s="9"/>
    </row>
    <row r="2" customFormat="false" ht="15" hidden="false" customHeight="false" outlineLevel="0" collapsed="false">
      <c r="A2" s="10" t="s">
        <v>100</v>
      </c>
      <c r="B2" s="10"/>
      <c r="C2" s="10"/>
      <c r="D2" s="10"/>
    </row>
    <row r="4" customFormat="false" ht="15" hidden="false" customHeight="false" outlineLevel="0" collapsed="false">
      <c r="B4" s="4" t="s">
        <v>79</v>
      </c>
      <c r="C4" s="35" t="n">
        <f aca="false">Assumptions!D16</f>
        <v>4266666.66666667</v>
      </c>
      <c r="D4" s="35"/>
    </row>
    <row r="5" customFormat="false" ht="15" hidden="false" customHeight="false" outlineLevel="0" collapsed="false">
      <c r="B5" s="4" t="s">
        <v>80</v>
      </c>
      <c r="C5" s="36" t="n">
        <f aca="false">Assumptions!$C$8</f>
        <v>0.2</v>
      </c>
      <c r="D5" s="36"/>
    </row>
    <row r="6" customFormat="false" ht="15" hidden="false" customHeight="false" outlineLevel="0" collapsed="false">
      <c r="B6" s="4" t="s">
        <v>81</v>
      </c>
      <c r="C6" s="35" t="n">
        <f aca="false">Assumptions!F16</f>
        <v>5120000</v>
      </c>
      <c r="D6" s="35"/>
    </row>
    <row r="8" customFormat="false" ht="15" hidden="false" customHeight="false" outlineLevel="0" collapsed="false">
      <c r="B8" s="23" t="s">
        <v>82</v>
      </c>
      <c r="C8" s="23" t="s">
        <v>83</v>
      </c>
      <c r="D8" s="23" t="s">
        <v>84</v>
      </c>
    </row>
    <row r="9" customFormat="false" ht="15" hidden="false" customHeight="false" outlineLevel="0" collapsed="false">
      <c r="B9" s="37" t="s">
        <v>101</v>
      </c>
      <c r="C9" s="38" t="n">
        <f aca="false">Assumptions!D24</f>
        <v>0.25</v>
      </c>
      <c r="D9" s="39" t="n">
        <f aca="false">$C$4*C9</f>
        <v>1066666.66666667</v>
      </c>
    </row>
    <row r="10" customFormat="false" ht="15" hidden="false" customHeight="false" outlineLevel="0" collapsed="false">
      <c r="B10" s="18" t="s">
        <v>102</v>
      </c>
      <c r="C10" s="24" t="n">
        <v>0.7</v>
      </c>
      <c r="D10" s="15" t="n">
        <f aca="false">$D$9*C10</f>
        <v>746666.666666667</v>
      </c>
    </row>
    <row r="11" customFormat="false" ht="15" hidden="false" customHeight="false" outlineLevel="0" collapsed="false">
      <c r="B11" s="18" t="s">
        <v>103</v>
      </c>
      <c r="C11" s="24" t="n">
        <v>0.3</v>
      </c>
      <c r="D11" s="15" t="n">
        <f aca="false">$D$9*C11</f>
        <v>320000</v>
      </c>
    </row>
    <row r="12" customFormat="false" ht="15" hidden="false" customHeight="false" outlineLevel="0" collapsed="false">
      <c r="B12" s="37" t="s">
        <v>104</v>
      </c>
      <c r="C12" s="38" t="n">
        <f aca="false">Assumptions!D25</f>
        <v>0.35</v>
      </c>
      <c r="D12" s="39" t="n">
        <f aca="false">$C$4*C12</f>
        <v>1493333.33333333</v>
      </c>
    </row>
    <row r="13" customFormat="false" ht="15" hidden="false" customHeight="false" outlineLevel="0" collapsed="false">
      <c r="B13" s="18" t="s">
        <v>105</v>
      </c>
      <c r="C13" s="24" t="n">
        <v>0.45</v>
      </c>
      <c r="D13" s="15" t="n">
        <f aca="false">$D$12*C13</f>
        <v>672000</v>
      </c>
    </row>
    <row r="14" customFormat="false" ht="15" hidden="false" customHeight="false" outlineLevel="0" collapsed="false">
      <c r="B14" s="18" t="s">
        <v>106</v>
      </c>
      <c r="C14" s="24" t="n">
        <v>0.4</v>
      </c>
      <c r="D14" s="15" t="n">
        <f aca="false">$D$12*C14</f>
        <v>597333.333333333</v>
      </c>
    </row>
    <row r="15" customFormat="false" ht="15" hidden="false" customHeight="false" outlineLevel="0" collapsed="false">
      <c r="B15" s="18" t="s">
        <v>107</v>
      </c>
      <c r="C15" s="24" t="n">
        <v>0.15</v>
      </c>
      <c r="D15" s="15" t="n">
        <f aca="false">$D$12*C15</f>
        <v>224000</v>
      </c>
    </row>
    <row r="16" customFormat="false" ht="15" hidden="false" customHeight="false" outlineLevel="0" collapsed="false">
      <c r="B16" s="37" t="s">
        <v>85</v>
      </c>
      <c r="C16" s="38" t="n">
        <f aca="false">Assumptions!D26</f>
        <v>0.25</v>
      </c>
      <c r="D16" s="39" t="n">
        <f aca="false">$C$4*C16</f>
        <v>1066666.66666667</v>
      </c>
    </row>
    <row r="17" customFormat="false" ht="15" hidden="false" customHeight="false" outlineLevel="0" collapsed="false">
      <c r="B17" s="18" t="s">
        <v>108</v>
      </c>
      <c r="C17" s="24" t="n">
        <v>0.6</v>
      </c>
      <c r="D17" s="15" t="n">
        <f aca="false">$D$16*C17</f>
        <v>640000</v>
      </c>
    </row>
    <row r="18" customFormat="false" ht="15" hidden="false" customHeight="false" outlineLevel="0" collapsed="false">
      <c r="B18" s="18" t="s">
        <v>109</v>
      </c>
      <c r="C18" s="24" t="n">
        <v>0.4</v>
      </c>
      <c r="D18" s="15" t="n">
        <f aca="false">$D$16*C18</f>
        <v>426666.666666667</v>
      </c>
    </row>
    <row r="19" customFormat="false" ht="15" hidden="false" customHeight="false" outlineLevel="0" collapsed="false">
      <c r="B19" s="37" t="s">
        <v>91</v>
      </c>
      <c r="C19" s="38" t="n">
        <f aca="false">Assumptions!D27</f>
        <v>0.05</v>
      </c>
      <c r="D19" s="39" t="n">
        <f aca="false">$C$4*C19</f>
        <v>213333.333333333</v>
      </c>
    </row>
    <row r="20" customFormat="false" ht="15" hidden="false" customHeight="false" outlineLevel="0" collapsed="false">
      <c r="B20" s="18" t="s">
        <v>110</v>
      </c>
      <c r="C20" s="24" t="n">
        <v>1</v>
      </c>
      <c r="D20" s="15" t="n">
        <f aca="false">$D$19*C20</f>
        <v>213333.333333333</v>
      </c>
    </row>
    <row r="21" customFormat="false" ht="15" hidden="false" customHeight="false" outlineLevel="0" collapsed="false">
      <c r="B21" s="37" t="s">
        <v>89</v>
      </c>
      <c r="C21" s="38" t="n">
        <f aca="false">Assumptions!D28</f>
        <v>0.05</v>
      </c>
      <c r="D21" s="39" t="n">
        <f aca="false">$C$4*C21</f>
        <v>213333.333333333</v>
      </c>
    </row>
    <row r="22" customFormat="false" ht="15" hidden="false" customHeight="false" outlineLevel="0" collapsed="false">
      <c r="B22" s="18" t="s">
        <v>111</v>
      </c>
      <c r="C22" s="24" t="n">
        <v>1</v>
      </c>
      <c r="D22" s="15" t="n">
        <f aca="false">$D$21*C22</f>
        <v>213333.333333333</v>
      </c>
    </row>
    <row r="23" customFormat="false" ht="15" hidden="false" customHeight="false" outlineLevel="0" collapsed="false">
      <c r="B23" s="37" t="s">
        <v>93</v>
      </c>
      <c r="C23" s="38" t="n">
        <f aca="false">Assumptions!D29</f>
        <v>0.05</v>
      </c>
      <c r="D23" s="39" t="n">
        <f aca="false">$C$4*C23</f>
        <v>213333.333333333</v>
      </c>
    </row>
    <row r="24" customFormat="false" ht="15" hidden="false" customHeight="false" outlineLevel="0" collapsed="false">
      <c r="B24" s="18" t="s">
        <v>94</v>
      </c>
      <c r="C24" s="24" t="n">
        <v>1</v>
      </c>
      <c r="D24" s="15" t="n">
        <f aca="false">$D$23*C24</f>
        <v>213333.333333333</v>
      </c>
    </row>
    <row r="25" customFormat="false" ht="15" hidden="false" customHeight="false" outlineLevel="0" collapsed="false">
      <c r="B25" s="34" t="s">
        <v>95</v>
      </c>
      <c r="C25" s="40"/>
      <c r="D25" s="21" t="n">
        <f aca="false">D9+D12+D16+D19+D21+D23</f>
        <v>4266666.66666667</v>
      </c>
    </row>
    <row r="26" customFormat="false" ht="15" hidden="false" customHeight="false" outlineLevel="0" collapsed="false">
      <c r="B26" s="18" t="s">
        <v>96</v>
      </c>
      <c r="C26" s="41"/>
      <c r="D26" s="15" t="n">
        <f aca="false">D25*$C$5</f>
        <v>853333.333333334</v>
      </c>
    </row>
    <row r="27" customFormat="false" ht="15" hidden="false" customHeight="false" outlineLevel="0" collapsed="false">
      <c r="B27" s="30" t="s">
        <v>97</v>
      </c>
      <c r="C27" s="42"/>
      <c r="D27" s="31" t="n">
        <f aca="false">D25+D26</f>
        <v>5120000</v>
      </c>
    </row>
    <row r="29" customFormat="false" ht="15" hidden="false" customHeight="false" outlineLevel="0" collapsed="false">
      <c r="B29" s="22" t="s">
        <v>98</v>
      </c>
      <c r="D29" s="22" t="str">
        <f aca="false">IF(ROUND(D27-$C$6,2)=0,"OK","MISMATCH")</f>
        <v>OK</v>
      </c>
    </row>
  </sheetData>
  <mergeCells count="5">
    <mergeCell ref="A1:D1"/>
    <mergeCell ref="A2:D2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9" t="s">
        <v>112</v>
      </c>
      <c r="B1" s="9"/>
      <c r="C1" s="9"/>
      <c r="D1" s="9"/>
    </row>
    <row r="2" customFormat="false" ht="15" hidden="false" customHeight="false" outlineLevel="0" collapsed="false">
      <c r="A2" s="10" t="s">
        <v>113</v>
      </c>
      <c r="B2" s="10"/>
      <c r="C2" s="10"/>
      <c r="D2" s="10"/>
    </row>
    <row r="4" customFormat="false" ht="15" hidden="false" customHeight="false" outlineLevel="0" collapsed="false">
      <c r="B4" s="4" t="s">
        <v>79</v>
      </c>
      <c r="C4" s="35" t="n">
        <f aca="false">Assumptions!D17</f>
        <v>5333333.33333333</v>
      </c>
      <c r="D4" s="35"/>
    </row>
    <row r="5" customFormat="false" ht="15" hidden="false" customHeight="false" outlineLevel="0" collapsed="false">
      <c r="B5" s="4" t="s">
        <v>80</v>
      </c>
      <c r="C5" s="36" t="n">
        <f aca="false">Assumptions!$C$8</f>
        <v>0.2</v>
      </c>
      <c r="D5" s="36"/>
    </row>
    <row r="6" customFormat="false" ht="15" hidden="false" customHeight="false" outlineLevel="0" collapsed="false">
      <c r="B6" s="4" t="s">
        <v>81</v>
      </c>
      <c r="C6" s="35" t="n">
        <f aca="false">Assumptions!F17</f>
        <v>6400000</v>
      </c>
      <c r="D6" s="35"/>
    </row>
    <row r="8" customFormat="false" ht="15" hidden="false" customHeight="false" outlineLevel="0" collapsed="false">
      <c r="B8" s="23" t="s">
        <v>82</v>
      </c>
      <c r="C8" s="23" t="s">
        <v>83</v>
      </c>
      <c r="D8" s="23" t="s">
        <v>84</v>
      </c>
    </row>
    <row r="9" customFormat="false" ht="15" hidden="false" customHeight="false" outlineLevel="0" collapsed="false">
      <c r="B9" s="37" t="s">
        <v>101</v>
      </c>
      <c r="C9" s="38" t="n">
        <f aca="false">Assumptions!E24</f>
        <v>0.45</v>
      </c>
      <c r="D9" s="39" t="n">
        <f aca="false">$C$4*C9</f>
        <v>2400000</v>
      </c>
    </row>
    <row r="10" customFormat="false" ht="15" hidden="false" customHeight="false" outlineLevel="0" collapsed="false">
      <c r="B10" s="18" t="s">
        <v>114</v>
      </c>
      <c r="C10" s="24" t="n">
        <v>0.55</v>
      </c>
      <c r="D10" s="15" t="n">
        <f aca="false">$D$9*C10</f>
        <v>1320000</v>
      </c>
    </row>
    <row r="11" customFormat="false" ht="15" hidden="false" customHeight="false" outlineLevel="0" collapsed="false">
      <c r="B11" s="18" t="s">
        <v>115</v>
      </c>
      <c r="C11" s="24" t="n">
        <v>0.3</v>
      </c>
      <c r="D11" s="15" t="n">
        <f aca="false">$D$9*C11</f>
        <v>720000</v>
      </c>
    </row>
    <row r="12" customFormat="false" ht="15" hidden="false" customHeight="false" outlineLevel="0" collapsed="false">
      <c r="B12" s="18" t="s">
        <v>116</v>
      </c>
      <c r="C12" s="24" t="n">
        <v>0.15</v>
      </c>
      <c r="D12" s="15" t="n">
        <f aca="false">$D$9*C12</f>
        <v>360000</v>
      </c>
    </row>
    <row r="13" customFormat="false" ht="15" hidden="false" customHeight="false" outlineLevel="0" collapsed="false">
      <c r="B13" s="37" t="s">
        <v>104</v>
      </c>
      <c r="C13" s="38" t="n">
        <f aca="false">Assumptions!E25</f>
        <v>0.25</v>
      </c>
      <c r="D13" s="39" t="n">
        <f aca="false">$C$4*C13</f>
        <v>1333333.33333333</v>
      </c>
    </row>
    <row r="14" customFormat="false" ht="15" hidden="false" customHeight="false" outlineLevel="0" collapsed="false">
      <c r="B14" s="18" t="s">
        <v>117</v>
      </c>
      <c r="C14" s="24" t="n">
        <v>0.4</v>
      </c>
      <c r="D14" s="15" t="n">
        <f aca="false">$D$13*C14</f>
        <v>533333.333333333</v>
      </c>
    </row>
    <row r="15" customFormat="false" ht="15" hidden="false" customHeight="false" outlineLevel="0" collapsed="false">
      <c r="B15" s="18" t="s">
        <v>118</v>
      </c>
      <c r="C15" s="24" t="n">
        <v>0.35</v>
      </c>
      <c r="D15" s="15" t="n">
        <f aca="false">$D$13*C15</f>
        <v>466666.666666667</v>
      </c>
    </row>
    <row r="16" customFormat="false" ht="15" hidden="false" customHeight="false" outlineLevel="0" collapsed="false">
      <c r="B16" s="18" t="s">
        <v>119</v>
      </c>
      <c r="C16" s="24" t="n">
        <v>0.25</v>
      </c>
      <c r="D16" s="15" t="n">
        <f aca="false">$D$13*C16</f>
        <v>333333.333333333</v>
      </c>
    </row>
    <row r="17" customFormat="false" ht="15" hidden="false" customHeight="false" outlineLevel="0" collapsed="false">
      <c r="B17" s="37" t="s">
        <v>85</v>
      </c>
      <c r="C17" s="38" t="n">
        <f aca="false">Assumptions!E26</f>
        <v>0.2</v>
      </c>
      <c r="D17" s="39" t="n">
        <f aca="false">$C$4*C17</f>
        <v>1066666.66666667</v>
      </c>
    </row>
    <row r="18" customFormat="false" ht="15" hidden="false" customHeight="false" outlineLevel="0" collapsed="false">
      <c r="B18" s="18" t="s">
        <v>120</v>
      </c>
      <c r="C18" s="24" t="n">
        <v>0.5</v>
      </c>
      <c r="D18" s="15" t="n">
        <f aca="false">$D$17*C18</f>
        <v>533333.333333333</v>
      </c>
    </row>
    <row r="19" customFormat="false" ht="15" hidden="false" customHeight="false" outlineLevel="0" collapsed="false">
      <c r="B19" s="18" t="s">
        <v>121</v>
      </c>
      <c r="C19" s="24" t="n">
        <v>0.5</v>
      </c>
      <c r="D19" s="15" t="n">
        <f aca="false">$D$17*C19</f>
        <v>533333.333333333</v>
      </c>
    </row>
    <row r="20" customFormat="false" ht="15" hidden="false" customHeight="false" outlineLevel="0" collapsed="false">
      <c r="B20" s="37" t="s">
        <v>91</v>
      </c>
      <c r="C20" s="38" t="n">
        <f aca="false">Assumptions!E27</f>
        <v>0.04</v>
      </c>
      <c r="D20" s="39" t="n">
        <f aca="false">$C$4*C20</f>
        <v>213333.333333333</v>
      </c>
    </row>
    <row r="21" customFormat="false" ht="15" hidden="false" customHeight="false" outlineLevel="0" collapsed="false">
      <c r="B21" s="18" t="s">
        <v>122</v>
      </c>
      <c r="C21" s="24" t="n">
        <v>1</v>
      </c>
      <c r="D21" s="15" t="n">
        <f aca="false">$D$20*C21</f>
        <v>213333.333333333</v>
      </c>
    </row>
    <row r="22" customFormat="false" ht="15" hidden="false" customHeight="false" outlineLevel="0" collapsed="false">
      <c r="B22" s="37" t="s">
        <v>89</v>
      </c>
      <c r="C22" s="38" t="n">
        <f aca="false">Assumptions!E28</f>
        <v>0.04</v>
      </c>
      <c r="D22" s="39" t="n">
        <f aca="false">$C$4*C22</f>
        <v>213333.333333333</v>
      </c>
    </row>
    <row r="23" customFormat="false" ht="15" hidden="false" customHeight="false" outlineLevel="0" collapsed="false">
      <c r="B23" s="18" t="s">
        <v>123</v>
      </c>
      <c r="C23" s="24" t="n">
        <v>1</v>
      </c>
      <c r="D23" s="15" t="n">
        <f aca="false">$D$22*C23</f>
        <v>213333.333333333</v>
      </c>
    </row>
    <row r="24" customFormat="false" ht="15" hidden="false" customHeight="false" outlineLevel="0" collapsed="false">
      <c r="B24" s="37" t="s">
        <v>93</v>
      </c>
      <c r="C24" s="38" t="n">
        <f aca="false">Assumptions!E29</f>
        <v>0.02</v>
      </c>
      <c r="D24" s="39" t="n">
        <f aca="false">$C$4*C24</f>
        <v>106666.666666667</v>
      </c>
    </row>
    <row r="25" customFormat="false" ht="15" hidden="false" customHeight="false" outlineLevel="0" collapsed="false">
      <c r="B25" s="18" t="s">
        <v>94</v>
      </c>
      <c r="C25" s="24" t="n">
        <v>1</v>
      </c>
      <c r="D25" s="15" t="n">
        <f aca="false">$D$24*C25</f>
        <v>106666.666666667</v>
      </c>
    </row>
    <row r="26" customFormat="false" ht="15" hidden="false" customHeight="false" outlineLevel="0" collapsed="false">
      <c r="B26" s="34" t="s">
        <v>95</v>
      </c>
      <c r="C26" s="40"/>
      <c r="D26" s="21" t="n">
        <f aca="false">D9+D13+D17+D20+D22+D24</f>
        <v>5333333.33333333</v>
      </c>
    </row>
    <row r="27" customFormat="false" ht="15" hidden="false" customHeight="false" outlineLevel="0" collapsed="false">
      <c r="B27" s="18" t="s">
        <v>96</v>
      </c>
      <c r="C27" s="41"/>
      <c r="D27" s="15" t="n">
        <f aca="false">D26*$C$5</f>
        <v>1066666.66666667</v>
      </c>
    </row>
    <row r="28" customFormat="false" ht="15" hidden="false" customHeight="false" outlineLevel="0" collapsed="false">
      <c r="B28" s="30" t="s">
        <v>97</v>
      </c>
      <c r="C28" s="42"/>
      <c r="D28" s="31" t="n">
        <f aca="false">D26+D27</f>
        <v>6400000</v>
      </c>
    </row>
    <row r="30" customFormat="false" ht="15" hidden="false" customHeight="false" outlineLevel="0" collapsed="false">
      <c r="B30" s="22" t="s">
        <v>98</v>
      </c>
      <c r="D30" s="22" t="str">
        <f aca="false">IF(ROUND(D28-$C$6,2)=0,"OK","MISMATCH")</f>
        <v>OK</v>
      </c>
    </row>
  </sheetData>
  <mergeCells count="5">
    <mergeCell ref="A1:D1"/>
    <mergeCell ref="A2:D2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9" t="s">
        <v>124</v>
      </c>
      <c r="B1" s="9"/>
      <c r="C1" s="9"/>
      <c r="D1" s="9"/>
    </row>
    <row r="2" customFormat="false" ht="15" hidden="false" customHeight="false" outlineLevel="0" collapsed="false">
      <c r="A2" s="10" t="s">
        <v>125</v>
      </c>
      <c r="B2" s="10"/>
      <c r="C2" s="10"/>
      <c r="D2" s="10"/>
    </row>
    <row r="4" customFormat="false" ht="15" hidden="false" customHeight="false" outlineLevel="0" collapsed="false">
      <c r="B4" s="4" t="s">
        <v>79</v>
      </c>
      <c r="C4" s="35" t="n">
        <f aca="false">Assumptions!D18</f>
        <v>3333333.33333333</v>
      </c>
      <c r="D4" s="35"/>
    </row>
    <row r="5" customFormat="false" ht="15" hidden="false" customHeight="false" outlineLevel="0" collapsed="false">
      <c r="B5" s="4" t="s">
        <v>80</v>
      </c>
      <c r="C5" s="36" t="n">
        <f aca="false">Assumptions!$C$8</f>
        <v>0.2</v>
      </c>
      <c r="D5" s="36"/>
    </row>
    <row r="6" customFormat="false" ht="15" hidden="false" customHeight="false" outlineLevel="0" collapsed="false">
      <c r="B6" s="4" t="s">
        <v>81</v>
      </c>
      <c r="C6" s="35" t="n">
        <f aca="false">Assumptions!F18</f>
        <v>4000000</v>
      </c>
      <c r="D6" s="35"/>
    </row>
    <row r="8" customFormat="false" ht="15" hidden="false" customHeight="false" outlineLevel="0" collapsed="false">
      <c r="B8" s="23" t="s">
        <v>82</v>
      </c>
      <c r="C8" s="23" t="s">
        <v>83</v>
      </c>
      <c r="D8" s="23" t="s">
        <v>84</v>
      </c>
    </row>
    <row r="9" customFormat="false" ht="15" hidden="false" customHeight="false" outlineLevel="0" collapsed="false">
      <c r="B9" s="37" t="s">
        <v>101</v>
      </c>
      <c r="C9" s="38" t="n">
        <f aca="false">Assumptions!F24</f>
        <v>0.15</v>
      </c>
      <c r="D9" s="39" t="n">
        <f aca="false">$C$4*C9</f>
        <v>500000</v>
      </c>
    </row>
    <row r="10" customFormat="false" ht="15" hidden="false" customHeight="false" outlineLevel="0" collapsed="false">
      <c r="B10" s="18" t="s">
        <v>126</v>
      </c>
      <c r="C10" s="24" t="n">
        <v>1</v>
      </c>
      <c r="D10" s="15" t="n">
        <f aca="false">$D$9*C10</f>
        <v>500000</v>
      </c>
    </row>
    <row r="11" customFormat="false" ht="15" hidden="false" customHeight="false" outlineLevel="0" collapsed="false">
      <c r="B11" s="37" t="s">
        <v>104</v>
      </c>
      <c r="C11" s="38" t="n">
        <f aca="false">Assumptions!F25</f>
        <v>0.35</v>
      </c>
      <c r="D11" s="39" t="n">
        <f aca="false">$C$4*C11</f>
        <v>1166666.66666667</v>
      </c>
    </row>
    <row r="12" customFormat="false" ht="15" hidden="false" customHeight="false" outlineLevel="0" collapsed="false">
      <c r="B12" s="18" t="s">
        <v>127</v>
      </c>
      <c r="C12" s="24" t="n">
        <v>0.5</v>
      </c>
      <c r="D12" s="15" t="n">
        <f aca="false">$D$11*C12</f>
        <v>583333.333333333</v>
      </c>
    </row>
    <row r="13" customFormat="false" ht="15" hidden="false" customHeight="false" outlineLevel="0" collapsed="false">
      <c r="B13" s="18" t="s">
        <v>128</v>
      </c>
      <c r="C13" s="24" t="n">
        <v>0.5</v>
      </c>
      <c r="D13" s="15" t="n">
        <f aca="false">$D$11*C13</f>
        <v>583333.333333333</v>
      </c>
    </row>
    <row r="14" customFormat="false" ht="15" hidden="false" customHeight="false" outlineLevel="0" collapsed="false">
      <c r="B14" s="37" t="s">
        <v>85</v>
      </c>
      <c r="C14" s="38" t="n">
        <f aca="false">Assumptions!F26</f>
        <v>0.3</v>
      </c>
      <c r="D14" s="39" t="n">
        <f aca="false">$C$4*C14</f>
        <v>1000000</v>
      </c>
    </row>
    <row r="15" customFormat="false" ht="15" hidden="false" customHeight="false" outlineLevel="0" collapsed="false">
      <c r="B15" s="18" t="s">
        <v>129</v>
      </c>
      <c r="C15" s="24" t="n">
        <v>0.4</v>
      </c>
      <c r="D15" s="15" t="n">
        <f aca="false">$D$14*C15</f>
        <v>400000</v>
      </c>
    </row>
    <row r="16" customFormat="false" ht="15" hidden="false" customHeight="false" outlineLevel="0" collapsed="false">
      <c r="B16" s="18" t="s">
        <v>130</v>
      </c>
      <c r="C16" s="24" t="n">
        <v>0.6</v>
      </c>
      <c r="D16" s="15" t="n">
        <f aca="false">$D$14*C16</f>
        <v>600000</v>
      </c>
    </row>
    <row r="17" customFormat="false" ht="15" hidden="false" customHeight="false" outlineLevel="0" collapsed="false">
      <c r="B17" s="37" t="s">
        <v>91</v>
      </c>
      <c r="C17" s="38" t="n">
        <f aca="false">Assumptions!F27</f>
        <v>0.08</v>
      </c>
      <c r="D17" s="39" t="n">
        <f aca="false">$C$4*C17</f>
        <v>266666.666666667</v>
      </c>
    </row>
    <row r="18" customFormat="false" ht="15" hidden="false" customHeight="false" outlineLevel="0" collapsed="false">
      <c r="B18" s="18" t="s">
        <v>131</v>
      </c>
      <c r="C18" s="24" t="n">
        <v>1</v>
      </c>
      <c r="D18" s="15" t="n">
        <f aca="false">$D$17*C18</f>
        <v>266666.666666667</v>
      </c>
    </row>
    <row r="19" customFormat="false" ht="15" hidden="false" customHeight="false" outlineLevel="0" collapsed="false">
      <c r="B19" s="37" t="s">
        <v>89</v>
      </c>
      <c r="C19" s="38" t="n">
        <f aca="false">Assumptions!F28</f>
        <v>0.07</v>
      </c>
      <c r="D19" s="39" t="n">
        <f aca="false">$C$4*C19</f>
        <v>233333.333333333</v>
      </c>
    </row>
    <row r="20" customFormat="false" ht="15" hidden="false" customHeight="false" outlineLevel="0" collapsed="false">
      <c r="B20" s="18" t="s">
        <v>132</v>
      </c>
      <c r="C20" s="24" t="n">
        <v>1</v>
      </c>
      <c r="D20" s="15" t="n">
        <f aca="false">$D$19*C20</f>
        <v>233333.333333333</v>
      </c>
    </row>
    <row r="21" customFormat="false" ht="15" hidden="false" customHeight="false" outlineLevel="0" collapsed="false">
      <c r="B21" s="37" t="s">
        <v>93</v>
      </c>
      <c r="C21" s="38" t="n">
        <f aca="false">Assumptions!F29</f>
        <v>0.05</v>
      </c>
      <c r="D21" s="39" t="n">
        <f aca="false">$C$4*C21</f>
        <v>166666.666666667</v>
      </c>
    </row>
    <row r="22" customFormat="false" ht="15" hidden="false" customHeight="false" outlineLevel="0" collapsed="false">
      <c r="B22" s="18" t="s">
        <v>94</v>
      </c>
      <c r="C22" s="24" t="n">
        <v>1</v>
      </c>
      <c r="D22" s="15" t="n">
        <f aca="false">$D$21*C22</f>
        <v>166666.666666667</v>
      </c>
    </row>
    <row r="23" customFormat="false" ht="15" hidden="false" customHeight="false" outlineLevel="0" collapsed="false">
      <c r="B23" s="34" t="s">
        <v>95</v>
      </c>
      <c r="C23" s="40"/>
      <c r="D23" s="21" t="n">
        <f aca="false">D9+D11+D14+D17+D19+D21</f>
        <v>3333333.33333333</v>
      </c>
    </row>
    <row r="24" customFormat="false" ht="15" hidden="false" customHeight="false" outlineLevel="0" collapsed="false">
      <c r="B24" s="18" t="s">
        <v>96</v>
      </c>
      <c r="C24" s="41"/>
      <c r="D24" s="15" t="n">
        <f aca="false">D23*$C$5</f>
        <v>666666.666666667</v>
      </c>
    </row>
    <row r="25" customFormat="false" ht="15" hidden="false" customHeight="false" outlineLevel="0" collapsed="false">
      <c r="B25" s="30" t="s">
        <v>97</v>
      </c>
      <c r="C25" s="42"/>
      <c r="D25" s="31" t="n">
        <f aca="false">D23+D24</f>
        <v>4000000</v>
      </c>
    </row>
    <row r="27" customFormat="false" ht="15" hidden="false" customHeight="false" outlineLevel="0" collapsed="false">
      <c r="B27" s="22" t="s">
        <v>98</v>
      </c>
      <c r="D27" s="22" t="str">
        <f aca="false">IF(ROUND(D25-$C$6,2)=0,"OK","MISMATCH")</f>
        <v>OK</v>
      </c>
    </row>
  </sheetData>
  <mergeCells count="5">
    <mergeCell ref="A1:D1"/>
    <mergeCell ref="A2:D2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5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9" t="s">
        <v>133</v>
      </c>
      <c r="B1" s="9"/>
      <c r="C1" s="9"/>
    </row>
    <row r="2" customFormat="false" ht="15" hidden="false" customHeight="false" outlineLevel="0" collapsed="false">
      <c r="A2" s="10" t="s">
        <v>134</v>
      </c>
      <c r="B2" s="10"/>
      <c r="C2" s="10"/>
    </row>
    <row r="4" customFormat="false" ht="15" hidden="false" customHeight="false" outlineLevel="0" collapsed="false">
      <c r="B4" s="18" t="s">
        <v>64</v>
      </c>
      <c r="C4" s="28" t="n">
        <f aca="false">Assumptions!C34</f>
        <v>3993333.33333333</v>
      </c>
    </row>
    <row r="5" customFormat="false" ht="15" hidden="false" customHeight="false" outlineLevel="0" collapsed="false">
      <c r="B5" s="18" t="s">
        <v>135</v>
      </c>
      <c r="C5" s="43" t="n">
        <f aca="false">Assumptions!C33</f>
        <v>0.18</v>
      </c>
    </row>
    <row r="6" customFormat="false" ht="15" hidden="false" customHeight="false" outlineLevel="0" collapsed="false">
      <c r="B6" s="18" t="s">
        <v>65</v>
      </c>
      <c r="C6" s="28" t="n">
        <f aca="false">Assumptions!C35</f>
        <v>718800</v>
      </c>
    </row>
    <row r="7" customFormat="false" ht="15" hidden="false" customHeight="false" outlineLevel="0" collapsed="false">
      <c r="B7" s="18" t="s">
        <v>80</v>
      </c>
      <c r="C7" s="43" t="n">
        <f aca="false">Assumptions!$C$8</f>
        <v>0.2</v>
      </c>
    </row>
    <row r="8" customFormat="false" ht="15" hidden="false" customHeight="false" outlineLevel="0" collapsed="false">
      <c r="B8" s="18" t="s">
        <v>66</v>
      </c>
      <c r="C8" s="28" t="n">
        <f aca="false">Assumptions!C36</f>
        <v>862560</v>
      </c>
    </row>
    <row r="10" customFormat="false" ht="43.25" hidden="false" customHeight="true" outlineLevel="0" collapsed="false">
      <c r="A10" s="16" t="s">
        <v>136</v>
      </c>
      <c r="B10" s="16"/>
      <c r="C10" s="16"/>
    </row>
  </sheetData>
  <mergeCells count="3">
    <mergeCell ref="A1:C1"/>
    <mergeCell ref="A2:C2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2026-08-04T22:44:59Z</dcterms:created>
  <dc:creator>openpyxl</dc:creator>
  <dc:description/>
  <dc:language>en-US</dc:language>
  <cp:lastModifiedBy/>
  <dcterms:modified xsi:type="dcterms:W3CDTF">2026-08-04T22:44:59Z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
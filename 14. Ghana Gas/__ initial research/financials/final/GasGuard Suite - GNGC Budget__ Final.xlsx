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Assumptions" sheetId="2" r:id="rId6"/>
    <sheet state="visible" name="1. Control Room" sheetId="3" r:id="rId7"/>
    <sheet state="visible" name="2. UAV Procurement" sheetId="4" r:id="rId8"/>
    <sheet state="visible" name="3. Software Dev &amp; Deploy" sheetId="5" r:id="rId9"/>
    <sheet state="visible" name="4. Vehicle Procurement" sheetId="6" r:id="rId10"/>
    <sheet state="visible" name="5. Training &amp; Capacity" sheetId="7" r:id="rId11"/>
    <sheet state="visible" name="6. Project Management" sheetId="8" r:id="rId12"/>
    <sheet state="visible" name="7. Contingency" sheetId="9" r:id="rId13"/>
  </sheets>
  <definedNames/>
  <calcPr/>
</workbook>
</file>

<file path=xl/sharedStrings.xml><?xml version="1.0" encoding="utf-8"?>
<sst xmlns="http://schemas.openxmlformats.org/spreadsheetml/2006/main" count="207" uniqueCount="112">
  <si>
    <t>1. Control Room Space Re-Engineering</t>
  </si>
  <si>
    <t>GasGuard Suite — Budget Assumptions &amp; Controls</t>
  </si>
  <si>
    <t>Ghana National Gas Company (GNGC) | All amounts in Ghana Cedis (GH₵). Edit BLUE cells only — changes flow automatically into every section sheet and the Summary.</t>
  </si>
  <si>
    <t>Fixtures &amp; fittings to convert GNGC's existing control room into the GasGuard Fusion command centre — unified dashboard, video wall, and secure workstations for control-room and integrity staff.</t>
  </si>
  <si>
    <t>Section Subtotal (Tax Exclusive) — linked from Assumptions</t>
  </si>
  <si>
    <t>1.  MASTER CONTRACT VALUE</t>
  </si>
  <si>
    <t>Total Contract Value (Tax Inclusive)</t>
  </si>
  <si>
    <t>2. UAV Procurement (Long- &amp; Short-Range)</t>
  </si>
  <si>
    <t>Effective Tax Rate (VAT / NHIL / GETFund, applied on tax-exclusive value)</t>
  </si>
  <si>
    <t>Total Contract Value (Tax Exclusive)</t>
  </si>
  <si>
    <t>Unmanned aerial platforms supporting GasGuard SkyView aerial screening — long-range coverage of the WAGP corridor and upstream feeder network, short-range rapid response to flagged incidents.</t>
  </si>
  <si>
    <t>Section Subtotal (Tax Inclusive) — linked from Assumptions</t>
  </si>
  <si>
    <t>Total Tax Amount</t>
  </si>
  <si>
    <t>Effective Tax Rate — linked from Assumptions</t>
  </si>
  <si>
    <t>Note: adjust the tax rate here to match GNGC's applicable VAT/levy treatment for this contract.</t>
  </si>
  <si>
    <t>2.  BUDGET SECTION ALLOCATION  (% of Tax-Exclusive Total)</t>
  </si>
  <si>
    <t>% of Total Contract Value (Tax Incl.)</t>
  </si>
  <si>
    <t>Budget Section</t>
  </si>
  <si>
    <t>Allocation %</t>
  </si>
  <si>
    <t>Subtotal (Tax Excl)</t>
  </si>
  <si>
    <t>Tax</t>
  </si>
  <si>
    <t>Subtotal (Tax Incl)</t>
  </si>
  <si>
    <t>1. Control Room Space Re-Engineering (fixtures &amp; fittings)</t>
  </si>
  <si>
    <t>LINE-ITEM DETAIL  (Weight % is editable and must sum to 100%)</t>
  </si>
  <si>
    <t>Line Item</t>
  </si>
  <si>
    <t>Weight % within Section</t>
  </si>
  <si>
    <t>Amount (Tax Excl)</t>
  </si>
  <si>
    <t>Amount (Tax Incl)</t>
  </si>
  <si>
    <t>2. UAV Procurement (long- &amp; short-range)</t>
  </si>
  <si>
    <t>Notes</t>
  </si>
  <si>
    <t>Control Room Civil &amp; Electrical Re-Engineering</t>
  </si>
  <si>
    <t>Long-Range Fixed-Wing UAV Units (2) – corridor &amp; basin screening</t>
  </si>
  <si>
    <t>3. Software Development and Deployment</t>
  </si>
  <si>
    <t>4. Vehicle Procurement (pick-ups)</t>
  </si>
  <si>
    <t>Extended-endurance platforms for WAGP corridor coverage</t>
  </si>
  <si>
    <t>Partitioning, cabling, raised flooring, power re-distribution</t>
  </si>
  <si>
    <t>Short-Range Multirotor UAV Units (4) – site &amp; incident response</t>
  </si>
  <si>
    <t>5. Training and Capacity Building</t>
  </si>
  <si>
    <t>Operator Workstations &amp; Ergonomic Furniture</t>
  </si>
  <si>
    <t>Rapid-deployment units for flagged sites</t>
  </si>
  <si>
    <t>UAV Sensor Payloads (Methane/Gas Detection &amp; Thermal Imaging)</t>
  </si>
  <si>
    <t>6. Project Management</t>
  </si>
  <si>
    <t>Multi-monitor consoles for control-room operators</t>
  </si>
  <si>
    <t>Video Wall / Large-Format Display System</t>
  </si>
  <si>
    <t>Complements GasGuard SkyView satellite screening</t>
  </si>
  <si>
    <t>7. Contingency</t>
  </si>
  <si>
    <t>Unified GasGuard Fusion dashboard display</t>
  </si>
  <si>
    <t>HVAC, Lighting &amp; Power Backup Upgrade</t>
  </si>
  <si>
    <t>TOTAL</t>
  </si>
  <si>
    <t>Ground Control Stations &amp; Communications Equipment</t>
  </si>
  <si>
    <t>Includes UPS sizing for 24/7 monitoring operations</t>
  </si>
  <si>
    <t>Access Control &amp; Physical Security Fit-Out</t>
  </si>
  <si>
    <t>Spare Parts, Maintenance Kit &amp; Charging Infrastructure</t>
  </si>
  <si>
    <t>Biometric/card access to the re-engineered space</t>
  </si>
  <si>
    <t>SECTION TOTAL</t>
  </si>
  <si>
    <t>Check — Allocation % must equal 100%</t>
  </si>
  <si>
    <t>Check — Weight % sums to 100% and Section Total ties to Assumptions</t>
  </si>
  <si>
    <t>LEGEND</t>
  </si>
  <si>
    <t>Blue text / yellow fill = editable input cell</t>
  </si>
  <si>
    <t>Black text = formula (auto-calculated — do not overwrite)</t>
  </si>
  <si>
    <t>Green text = link pulled in from this Assumptions sheet on the section tabs</t>
  </si>
  <si>
    <t>SMART INNOVATIONS GHANA LIMITED</t>
  </si>
  <si>
    <t>GasGuard Suite — Integrated Pipeline Monitoring, Loss-Prevention &amp; Custody-Integrity Platform</t>
  </si>
  <si>
    <t>Budget Proposal for Ghana National Gas Company (GNGC)  —  Prepared by Smart Innovations Ghana Limited, Accra</t>
  </si>
  <si>
    <t>TOTAL CONTRACT VALUE (TAX INCL.)</t>
  </si>
  <si>
    <t>TOTAL CONTRACT VALUE (TAX EXCL.)</t>
  </si>
  <si>
    <t>TOTAL TAX</t>
  </si>
  <si>
    <t>EFFECTIVE TAX RATE</t>
  </si>
  <si>
    <t>Development and deployment of the GasGuard Suite software layer — Reconcile, Fusion, FiberWatch/TrackTrace analytics, MarkChain, and the control-room/mobile applications.</t>
  </si>
  <si>
    <t>BUDGET BY SECTION</t>
  </si>
  <si>
    <t>4. Vehicle Procurement (Pick-Ups)</t>
  </si>
  <si>
    <t>Field vehicles supporting site survey, installation/commissioning, and ongoing enforcement and inspection activity across GNGC's network.</t>
  </si>
  <si>
    <t>% of Total</t>
  </si>
  <si>
    <t>GasGuard Reconcile – CPM Mass-Balance Software Development</t>
  </si>
  <si>
    <t>Structured knowledge transfer so GNGC's own teams can operate and extend the GasGuard platform independently, per the commitment in Section 6 of the proposal.</t>
  </si>
  <si>
    <t>4x4 Double-Cab Pick-Up Trucks – Field Inspection &amp; Enforcement (6 units)</t>
  </si>
  <si>
    <t>API 1130 methodology, custody-point configuration</t>
  </si>
  <si>
    <t>GasGuard Fusion – AI/ML Anomaly-Detection Platform Development</t>
  </si>
  <si>
    <t>Trained on GNGC's own operating/incident data</t>
  </si>
  <si>
    <t>GasGuard FiberWatch &amp; TrackTrace Analytics Modules</t>
  </si>
  <si>
    <t>Indicative fleet size; confirm final count in Phase 0</t>
  </si>
  <si>
    <t>Vehicle GPS/Telematics Fitting &amp; Branding</t>
  </si>
  <si>
    <t>DAS/AIS fusion; LPG fleet route analytics</t>
  </si>
  <si>
    <t>GasGuard MarkChain – Custody Audit-Trail Software</t>
  </si>
  <si>
    <t>Registration, Insurance &amp; Roadworthy Certification (Year 1)</t>
  </si>
  <si>
    <t>Digital custody-transfer audit trail</t>
  </si>
  <si>
    <t>Control-Room Dashboard &amp; Mobile App Development</t>
  </si>
  <si>
    <t>Control Room Operator Training</t>
  </si>
  <si>
    <t>Vehicle Hardware, Tools, Recovery &amp; Safety Equipment</t>
  </si>
  <si>
    <t>Field/enforcement mobile application</t>
  </si>
  <si>
    <t>Cloud Hosting, Data Infrastructure &amp; Cybersecurity Implementation (Yr 1)</t>
  </si>
  <si>
    <t>OT/IT boundary hardening per Section 9 of the proposal</t>
  </si>
  <si>
    <t>System Integration &amp; User Acceptance Testing</t>
  </si>
  <si>
    <t>Field &amp; Enforcement Staff Training (incl. UAV Pilot Certification)</t>
  </si>
  <si>
    <t>IT/OT Staff Technical Knowledge Transfer</t>
  </si>
  <si>
    <t>GNGC Management &amp; Executive Briefing Programme</t>
  </si>
  <si>
    <t>Check — Total (Tax Incl.) should equal Master Contract Value</t>
  </si>
  <si>
    <t>HOW TO USE THIS WORKBOOK</t>
  </si>
  <si>
    <t>1. Go to the Assumptions tab. Set the Total Contract Value (Tax Inclusive) and Tax Rate at the top.</t>
  </si>
  <si>
    <t>2. Adjust the Allocation % for each of the 7 budget sections — they must sum to 100%.</t>
  </si>
  <si>
    <t>3. Open any numbered section tab to fine-tune the Weight % of individual line items — must sum to 100% within that section.</t>
  </si>
  <si>
    <t>4. Every subtotal, tax figure, and the grand total recalculate automatically — no other cells need to be touched.</t>
  </si>
  <si>
    <t>5. Green text = linked from Assumptions. Blue text/yellow fill = editable input. Black text = formula.</t>
  </si>
  <si>
    <t>In-country project leadership embedded alongside GNGC's integrity, IT/OT, and operations staff across the full engagement.</t>
  </si>
  <si>
    <t>Project Director (18-Month Engagement)</t>
  </si>
  <si>
    <t>Master project-level contingency covering scope, schedule, and price risk across all budget sections.</t>
  </si>
  <si>
    <t>Local Project Management Team</t>
  </si>
  <si>
    <t>Cybersecurity/OT Integration Coordination</t>
  </si>
  <si>
    <t>In-Country SLA Support Mobilization (Year 1)</t>
  </si>
  <si>
    <t>Master Project-Level Contingency</t>
  </si>
  <si>
    <t>Reporting, Governance &amp; Stakeholder Coordination</t>
  </si>
  <si>
    <t>Held centrally; drawn down only against approved change requests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</si>
</sst>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GH₵ &quot;#,##0"/>
    <numFmt numFmtId="165" formatCode="0.0%"/>
  </numFmts>
  <fonts count="17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0.0"/>
      <color rgb="FF404040"/>
      <name val="Arial"/>
    </font>
    <font>
      <sz val="10.0"/>
      <color rgb="FF000000"/>
      <name val="Arial"/>
    </font>
    <font>
      <b/>
      <sz val="11.0"/>
      <color rgb="FFFFFFFF"/>
      <name val="Arial"/>
    </font>
    <font>
      <b/>
      <sz val="10.0"/>
      <color rgb="FF000000"/>
      <name val="Arial"/>
    </font>
    <font>
      <b/>
      <sz val="10.0"/>
      <color rgb="FF0000FF"/>
      <name val="Arial"/>
    </font>
    <font>
      <sz val="10.0"/>
      <color rgb="FF008000"/>
      <name val="Arial"/>
    </font>
    <font>
      <i/>
      <sz val="8.0"/>
      <color rgb="FF808080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7.0"/>
      <color rgb="FFFFFFFF"/>
      <name val="Arial"/>
    </font>
    <font>
      <b/>
      <sz val="11.0"/>
      <color rgb="FF1F4E78"/>
      <name val="Arial"/>
    </font>
    <font>
      <i/>
      <sz val="9.0"/>
      <color rgb="FF595959"/>
      <name val="Arial"/>
    </font>
    <font>
      <b/>
      <sz val="9.0"/>
      <color rgb="FF7F7F7F"/>
      <name val="Arial"/>
    </font>
    <font>
      <b/>
      <sz val="18.0"/>
      <color rgb="FF1F4E78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A8"/>
        <bgColor rgb="FFFFF2A8"/>
      </patternFill>
    </fill>
    <fill>
      <patternFill patternType="solid">
        <fgColor rgb="FFFFFDE7"/>
        <bgColor rgb="FFFFFDE7"/>
      </patternFill>
    </fill>
    <fill>
      <patternFill patternType="solid">
        <fgColor rgb="FFD9E1F2"/>
        <bgColor rgb="FFD9E1F2"/>
      </patternFill>
    </fill>
    <fill>
      <patternFill patternType="solid">
        <fgColor rgb="FFF4F7FB"/>
        <bgColor rgb="FFF4F7FB"/>
      </patternFill>
    </fill>
    <fill>
      <patternFill patternType="solid">
        <fgColor rgb="FFF2F2F2"/>
        <bgColor rgb="FFF2F2F2"/>
      </patternFill>
    </fill>
    <fill>
      <patternFill patternType="solid">
        <fgColor rgb="FFC9A227"/>
        <bgColor rgb="FFC9A227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4" fillId="3" fontId="7" numFmtId="164" xfId="0" applyAlignment="1" applyBorder="1" applyFill="1" applyFont="1" applyNumberFormat="1">
      <alignment shrinkToFit="0" vertical="bottom" wrapText="0"/>
    </xf>
    <xf borderId="4" fillId="3" fontId="7" numFmtId="165" xfId="0" applyAlignment="1" applyBorder="1" applyFont="1" applyNumberFormat="1">
      <alignment shrinkToFit="0" vertical="bottom" wrapText="0"/>
    </xf>
    <xf borderId="4" fillId="0" fontId="8" numFmtId="164" xfId="0" applyAlignment="1" applyBorder="1" applyFont="1" applyNumberFormat="1">
      <alignment shrinkToFit="0" vertical="bottom" wrapText="0"/>
    </xf>
    <xf borderId="4" fillId="0" fontId="4" numFmtId="164" xfId="0" applyAlignment="1" applyBorder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4" fillId="0" fontId="8" numFmtId="165" xfId="0" applyAlignment="1" applyBorder="1" applyFont="1" applyNumberFormat="1">
      <alignment shrinkToFit="0" vertical="bottom" wrapText="0"/>
    </xf>
    <xf borderId="4" fillId="2" fontId="10" numFmtId="0" xfId="0" applyAlignment="1" applyBorder="1" applyFont="1">
      <alignment horizontal="center" shrinkToFit="0" vertical="center" wrapText="1"/>
    </xf>
    <xf borderId="4" fillId="0" fontId="4" numFmtId="165" xfId="0" applyAlignment="1" applyBorder="1" applyFont="1" applyNumberFormat="1">
      <alignment shrinkToFit="0" vertical="bottom" wrapText="0"/>
    </xf>
    <xf borderId="4" fillId="0" fontId="4" numFmtId="0" xfId="0" applyAlignment="1" applyBorder="1" applyFont="1">
      <alignment shrinkToFit="0" vertical="top" wrapText="1"/>
    </xf>
    <xf borderId="4" fillId="4" fontId="7" numFmtId="165" xfId="0" applyAlignment="1" applyBorder="1" applyFill="1" applyFont="1" applyNumberFormat="1">
      <alignment shrinkToFit="0" vertical="bottom" wrapText="0"/>
    </xf>
    <xf borderId="4" fillId="0" fontId="9" numFmtId="0" xfId="0" applyAlignment="1" applyBorder="1" applyFont="1">
      <alignment shrinkToFit="0" vertical="top" wrapText="1"/>
    </xf>
    <xf borderId="4" fillId="5" fontId="6" numFmtId="0" xfId="0" applyAlignment="1" applyBorder="1" applyFill="1" applyFont="1">
      <alignment shrinkToFit="0" vertical="bottom" wrapText="0"/>
    </xf>
    <xf borderId="4" fillId="5" fontId="6" numFmtId="165" xfId="0" applyAlignment="1" applyBorder="1" applyFont="1" applyNumberFormat="1">
      <alignment shrinkToFit="0" vertical="bottom" wrapText="0"/>
    </xf>
    <xf borderId="4" fillId="5" fontId="6" numFmtId="164" xfId="0" applyAlignment="1" applyBorder="1" applyFont="1" applyNumberFormat="1">
      <alignment shrinkToFit="0" vertical="bottom" wrapText="0"/>
    </xf>
    <xf borderId="4" fillId="5" fontId="11" numFmtId="0" xfId="0" applyAlignment="1" applyBorder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2" fontId="12" numFmtId="0" xfId="0" applyAlignment="1" applyBorder="1" applyFont="1">
      <alignment horizontal="center" shrinkToFit="0" vertical="center" wrapText="0"/>
    </xf>
    <xf borderId="1" fillId="5" fontId="13" numFmtId="0" xfId="0" applyAlignment="1" applyBorder="1" applyFont="1">
      <alignment horizontal="center" shrinkToFit="0" vertical="center" wrapText="0"/>
    </xf>
    <xf borderId="0" fillId="0" fontId="14" numFmtId="0" xfId="0" applyAlignment="1" applyFont="1">
      <alignment horizontal="center" shrinkToFit="0" vertical="center" wrapText="0"/>
    </xf>
    <xf borderId="5" fillId="6" fontId="15" numFmtId="0" xfId="0" applyAlignment="1" applyBorder="1" applyFill="1" applyFont="1">
      <alignment horizontal="center" shrinkToFit="0" vertical="center" wrapText="0"/>
    </xf>
    <xf borderId="6" fillId="0" fontId="2" numFmtId="0" xfId="0" applyBorder="1" applyFont="1"/>
    <xf borderId="5" fillId="6" fontId="16" numFmtId="164" xfId="0" applyAlignment="1" applyBorder="1" applyFont="1" applyNumberFormat="1">
      <alignment horizontal="center" shrinkToFit="0" vertical="center" wrapText="0"/>
    </xf>
    <xf borderId="5" fillId="6" fontId="16" numFmtId="165" xfId="0" applyAlignment="1" applyBorder="1" applyFont="1" applyNumberFormat="1">
      <alignment horizontal="center" shrinkToFit="0" vertical="center" wrapText="0"/>
    </xf>
    <xf borderId="4" fillId="7" fontId="4" numFmtId="0" xfId="0" applyAlignment="1" applyBorder="1" applyFill="1" applyFont="1">
      <alignment shrinkToFit="0" vertical="top" wrapText="1"/>
    </xf>
    <xf borderId="4" fillId="7" fontId="8" numFmtId="164" xfId="0" applyAlignment="1" applyBorder="1" applyFont="1" applyNumberFormat="1">
      <alignment shrinkToFit="0" vertical="bottom" wrapText="0"/>
    </xf>
    <xf borderId="4" fillId="4" fontId="7" numFmtId="165" xfId="0" applyAlignment="1" applyBorder="1" applyFont="1" applyNumberFormat="1">
      <alignment readingOrder="0" shrinkToFit="0" vertical="bottom" wrapText="0"/>
    </xf>
    <xf borderId="4" fillId="7" fontId="4" numFmtId="165" xfId="0" applyAlignment="1" applyBorder="1" applyFont="1" applyNumberFormat="1">
      <alignment shrinkToFit="0" vertical="bottom" wrapText="0"/>
    </xf>
    <xf borderId="4" fillId="7" fontId="11" numFmtId="0" xfId="0" applyAlignment="1" applyBorder="1" applyFont="1">
      <alignment shrinkToFit="0" vertical="bottom" wrapText="0"/>
    </xf>
    <xf borderId="4" fillId="0" fontId="1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 shrinkToFit="0" vertical="top" wrapText="1"/>
    </xf>
    <xf borderId="4" fillId="8" fontId="6" numFmtId="0" xfId="0" applyAlignment="1" applyBorder="1" applyFill="1" applyFont="1">
      <alignment shrinkToFit="0" vertical="bottom" wrapText="0"/>
    </xf>
    <xf borderId="4" fillId="8" fontId="6" numFmtId="164" xfId="0" applyAlignment="1" applyBorder="1" applyFont="1" applyNumberFormat="1">
      <alignment shrinkToFit="0" vertical="bottom" wrapText="0"/>
    </xf>
    <xf borderId="4" fillId="8" fontId="6" numFmtId="165" xfId="0" applyAlignment="1" applyBorder="1" applyFont="1" applyNumberFormat="1">
      <alignment shrinkToFit="0" vertical="bottom" wrapText="0"/>
    </xf>
    <xf borderId="4" fillId="8" fontId="1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Budget Share by Section (Tax Inclusive)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672A8"/>
              </a:solidFill>
            </c:spPr>
          </c:dPt>
          <c:dPt>
            <c:idx val="1"/>
            <c:spPr>
              <a:solidFill>
                <a:srgbClr val="AB4744"/>
              </a:solidFill>
            </c:spPr>
          </c:dPt>
          <c:dPt>
            <c:idx val="2"/>
            <c:spPr>
              <a:solidFill>
                <a:srgbClr val="8AA64F"/>
              </a:solidFill>
            </c:spPr>
          </c:dPt>
          <c:dPt>
            <c:idx val="3"/>
            <c:spPr>
              <a:solidFill>
                <a:srgbClr val="725990"/>
              </a:solidFill>
            </c:spPr>
          </c:dPt>
          <c:dPt>
            <c:idx val="4"/>
            <c:spPr>
              <a:solidFill>
                <a:srgbClr val="4299B0"/>
              </a:solidFill>
            </c:spPr>
          </c:dPt>
          <c:dPt>
            <c:idx val="5"/>
            <c:spPr>
              <a:solidFill>
                <a:srgbClr val="DC853E"/>
              </a:solidFill>
            </c:spPr>
          </c:dPt>
          <c:dPt>
            <c:idx val="6"/>
            <c:spPr>
              <a:solidFill>
                <a:srgbClr val="93A9CE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6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Summary!$B$12:$B$18</c:f>
            </c:strRef>
          </c:cat>
          <c:val>
            <c:numRef>
              <c:f>Summary!$E$12:$E$18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Budget by Section (GH₵, Tax Inclusive)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cat>
            <c:strRef>
              <c:f>Summary!$B$12:$B$18</c:f>
            </c:strRef>
          </c:cat>
          <c:val>
            <c:numRef>
              <c:f>Summary!$E$12:$E$18</c:f>
              <c:numCache/>
            </c:numRef>
          </c:val>
        </c:ser>
        <c:axId val="460869968"/>
        <c:axId val="680211243"/>
      </c:barChart>
      <c:catAx>
        <c:axId val="4608699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80211243"/>
      </c:catAx>
      <c:valAx>
        <c:axId val="6802112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GH₵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60869968"/>
      </c:valAx>
    </c:plotArea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21</xdr:row>
      <xdr:rowOff>0</xdr:rowOff>
    </xdr:from>
    <xdr:ext cx="5105400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21</xdr:row>
      <xdr:rowOff>0</xdr:rowOff>
    </xdr:from>
    <xdr:ext cx="5133975" cy="34004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.0"/>
    <col customWidth="1" min="2" max="2" width="44.0"/>
    <col customWidth="1" min="3" max="4" width="16.0"/>
    <col customWidth="1" min="5" max="5" width="14.0"/>
    <col customWidth="1" min="6" max="6" width="16.0"/>
    <col customWidth="1" min="7" max="7" width="12.0"/>
    <col customWidth="1" min="8" max="8" width="3.0"/>
    <col customWidth="1" min="9" max="9" width="8.71"/>
    <col customWidth="1" min="10" max="10" width="35.29"/>
    <col customWidth="1" min="11" max="26" width="8.71"/>
  </cols>
  <sheetData>
    <row r="1" ht="31.5" customHeight="1">
      <c r="A1" s="25" t="s">
        <v>61</v>
      </c>
      <c r="B1" s="2"/>
      <c r="C1" s="2"/>
      <c r="D1" s="2"/>
      <c r="E1" s="2"/>
      <c r="F1" s="2"/>
      <c r="G1" s="2"/>
      <c r="H1" s="3"/>
    </row>
    <row r="2" ht="19.5" customHeight="1">
      <c r="A2" s="26" t="s">
        <v>62</v>
      </c>
      <c r="B2" s="2"/>
      <c r="C2" s="2"/>
      <c r="D2" s="2"/>
      <c r="E2" s="2"/>
      <c r="F2" s="2"/>
      <c r="G2" s="2"/>
      <c r="H2" s="3"/>
    </row>
    <row r="3" ht="15.75" customHeight="1">
      <c r="A3" s="27" t="s">
        <v>63</v>
      </c>
    </row>
    <row r="5" ht="13.5" customHeight="1">
      <c r="B5" s="28" t="s">
        <v>64</v>
      </c>
      <c r="C5" s="29"/>
      <c r="D5" s="28" t="s">
        <v>65</v>
      </c>
      <c r="E5" s="29"/>
      <c r="F5" s="28" t="s">
        <v>66</v>
      </c>
      <c r="G5" s="29"/>
      <c r="I5" s="28" t="s">
        <v>67</v>
      </c>
      <c r="J5" s="29"/>
    </row>
    <row r="6" ht="25.5" customHeight="1">
      <c r="B6" s="30">
        <f>Assumptions!B5</f>
        <v>16786452</v>
      </c>
      <c r="C6" s="29"/>
      <c r="D6" s="30">
        <f>Assumptions!B7</f>
        <v>14596914.78</v>
      </c>
      <c r="E6" s="29"/>
      <c r="F6" s="30">
        <f>Assumptions!B8</f>
        <v>2189537.217</v>
      </c>
      <c r="G6" s="29"/>
      <c r="I6" s="31">
        <f>Assumptions!B6</f>
        <v>0.15</v>
      </c>
      <c r="J6" s="29"/>
    </row>
    <row r="8" ht="13.5" customHeight="1"/>
    <row r="9" ht="25.5" customHeight="1"/>
    <row r="10" ht="18.0" customHeight="1">
      <c r="A10" s="6" t="s">
        <v>69</v>
      </c>
      <c r="B10" s="2"/>
      <c r="C10" s="2"/>
      <c r="D10" s="2"/>
      <c r="E10" s="2"/>
      <c r="F10" s="2"/>
      <c r="G10" s="3"/>
    </row>
    <row r="11" ht="27.75" customHeight="1">
      <c r="B11" s="14" t="s">
        <v>17</v>
      </c>
      <c r="C11" s="14" t="s">
        <v>19</v>
      </c>
      <c r="D11" s="14" t="s">
        <v>20</v>
      </c>
      <c r="E11" s="14" t="s">
        <v>21</v>
      </c>
      <c r="F11" s="14" t="s">
        <v>72</v>
      </c>
      <c r="G11" s="14"/>
    </row>
    <row r="12">
      <c r="B12" s="32" t="s">
        <v>0</v>
      </c>
      <c r="C12" s="33">
        <f>Assumptions!C13</f>
        <v>1167753.183</v>
      </c>
      <c r="D12" s="33">
        <f>Assumptions!D13</f>
        <v>175162.9774</v>
      </c>
      <c r="E12" s="33">
        <f>Assumptions!E13</f>
        <v>1342916.16</v>
      </c>
      <c r="F12" s="35">
        <f t="shared" ref="F12:F18" si="1">E12/$B$6</f>
        <v>0.08</v>
      </c>
      <c r="G12" s="36"/>
    </row>
    <row r="13">
      <c r="B13" s="16" t="s">
        <v>7</v>
      </c>
      <c r="C13" s="10">
        <f>Assumptions!C14</f>
        <v>2627444.661</v>
      </c>
      <c r="D13" s="10">
        <f>Assumptions!D14</f>
        <v>394116.6991</v>
      </c>
      <c r="E13" s="10">
        <f>Assumptions!E14</f>
        <v>3021561.36</v>
      </c>
      <c r="F13" s="15">
        <f t="shared" si="1"/>
        <v>0.18</v>
      </c>
      <c r="G13" s="37"/>
    </row>
    <row r="14">
      <c r="B14" s="32" t="s">
        <v>32</v>
      </c>
      <c r="C14" s="33">
        <f>Assumptions!C15</f>
        <v>4379074.435</v>
      </c>
      <c r="D14" s="33">
        <f>Assumptions!D15</f>
        <v>656861.1652</v>
      </c>
      <c r="E14" s="33">
        <f>Assumptions!E15</f>
        <v>5035935.6</v>
      </c>
      <c r="F14" s="35">
        <f t="shared" si="1"/>
        <v>0.3</v>
      </c>
      <c r="G14" s="36"/>
    </row>
    <row r="15">
      <c r="B15" s="16" t="s">
        <v>70</v>
      </c>
      <c r="C15" s="10">
        <f>Assumptions!C16</f>
        <v>1459691.478</v>
      </c>
      <c r="D15" s="10">
        <f>Assumptions!D16</f>
        <v>218953.7217</v>
      </c>
      <c r="E15" s="10">
        <f>Assumptions!E16</f>
        <v>1678645.2</v>
      </c>
      <c r="F15" s="15">
        <f t="shared" si="1"/>
        <v>0.1</v>
      </c>
      <c r="G15" s="37"/>
    </row>
    <row r="16">
      <c r="B16" s="32" t="s">
        <v>37</v>
      </c>
      <c r="C16" s="33">
        <f>Assumptions!C17</f>
        <v>1167753.183</v>
      </c>
      <c r="D16" s="33">
        <f>Assumptions!D17</f>
        <v>175162.9774</v>
      </c>
      <c r="E16" s="33">
        <f>Assumptions!E17</f>
        <v>1342916.16</v>
      </c>
      <c r="F16" s="35">
        <f t="shared" si="1"/>
        <v>0.08</v>
      </c>
      <c r="G16" s="36"/>
    </row>
    <row r="17">
      <c r="B17" s="16" t="s">
        <v>41</v>
      </c>
      <c r="C17" s="10">
        <f>Assumptions!C18</f>
        <v>2335506.365</v>
      </c>
      <c r="D17" s="10">
        <f>Assumptions!D18</f>
        <v>350325.9548</v>
      </c>
      <c r="E17" s="10">
        <f>Assumptions!E18</f>
        <v>2685832.32</v>
      </c>
      <c r="F17" s="15">
        <f t="shared" si="1"/>
        <v>0.16</v>
      </c>
      <c r="G17" s="37"/>
    </row>
    <row r="18">
      <c r="B18" s="32" t="s">
        <v>45</v>
      </c>
      <c r="C18" s="33">
        <f>Assumptions!C19</f>
        <v>1459691.478</v>
      </c>
      <c r="D18" s="33">
        <f>Assumptions!D19</f>
        <v>218953.7217</v>
      </c>
      <c r="E18" s="33">
        <f>Assumptions!E19</f>
        <v>1678645.2</v>
      </c>
      <c r="F18" s="35">
        <f t="shared" si="1"/>
        <v>0.1</v>
      </c>
      <c r="G18" s="36"/>
    </row>
    <row r="19">
      <c r="B19" s="39" t="s">
        <v>48</v>
      </c>
      <c r="C19" s="40">
        <f t="shared" ref="C19:F19" si="2">SUM(C12:C18)</f>
        <v>14596914.78</v>
      </c>
      <c r="D19" s="40">
        <f t="shared" si="2"/>
        <v>2189537.217</v>
      </c>
      <c r="E19" s="40">
        <f t="shared" si="2"/>
        <v>16786452</v>
      </c>
      <c r="F19" s="41">
        <f t="shared" si="2"/>
        <v>1</v>
      </c>
      <c r="G19" s="42"/>
    </row>
    <row r="20">
      <c r="B20" s="12" t="s">
        <v>96</v>
      </c>
      <c r="E20" s="5" t="str">
        <f>IF(ROUND(E19-B6,2)=0,"OK ✓","CHECK")</f>
        <v>OK ✓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8.0" customHeight="1">
      <c r="A41" s="6" t="s">
        <v>97</v>
      </c>
      <c r="B41" s="2"/>
      <c r="C41" s="2"/>
      <c r="D41" s="2"/>
      <c r="E41" s="2"/>
      <c r="F41" s="2"/>
      <c r="G41" s="3"/>
    </row>
    <row r="42" ht="15.75" customHeight="1">
      <c r="B42" s="5" t="s">
        <v>98</v>
      </c>
    </row>
    <row r="43" ht="15.75" customHeight="1">
      <c r="B43" s="5" t="s">
        <v>99</v>
      </c>
    </row>
    <row r="44" ht="15.75" customHeight="1">
      <c r="B44" s="5" t="s">
        <v>100</v>
      </c>
    </row>
    <row r="45" ht="15.75" customHeight="1">
      <c r="B45" s="5" t="s">
        <v>101</v>
      </c>
    </row>
    <row r="46" ht="15.75" customHeight="1">
      <c r="B46" s="5" t="s">
        <v>102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D6:E6"/>
    <mergeCell ref="F6:G6"/>
    <mergeCell ref="A10:G10"/>
    <mergeCell ref="A41:G41"/>
    <mergeCell ref="I5:J5"/>
    <mergeCell ref="I6:J6"/>
    <mergeCell ref="A1:H1"/>
    <mergeCell ref="A2:H2"/>
    <mergeCell ref="A3:H3"/>
    <mergeCell ref="B5:C5"/>
    <mergeCell ref="D5:E5"/>
    <mergeCell ref="F5:G5"/>
    <mergeCell ref="B6:C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8.0"/>
    <col customWidth="1" min="2" max="2" width="16.0"/>
    <col customWidth="1" min="3" max="3" width="20.0"/>
    <col customWidth="1" min="4" max="4" width="16.0"/>
    <col customWidth="1" min="5" max="5" width="20.0"/>
    <col customWidth="1" min="6" max="6" width="14.0"/>
    <col customWidth="1" min="7" max="26" width="8.71"/>
  </cols>
  <sheetData>
    <row r="1" ht="30.0" customHeight="1">
      <c r="A1" s="1" t="s">
        <v>1</v>
      </c>
      <c r="B1" s="2"/>
      <c r="C1" s="2"/>
      <c r="D1" s="2"/>
      <c r="E1" s="2"/>
      <c r="F1" s="3"/>
    </row>
    <row r="2" ht="18.0" customHeight="1">
      <c r="A2" s="4" t="s">
        <v>2</v>
      </c>
    </row>
    <row r="4" ht="18.0" customHeight="1">
      <c r="A4" s="6" t="s">
        <v>5</v>
      </c>
      <c r="B4" s="2"/>
      <c r="C4" s="2"/>
      <c r="D4" s="2"/>
      <c r="E4" s="2"/>
      <c r="F4" s="3"/>
    </row>
    <row r="5">
      <c r="A5" s="7" t="s">
        <v>6</v>
      </c>
      <c r="B5" s="8">
        <v>1.6786452E7</v>
      </c>
    </row>
    <row r="6">
      <c r="A6" s="5" t="s">
        <v>8</v>
      </c>
      <c r="B6" s="9">
        <v>0.15</v>
      </c>
    </row>
    <row r="7">
      <c r="A7" s="5" t="s">
        <v>9</v>
      </c>
      <c r="B7" s="11">
        <f>B5/(1+B6)</f>
        <v>14596914.78</v>
      </c>
    </row>
    <row r="8">
      <c r="A8" s="5" t="s">
        <v>12</v>
      </c>
      <c r="B8" s="11">
        <f>B5-B7</f>
        <v>2189537.217</v>
      </c>
    </row>
    <row r="9">
      <c r="A9" s="12" t="s">
        <v>14</v>
      </c>
    </row>
    <row r="11" ht="18.0" customHeight="1">
      <c r="A11" s="6" t="s">
        <v>15</v>
      </c>
      <c r="B11" s="2"/>
      <c r="C11" s="2"/>
      <c r="D11" s="2"/>
      <c r="E11" s="3"/>
    </row>
    <row r="12" ht="27.75" customHeight="1">
      <c r="A12" s="14" t="s">
        <v>17</v>
      </c>
      <c r="B12" s="14" t="s">
        <v>18</v>
      </c>
      <c r="C12" s="14" t="s">
        <v>19</v>
      </c>
      <c r="D12" s="14" t="s">
        <v>20</v>
      </c>
      <c r="E12" s="14" t="s">
        <v>21</v>
      </c>
    </row>
    <row r="13">
      <c r="A13" s="16" t="s">
        <v>22</v>
      </c>
      <c r="B13" s="17">
        <v>0.08</v>
      </c>
      <c r="C13" s="11">
        <f t="shared" ref="C13:C19" si="1">$B$7*B13</f>
        <v>1167753.183</v>
      </c>
      <c r="D13" s="11">
        <f t="shared" ref="D13:D19" si="2">C13*$B$6</f>
        <v>175162.9774</v>
      </c>
      <c r="E13" s="11">
        <f t="shared" ref="E13:E19" si="3">C13+D13</f>
        <v>1342916.16</v>
      </c>
    </row>
    <row r="14">
      <c r="A14" s="16" t="s">
        <v>28</v>
      </c>
      <c r="B14" s="17">
        <v>0.18</v>
      </c>
      <c r="C14" s="11">
        <f t="shared" si="1"/>
        <v>2627444.661</v>
      </c>
      <c r="D14" s="11">
        <f t="shared" si="2"/>
        <v>394116.6991</v>
      </c>
      <c r="E14" s="11">
        <f t="shared" si="3"/>
        <v>3021561.36</v>
      </c>
    </row>
    <row r="15">
      <c r="A15" s="16" t="s">
        <v>32</v>
      </c>
      <c r="B15" s="17">
        <v>0.3</v>
      </c>
      <c r="C15" s="11">
        <f t="shared" si="1"/>
        <v>4379074.435</v>
      </c>
      <c r="D15" s="11">
        <f t="shared" si="2"/>
        <v>656861.1652</v>
      </c>
      <c r="E15" s="11">
        <f t="shared" si="3"/>
        <v>5035935.6</v>
      </c>
    </row>
    <row r="16">
      <c r="A16" s="16" t="s">
        <v>33</v>
      </c>
      <c r="B16" s="17">
        <v>0.1</v>
      </c>
      <c r="C16" s="11">
        <f t="shared" si="1"/>
        <v>1459691.478</v>
      </c>
      <c r="D16" s="11">
        <f t="shared" si="2"/>
        <v>218953.7217</v>
      </c>
      <c r="E16" s="11">
        <f t="shared" si="3"/>
        <v>1678645.2</v>
      </c>
    </row>
    <row r="17">
      <c r="A17" s="16" t="s">
        <v>37</v>
      </c>
      <c r="B17" s="17">
        <v>0.08</v>
      </c>
      <c r="C17" s="11">
        <f t="shared" si="1"/>
        <v>1167753.183</v>
      </c>
      <c r="D17" s="11">
        <f t="shared" si="2"/>
        <v>175162.9774</v>
      </c>
      <c r="E17" s="11">
        <f t="shared" si="3"/>
        <v>1342916.16</v>
      </c>
    </row>
    <row r="18">
      <c r="A18" s="16" t="s">
        <v>41</v>
      </c>
      <c r="B18" s="17">
        <v>0.16</v>
      </c>
      <c r="C18" s="11">
        <f t="shared" si="1"/>
        <v>2335506.365</v>
      </c>
      <c r="D18" s="11">
        <f t="shared" si="2"/>
        <v>350325.9548</v>
      </c>
      <c r="E18" s="11">
        <f t="shared" si="3"/>
        <v>2685832.32</v>
      </c>
    </row>
    <row r="19">
      <c r="A19" s="16" t="s">
        <v>45</v>
      </c>
      <c r="B19" s="17">
        <v>0.1</v>
      </c>
      <c r="C19" s="11">
        <f t="shared" si="1"/>
        <v>1459691.478</v>
      </c>
      <c r="D19" s="11">
        <f t="shared" si="2"/>
        <v>218953.7217</v>
      </c>
      <c r="E19" s="11">
        <f t="shared" si="3"/>
        <v>1678645.2</v>
      </c>
    </row>
    <row r="20">
      <c r="A20" s="19" t="s">
        <v>48</v>
      </c>
      <c r="B20" s="20">
        <f t="shared" ref="B20:E20" si="4">SUM(B13:B19)</f>
        <v>1</v>
      </c>
      <c r="C20" s="21">
        <f t="shared" si="4"/>
        <v>14596914.78</v>
      </c>
      <c r="D20" s="21">
        <f t="shared" si="4"/>
        <v>2189537.217</v>
      </c>
      <c r="E20" s="21">
        <f t="shared" si="4"/>
        <v>16786452</v>
      </c>
    </row>
    <row r="21" ht="15.75" customHeight="1">
      <c r="A21" s="5" t="s">
        <v>55</v>
      </c>
      <c r="B21" s="5" t="str">
        <f>IF(ROUND(B20,4)=1,"OK ✓","CHECK — adjust %")</f>
        <v>OK ✓</v>
      </c>
    </row>
    <row r="22" ht="15.75" customHeight="1"/>
    <row r="23" ht="15.75" customHeight="1">
      <c r="A23" s="7" t="s">
        <v>57</v>
      </c>
    </row>
    <row r="24" ht="15.75" customHeight="1">
      <c r="A24" s="23" t="s">
        <v>58</v>
      </c>
    </row>
    <row r="25" ht="15.75" customHeight="1">
      <c r="A25" s="5" t="s">
        <v>59</v>
      </c>
    </row>
    <row r="26" ht="15.75" customHeight="1">
      <c r="A26" s="24" t="s">
        <v>60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F1"/>
    <mergeCell ref="A2:F2"/>
    <mergeCell ref="A4:F4"/>
    <mergeCell ref="A11:E1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6.0"/>
    <col customWidth="1" min="2" max="2" width="14.0"/>
    <col customWidth="1" min="3" max="3" width="17.0"/>
    <col customWidth="1" min="4" max="4" width="15.0"/>
    <col customWidth="1" min="5" max="5" width="17.0"/>
    <col customWidth="1" min="6" max="6" width="46.0"/>
    <col customWidth="1" min="7" max="26" width="8.71"/>
  </cols>
  <sheetData>
    <row r="1" ht="27.75" customHeight="1">
      <c r="A1" s="1" t="s">
        <v>0</v>
      </c>
      <c r="B1" s="2"/>
      <c r="C1" s="2"/>
      <c r="D1" s="2"/>
      <c r="E1" s="2"/>
      <c r="F1" s="3"/>
    </row>
    <row r="2" ht="27.75" customHeight="1">
      <c r="A2" s="4" t="s">
        <v>3</v>
      </c>
    </row>
    <row r="4">
      <c r="A4" s="5" t="s">
        <v>4</v>
      </c>
      <c r="B4" s="10">
        <f>Assumptions!C13</f>
        <v>1167753.183</v>
      </c>
    </row>
    <row r="5">
      <c r="A5" s="5" t="s">
        <v>11</v>
      </c>
      <c r="B5" s="10">
        <f>Assumptions!E13</f>
        <v>1342916.16</v>
      </c>
    </row>
    <row r="6">
      <c r="A6" s="5" t="s">
        <v>13</v>
      </c>
      <c r="B6" s="13">
        <f>Assumptions!$B$6</f>
        <v>0.15</v>
      </c>
    </row>
    <row r="7">
      <c r="A7" s="5" t="s">
        <v>16</v>
      </c>
      <c r="B7" s="15">
        <f>B5/Assumptions!$B$5</f>
        <v>0.08</v>
      </c>
    </row>
    <row r="8" ht="18.0" customHeight="1">
      <c r="A8" s="6" t="s">
        <v>23</v>
      </c>
      <c r="B8" s="2"/>
      <c r="C8" s="2"/>
      <c r="D8" s="2"/>
      <c r="E8" s="2"/>
      <c r="F8" s="3"/>
    </row>
    <row r="9" ht="27.75" customHeight="1">
      <c r="A9" s="14" t="s">
        <v>24</v>
      </c>
      <c r="B9" s="14" t="s">
        <v>25</v>
      </c>
      <c r="C9" s="14" t="s">
        <v>26</v>
      </c>
      <c r="D9" s="14" t="s">
        <v>20</v>
      </c>
      <c r="E9" s="14" t="s">
        <v>27</v>
      </c>
      <c r="F9" s="14" t="s">
        <v>29</v>
      </c>
    </row>
    <row r="10">
      <c r="A10" s="16" t="s">
        <v>30</v>
      </c>
      <c r="B10" s="17">
        <v>0.3</v>
      </c>
      <c r="C10" s="11">
        <f t="shared" ref="C10:C14" si="1">$B$4*B10</f>
        <v>350325.9548</v>
      </c>
      <c r="D10" s="11">
        <f t="shared" ref="D10:D14" si="2">C10*$B$6</f>
        <v>52548.89322</v>
      </c>
      <c r="E10" s="11">
        <f t="shared" ref="E10:E14" si="3">C10+D10</f>
        <v>402874.848</v>
      </c>
      <c r="F10" s="18" t="s">
        <v>35</v>
      </c>
    </row>
    <row r="11">
      <c r="A11" s="16" t="s">
        <v>38</v>
      </c>
      <c r="B11" s="17">
        <v>0.2</v>
      </c>
      <c r="C11" s="11">
        <f t="shared" si="1"/>
        <v>233550.6365</v>
      </c>
      <c r="D11" s="11">
        <f t="shared" si="2"/>
        <v>35032.59548</v>
      </c>
      <c r="E11" s="11">
        <f t="shared" si="3"/>
        <v>268583.232</v>
      </c>
      <c r="F11" s="18" t="s">
        <v>42</v>
      </c>
    </row>
    <row r="12">
      <c r="A12" s="16" t="s">
        <v>43</v>
      </c>
      <c r="B12" s="17">
        <v>0.2</v>
      </c>
      <c r="C12" s="11">
        <f t="shared" si="1"/>
        <v>233550.6365</v>
      </c>
      <c r="D12" s="11">
        <f t="shared" si="2"/>
        <v>35032.59548</v>
      </c>
      <c r="E12" s="11">
        <f t="shared" si="3"/>
        <v>268583.232</v>
      </c>
      <c r="F12" s="18" t="s">
        <v>46</v>
      </c>
    </row>
    <row r="13">
      <c r="A13" s="16" t="s">
        <v>47</v>
      </c>
      <c r="B13" s="17">
        <v>0.15</v>
      </c>
      <c r="C13" s="11">
        <f t="shared" si="1"/>
        <v>175162.9774</v>
      </c>
      <c r="D13" s="11">
        <f t="shared" si="2"/>
        <v>26274.44661</v>
      </c>
      <c r="E13" s="11">
        <f t="shared" si="3"/>
        <v>201437.424</v>
      </c>
      <c r="F13" s="18" t="s">
        <v>50</v>
      </c>
    </row>
    <row r="14">
      <c r="A14" s="16" t="s">
        <v>51</v>
      </c>
      <c r="B14" s="17">
        <v>0.15</v>
      </c>
      <c r="C14" s="11">
        <f t="shared" si="1"/>
        <v>175162.9774</v>
      </c>
      <c r="D14" s="11">
        <f t="shared" si="2"/>
        <v>26274.44661</v>
      </c>
      <c r="E14" s="11">
        <f t="shared" si="3"/>
        <v>201437.424</v>
      </c>
      <c r="F14" s="18" t="s">
        <v>53</v>
      </c>
    </row>
    <row r="15">
      <c r="A15" s="19" t="s">
        <v>54</v>
      </c>
      <c r="B15" s="20">
        <f t="shared" ref="B15:E15" si="4">SUM(B10:B14)</f>
        <v>1</v>
      </c>
      <c r="C15" s="21">
        <f t="shared" si="4"/>
        <v>1167753.183</v>
      </c>
      <c r="D15" s="21">
        <f t="shared" si="4"/>
        <v>175162.9774</v>
      </c>
      <c r="E15" s="21">
        <f t="shared" si="4"/>
        <v>1342916.16</v>
      </c>
      <c r="F15" s="22"/>
    </row>
    <row r="16">
      <c r="A16" s="12" t="s">
        <v>56</v>
      </c>
      <c r="B16" s="5" t="str">
        <f>IF(ROUND(B15,4)=1,"OK ✓","CHECK")</f>
        <v>OK ✓</v>
      </c>
      <c r="E16" s="5" t="str">
        <f>IF(ROUND(E15-B5,2)=0,"OK ✓","CHECK")</f>
        <v>OK ✓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8:F8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6.0"/>
    <col customWidth="1" min="2" max="2" width="14.0"/>
    <col customWidth="1" min="3" max="3" width="17.0"/>
    <col customWidth="1" min="4" max="4" width="15.0"/>
    <col customWidth="1" min="5" max="5" width="17.0"/>
    <col customWidth="1" min="6" max="6" width="46.0"/>
    <col customWidth="1" min="7" max="26" width="8.71"/>
  </cols>
  <sheetData>
    <row r="1" ht="27.75" customHeight="1">
      <c r="A1" s="1" t="s">
        <v>7</v>
      </c>
      <c r="B1" s="2"/>
      <c r="C1" s="2"/>
      <c r="D1" s="2"/>
      <c r="E1" s="2"/>
      <c r="F1" s="3"/>
    </row>
    <row r="2" ht="27.75" customHeight="1">
      <c r="A2" s="4" t="s">
        <v>10</v>
      </c>
    </row>
    <row r="4">
      <c r="A4" s="5" t="s">
        <v>4</v>
      </c>
      <c r="B4" s="10">
        <f>Assumptions!C14</f>
        <v>2627444.661</v>
      </c>
    </row>
    <row r="5">
      <c r="A5" s="5" t="s">
        <v>11</v>
      </c>
      <c r="B5" s="10">
        <f>Assumptions!E14</f>
        <v>3021561.36</v>
      </c>
    </row>
    <row r="6">
      <c r="A6" s="5" t="s">
        <v>13</v>
      </c>
      <c r="B6" s="13">
        <f>Assumptions!$B$6</f>
        <v>0.15</v>
      </c>
    </row>
    <row r="7">
      <c r="A7" s="5" t="s">
        <v>16</v>
      </c>
      <c r="B7" s="15">
        <f>B5/Assumptions!$B$5</f>
        <v>0.18</v>
      </c>
    </row>
    <row r="8" ht="18.0" customHeight="1">
      <c r="A8" s="6" t="s">
        <v>23</v>
      </c>
      <c r="B8" s="2"/>
      <c r="C8" s="2"/>
      <c r="D8" s="2"/>
      <c r="E8" s="2"/>
      <c r="F8" s="3"/>
    </row>
    <row r="9" ht="27.75" customHeight="1">
      <c r="A9" s="14" t="s">
        <v>24</v>
      </c>
      <c r="B9" s="14" t="s">
        <v>25</v>
      </c>
      <c r="C9" s="14" t="s">
        <v>26</v>
      </c>
      <c r="D9" s="14" t="s">
        <v>20</v>
      </c>
      <c r="E9" s="14" t="s">
        <v>27</v>
      </c>
      <c r="F9" s="14" t="s">
        <v>29</v>
      </c>
    </row>
    <row r="10">
      <c r="A10" s="16" t="s">
        <v>31</v>
      </c>
      <c r="B10" s="17">
        <v>0.35</v>
      </c>
      <c r="C10" s="11">
        <f t="shared" ref="C10:C14" si="1">$B$4*B10</f>
        <v>919605.6313</v>
      </c>
      <c r="D10" s="11">
        <f t="shared" ref="D10:D14" si="2">C10*$B$6</f>
        <v>137940.8447</v>
      </c>
      <c r="E10" s="11">
        <f t="shared" ref="E10:E14" si="3">C10+D10</f>
        <v>1057546.476</v>
      </c>
      <c r="F10" s="18" t="s">
        <v>34</v>
      </c>
    </row>
    <row r="11">
      <c r="A11" s="16" t="s">
        <v>36</v>
      </c>
      <c r="B11" s="17">
        <v>0.2</v>
      </c>
      <c r="C11" s="11">
        <f t="shared" si="1"/>
        <v>525488.9322</v>
      </c>
      <c r="D11" s="11">
        <f t="shared" si="2"/>
        <v>78823.33983</v>
      </c>
      <c r="E11" s="11">
        <f t="shared" si="3"/>
        <v>604312.272</v>
      </c>
      <c r="F11" s="18" t="s">
        <v>39</v>
      </c>
    </row>
    <row r="12">
      <c r="A12" s="16" t="s">
        <v>40</v>
      </c>
      <c r="B12" s="17">
        <v>0.25</v>
      </c>
      <c r="C12" s="11">
        <f t="shared" si="1"/>
        <v>656861.1652</v>
      </c>
      <c r="D12" s="11">
        <f t="shared" si="2"/>
        <v>98529.17478</v>
      </c>
      <c r="E12" s="11">
        <f t="shared" si="3"/>
        <v>755390.34</v>
      </c>
      <c r="F12" s="18" t="s">
        <v>44</v>
      </c>
    </row>
    <row r="13">
      <c r="A13" s="16" t="s">
        <v>49</v>
      </c>
      <c r="B13" s="17">
        <v>0.12</v>
      </c>
      <c r="C13" s="11">
        <f t="shared" si="1"/>
        <v>315293.3593</v>
      </c>
      <c r="D13" s="11">
        <f t="shared" si="2"/>
        <v>47294.0039</v>
      </c>
      <c r="E13" s="11">
        <f t="shared" si="3"/>
        <v>362587.3632</v>
      </c>
      <c r="F13" s="18"/>
    </row>
    <row r="14">
      <c r="A14" s="16" t="s">
        <v>52</v>
      </c>
      <c r="B14" s="17">
        <v>0.08</v>
      </c>
      <c r="C14" s="11">
        <f t="shared" si="1"/>
        <v>210195.5729</v>
      </c>
      <c r="D14" s="11">
        <f t="shared" si="2"/>
        <v>31529.33593</v>
      </c>
      <c r="E14" s="11">
        <f t="shared" si="3"/>
        <v>241724.9088</v>
      </c>
      <c r="F14" s="18"/>
    </row>
    <row r="15">
      <c r="A15" s="19" t="s">
        <v>54</v>
      </c>
      <c r="B15" s="20">
        <f t="shared" ref="B15:E15" si="4">SUM(B10:B14)</f>
        <v>1</v>
      </c>
      <c r="C15" s="21">
        <f t="shared" si="4"/>
        <v>2627444.661</v>
      </c>
      <c r="D15" s="21">
        <f t="shared" si="4"/>
        <v>394116.6991</v>
      </c>
      <c r="E15" s="21">
        <f t="shared" si="4"/>
        <v>3021561.36</v>
      </c>
      <c r="F15" s="22"/>
    </row>
    <row r="16">
      <c r="A16" s="12" t="s">
        <v>56</v>
      </c>
      <c r="B16" s="5" t="str">
        <f>IF(ROUND(B15,4)=1,"OK ✓","CHECK")</f>
        <v>OK ✓</v>
      </c>
      <c r="E16" s="5" t="str">
        <f>IF(ROUND(E15-B5,2)=0,"OK ✓","CHECK")</f>
        <v>OK ✓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8:F8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6.0"/>
    <col customWidth="1" min="2" max="2" width="14.0"/>
    <col customWidth="1" min="3" max="3" width="17.0"/>
    <col customWidth="1" min="4" max="4" width="15.0"/>
    <col customWidth="1" min="5" max="5" width="17.0"/>
    <col customWidth="1" min="6" max="6" width="46.0"/>
    <col customWidth="1" min="7" max="26" width="8.71"/>
  </cols>
  <sheetData>
    <row r="1" ht="27.75" customHeight="1">
      <c r="A1" s="1" t="s">
        <v>32</v>
      </c>
      <c r="B1" s="2"/>
      <c r="C1" s="2"/>
      <c r="D1" s="2"/>
      <c r="E1" s="2"/>
      <c r="F1" s="3"/>
    </row>
    <row r="2" ht="27.75" customHeight="1">
      <c r="A2" s="4" t="s">
        <v>68</v>
      </c>
    </row>
    <row r="4">
      <c r="A4" s="5" t="s">
        <v>4</v>
      </c>
      <c r="B4" s="10">
        <f>Assumptions!C15</f>
        <v>4379074.435</v>
      </c>
    </row>
    <row r="5">
      <c r="A5" s="5" t="s">
        <v>11</v>
      </c>
      <c r="B5" s="10">
        <f>Assumptions!E15</f>
        <v>5035935.6</v>
      </c>
    </row>
    <row r="6">
      <c r="A6" s="5" t="s">
        <v>13</v>
      </c>
      <c r="B6" s="13">
        <f>Assumptions!$B$6</f>
        <v>0.15</v>
      </c>
    </row>
    <row r="7">
      <c r="A7" s="5" t="s">
        <v>16</v>
      </c>
      <c r="B7" s="15">
        <f>B5/Assumptions!$B$5</f>
        <v>0.3</v>
      </c>
    </row>
    <row r="8" ht="18.0" customHeight="1">
      <c r="A8" s="6" t="s">
        <v>23</v>
      </c>
      <c r="B8" s="2"/>
      <c r="C8" s="2"/>
      <c r="D8" s="2"/>
      <c r="E8" s="2"/>
      <c r="F8" s="3"/>
    </row>
    <row r="9" ht="27.75" customHeight="1">
      <c r="A9" s="14" t="s">
        <v>24</v>
      </c>
      <c r="B9" s="14" t="s">
        <v>25</v>
      </c>
      <c r="C9" s="14" t="s">
        <v>26</v>
      </c>
      <c r="D9" s="14" t="s">
        <v>20</v>
      </c>
      <c r="E9" s="14" t="s">
        <v>27</v>
      </c>
      <c r="F9" s="14" t="s">
        <v>29</v>
      </c>
    </row>
    <row r="10">
      <c r="A10" s="16" t="s">
        <v>73</v>
      </c>
      <c r="B10" s="17">
        <v>0.2</v>
      </c>
      <c r="C10" s="11">
        <f t="shared" ref="C10:C16" si="1">$B$4*B10</f>
        <v>875814.887</v>
      </c>
      <c r="D10" s="11">
        <f t="shared" ref="D10:D16" si="2">C10*$B$6</f>
        <v>131372.233</v>
      </c>
      <c r="E10" s="11">
        <f t="shared" ref="E10:E16" si="3">C10+D10</f>
        <v>1007187.12</v>
      </c>
      <c r="F10" s="18" t="s">
        <v>76</v>
      </c>
    </row>
    <row r="11">
      <c r="A11" s="16" t="s">
        <v>77</v>
      </c>
      <c r="B11" s="17">
        <v>0.25</v>
      </c>
      <c r="C11" s="11">
        <f t="shared" si="1"/>
        <v>1094768.609</v>
      </c>
      <c r="D11" s="11">
        <f t="shared" si="2"/>
        <v>164215.2913</v>
      </c>
      <c r="E11" s="11">
        <f t="shared" si="3"/>
        <v>1258983.9</v>
      </c>
      <c r="F11" s="18" t="s">
        <v>78</v>
      </c>
    </row>
    <row r="12">
      <c r="A12" s="16" t="s">
        <v>79</v>
      </c>
      <c r="B12" s="17">
        <v>0.15</v>
      </c>
      <c r="C12" s="11">
        <f t="shared" si="1"/>
        <v>656861.1652</v>
      </c>
      <c r="D12" s="11">
        <f t="shared" si="2"/>
        <v>98529.17478</v>
      </c>
      <c r="E12" s="11">
        <f t="shared" si="3"/>
        <v>755390.34</v>
      </c>
      <c r="F12" s="18" t="s">
        <v>82</v>
      </c>
    </row>
    <row r="13">
      <c r="A13" s="16" t="s">
        <v>83</v>
      </c>
      <c r="B13" s="17">
        <v>0.1</v>
      </c>
      <c r="C13" s="11">
        <f t="shared" si="1"/>
        <v>437907.4435</v>
      </c>
      <c r="D13" s="11">
        <f t="shared" si="2"/>
        <v>65686.11652</v>
      </c>
      <c r="E13" s="11">
        <f t="shared" si="3"/>
        <v>503593.56</v>
      </c>
      <c r="F13" s="18" t="s">
        <v>85</v>
      </c>
    </row>
    <row r="14">
      <c r="A14" s="16" t="s">
        <v>86</v>
      </c>
      <c r="B14" s="17">
        <v>0.12</v>
      </c>
      <c r="C14" s="11">
        <f t="shared" si="1"/>
        <v>525488.9322</v>
      </c>
      <c r="D14" s="11">
        <f t="shared" si="2"/>
        <v>78823.33983</v>
      </c>
      <c r="E14" s="11">
        <f t="shared" si="3"/>
        <v>604312.272</v>
      </c>
      <c r="F14" s="18" t="s">
        <v>89</v>
      </c>
    </row>
    <row r="15">
      <c r="A15" s="16" t="s">
        <v>90</v>
      </c>
      <c r="B15" s="17">
        <v>0.1</v>
      </c>
      <c r="C15" s="11">
        <f t="shared" si="1"/>
        <v>437907.4435</v>
      </c>
      <c r="D15" s="11">
        <f t="shared" si="2"/>
        <v>65686.11652</v>
      </c>
      <c r="E15" s="11">
        <f t="shared" si="3"/>
        <v>503593.56</v>
      </c>
      <c r="F15" s="18" t="s">
        <v>91</v>
      </c>
    </row>
    <row r="16">
      <c r="A16" s="16" t="s">
        <v>92</v>
      </c>
      <c r="B16" s="17">
        <v>0.08</v>
      </c>
      <c r="C16" s="11">
        <f t="shared" si="1"/>
        <v>350325.9548</v>
      </c>
      <c r="D16" s="11">
        <f t="shared" si="2"/>
        <v>52548.89322</v>
      </c>
      <c r="E16" s="11">
        <f t="shared" si="3"/>
        <v>402874.848</v>
      </c>
      <c r="F16" s="18"/>
    </row>
    <row r="17">
      <c r="A17" s="19" t="s">
        <v>54</v>
      </c>
      <c r="B17" s="20">
        <f t="shared" ref="B17:E17" si="4">SUM(B10:B16)</f>
        <v>1</v>
      </c>
      <c r="C17" s="21">
        <f t="shared" si="4"/>
        <v>4379074.435</v>
      </c>
      <c r="D17" s="21">
        <f t="shared" si="4"/>
        <v>656861.1652</v>
      </c>
      <c r="E17" s="21">
        <f t="shared" si="4"/>
        <v>5035935.6</v>
      </c>
      <c r="F17" s="22"/>
    </row>
    <row r="18">
      <c r="A18" s="12" t="s">
        <v>56</v>
      </c>
      <c r="B18" s="5" t="str">
        <f>IF(ROUND(B17,4)=1,"OK ✓","CHECK")</f>
        <v>OK ✓</v>
      </c>
      <c r="E18" s="5" t="str">
        <f>IF(ROUND(E17-B5,2)=0,"OK ✓","CHECK")</f>
        <v>OK ✓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8:F8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6.0"/>
    <col customWidth="1" min="2" max="2" width="14.0"/>
    <col customWidth="1" min="3" max="3" width="17.0"/>
    <col customWidth="1" min="4" max="4" width="15.0"/>
    <col customWidth="1" min="5" max="5" width="17.0"/>
    <col customWidth="1" min="6" max="6" width="46.0"/>
    <col customWidth="1" min="7" max="26" width="8.71"/>
  </cols>
  <sheetData>
    <row r="1" ht="27.75" customHeight="1">
      <c r="A1" s="1" t="s">
        <v>70</v>
      </c>
      <c r="B1" s="2"/>
      <c r="C1" s="2"/>
      <c r="D1" s="2"/>
      <c r="E1" s="2"/>
      <c r="F1" s="3"/>
    </row>
    <row r="2" ht="27.75" customHeight="1">
      <c r="A2" s="4" t="s">
        <v>71</v>
      </c>
    </row>
    <row r="4">
      <c r="A4" s="5" t="s">
        <v>4</v>
      </c>
      <c r="B4" s="10">
        <f>Assumptions!C16</f>
        <v>1459691.478</v>
      </c>
    </row>
    <row r="5">
      <c r="A5" s="5" t="s">
        <v>11</v>
      </c>
      <c r="B5" s="10">
        <f>Assumptions!E16</f>
        <v>1678645.2</v>
      </c>
    </row>
    <row r="6">
      <c r="A6" s="5" t="s">
        <v>13</v>
      </c>
      <c r="B6" s="13">
        <f>Assumptions!$B$6</f>
        <v>0.15</v>
      </c>
    </row>
    <row r="7">
      <c r="A7" s="5" t="s">
        <v>16</v>
      </c>
      <c r="B7" s="15">
        <f>B5/Assumptions!$B$5</f>
        <v>0.1</v>
      </c>
    </row>
    <row r="8" ht="18.0" customHeight="1">
      <c r="A8" s="6" t="s">
        <v>23</v>
      </c>
      <c r="B8" s="2"/>
      <c r="C8" s="2"/>
      <c r="D8" s="2"/>
      <c r="E8" s="2"/>
      <c r="F8" s="3"/>
    </row>
    <row r="9" ht="27.75" customHeight="1">
      <c r="A9" s="14" t="s">
        <v>24</v>
      </c>
      <c r="B9" s="14" t="s">
        <v>25</v>
      </c>
      <c r="C9" s="14" t="s">
        <v>26</v>
      </c>
      <c r="D9" s="14" t="s">
        <v>20</v>
      </c>
      <c r="E9" s="14" t="s">
        <v>27</v>
      </c>
      <c r="F9" s="14" t="s">
        <v>29</v>
      </c>
    </row>
    <row r="10">
      <c r="A10" s="16" t="s">
        <v>75</v>
      </c>
      <c r="B10" s="34">
        <v>0.75</v>
      </c>
      <c r="C10" s="11">
        <f t="shared" ref="C10:C13" si="1">$B$4*B10</f>
        <v>1094768.609</v>
      </c>
      <c r="D10" s="11">
        <f t="shared" ref="D10:D13" si="2">C10*$B$6</f>
        <v>164215.2913</v>
      </c>
      <c r="E10" s="11">
        <f t="shared" ref="E10:E13" si="3">C10+D10</f>
        <v>1258983.9</v>
      </c>
      <c r="F10" s="18" t="s">
        <v>80</v>
      </c>
    </row>
    <row r="11">
      <c r="A11" s="16" t="s">
        <v>81</v>
      </c>
      <c r="B11" s="34">
        <v>0.04</v>
      </c>
      <c r="C11" s="11">
        <f t="shared" si="1"/>
        <v>58387.65913</v>
      </c>
      <c r="D11" s="11">
        <f t="shared" si="2"/>
        <v>8758.14887</v>
      </c>
      <c r="E11" s="11">
        <f t="shared" si="3"/>
        <v>67145.808</v>
      </c>
      <c r="F11" s="18"/>
    </row>
    <row r="12">
      <c r="A12" s="16" t="s">
        <v>84</v>
      </c>
      <c r="B12" s="34">
        <v>0.07</v>
      </c>
      <c r="C12" s="11">
        <f t="shared" si="1"/>
        <v>102178.4035</v>
      </c>
      <c r="D12" s="11">
        <f t="shared" si="2"/>
        <v>15326.76052</v>
      </c>
      <c r="E12" s="11">
        <f t="shared" si="3"/>
        <v>117505.164</v>
      </c>
      <c r="F12" s="18"/>
    </row>
    <row r="13">
      <c r="A13" s="38" t="s">
        <v>88</v>
      </c>
      <c r="B13" s="34">
        <v>0.14</v>
      </c>
      <c r="C13" s="11">
        <f t="shared" si="1"/>
        <v>204356.807</v>
      </c>
      <c r="D13" s="11">
        <f t="shared" si="2"/>
        <v>30653.52104</v>
      </c>
      <c r="E13" s="11">
        <f t="shared" si="3"/>
        <v>235010.328</v>
      </c>
      <c r="F13" s="18"/>
    </row>
    <row r="14">
      <c r="A14" s="19" t="s">
        <v>54</v>
      </c>
      <c r="B14" s="20">
        <f t="shared" ref="B14:E14" si="4">SUM(B10:B13)</f>
        <v>1</v>
      </c>
      <c r="C14" s="21">
        <f t="shared" si="4"/>
        <v>1459691.478</v>
      </c>
      <c r="D14" s="21">
        <f t="shared" si="4"/>
        <v>218953.7217</v>
      </c>
      <c r="E14" s="21">
        <f t="shared" si="4"/>
        <v>1678645.2</v>
      </c>
      <c r="F14" s="22"/>
    </row>
    <row r="15">
      <c r="A15" s="12" t="s">
        <v>56</v>
      </c>
      <c r="B15" s="5" t="str">
        <f>IF(ROUND(B14,4)=1,"OK ✓","CHECK")</f>
        <v>OK ✓</v>
      </c>
      <c r="E15" s="5" t="str">
        <f>IF(ROUND(E14-B5,2)=0,"OK ✓","CHECK")</f>
        <v>OK ✓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8:F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6.0"/>
    <col customWidth="1" min="2" max="2" width="14.0"/>
    <col customWidth="1" min="3" max="3" width="17.0"/>
    <col customWidth="1" min="4" max="4" width="15.0"/>
    <col customWidth="1" min="5" max="5" width="17.0"/>
    <col customWidth="1" min="6" max="6" width="46.0"/>
    <col customWidth="1" min="7" max="26" width="8.71"/>
  </cols>
  <sheetData>
    <row r="1" ht="27.75" customHeight="1">
      <c r="A1" s="1" t="s">
        <v>37</v>
      </c>
      <c r="B1" s="2"/>
      <c r="C1" s="2"/>
      <c r="D1" s="2"/>
      <c r="E1" s="2"/>
      <c r="F1" s="3"/>
    </row>
    <row r="2" ht="27.75" customHeight="1">
      <c r="A2" s="4" t="s">
        <v>74</v>
      </c>
    </row>
    <row r="4">
      <c r="A4" s="5" t="s">
        <v>4</v>
      </c>
      <c r="B4" s="10">
        <f>Assumptions!C17</f>
        <v>1167753.183</v>
      </c>
    </row>
    <row r="5">
      <c r="A5" s="5" t="s">
        <v>11</v>
      </c>
      <c r="B5" s="10">
        <f>Assumptions!E17</f>
        <v>1342916.16</v>
      </c>
    </row>
    <row r="6">
      <c r="A6" s="5" t="s">
        <v>13</v>
      </c>
      <c r="B6" s="13">
        <f>Assumptions!$B$6</f>
        <v>0.15</v>
      </c>
    </row>
    <row r="7">
      <c r="A7" s="5" t="s">
        <v>16</v>
      </c>
      <c r="B7" s="15">
        <f>B5/Assumptions!$B$5</f>
        <v>0.08</v>
      </c>
    </row>
    <row r="8" ht="18.0" customHeight="1">
      <c r="A8" s="6" t="s">
        <v>23</v>
      </c>
      <c r="B8" s="2"/>
      <c r="C8" s="2"/>
      <c r="D8" s="2"/>
      <c r="E8" s="2"/>
      <c r="F8" s="3"/>
    </row>
    <row r="9" ht="27.75" customHeight="1">
      <c r="A9" s="14" t="s">
        <v>24</v>
      </c>
      <c r="B9" s="14" t="s">
        <v>25</v>
      </c>
      <c r="C9" s="14" t="s">
        <v>26</v>
      </c>
      <c r="D9" s="14" t="s">
        <v>20</v>
      </c>
      <c r="E9" s="14" t="s">
        <v>27</v>
      </c>
      <c r="F9" s="14" t="s">
        <v>29</v>
      </c>
    </row>
    <row r="10">
      <c r="A10" s="16" t="s">
        <v>87</v>
      </c>
      <c r="B10" s="17">
        <v>0.25</v>
      </c>
      <c r="C10" s="11">
        <f t="shared" ref="C10:C13" si="1">$B$4*B10</f>
        <v>291938.2957</v>
      </c>
      <c r="D10" s="11">
        <f t="shared" ref="D10:D13" si="2">C10*$B$6</f>
        <v>43790.74435</v>
      </c>
      <c r="E10" s="11">
        <f t="shared" ref="E10:E13" si="3">C10+D10</f>
        <v>335729.04</v>
      </c>
      <c r="F10" s="18"/>
    </row>
    <row r="11">
      <c r="A11" s="16" t="s">
        <v>93</v>
      </c>
      <c r="B11" s="17">
        <v>0.3</v>
      </c>
      <c r="C11" s="11">
        <f t="shared" si="1"/>
        <v>350325.9548</v>
      </c>
      <c r="D11" s="11">
        <f t="shared" si="2"/>
        <v>52548.89322</v>
      </c>
      <c r="E11" s="11">
        <f t="shared" si="3"/>
        <v>402874.848</v>
      </c>
      <c r="F11" s="18"/>
    </row>
    <row r="12">
      <c r="A12" s="16" t="s">
        <v>94</v>
      </c>
      <c r="B12" s="17">
        <v>0.25</v>
      </c>
      <c r="C12" s="11">
        <f t="shared" si="1"/>
        <v>291938.2957</v>
      </c>
      <c r="D12" s="11">
        <f t="shared" si="2"/>
        <v>43790.74435</v>
      </c>
      <c r="E12" s="11">
        <f t="shared" si="3"/>
        <v>335729.04</v>
      </c>
      <c r="F12" s="18"/>
    </row>
    <row r="13">
      <c r="A13" s="16" t="s">
        <v>95</v>
      </c>
      <c r="B13" s="17">
        <v>0.2</v>
      </c>
      <c r="C13" s="11">
        <f t="shared" si="1"/>
        <v>233550.6365</v>
      </c>
      <c r="D13" s="11">
        <f t="shared" si="2"/>
        <v>35032.59548</v>
      </c>
      <c r="E13" s="11">
        <f t="shared" si="3"/>
        <v>268583.232</v>
      </c>
      <c r="F13" s="18"/>
    </row>
    <row r="14">
      <c r="A14" s="19" t="s">
        <v>54</v>
      </c>
      <c r="B14" s="20">
        <f t="shared" ref="B14:E14" si="4">SUM(B10:B13)</f>
        <v>1</v>
      </c>
      <c r="C14" s="21">
        <f t="shared" si="4"/>
        <v>1167753.183</v>
      </c>
      <c r="D14" s="21">
        <f t="shared" si="4"/>
        <v>175162.9774</v>
      </c>
      <c r="E14" s="21">
        <f t="shared" si="4"/>
        <v>1342916.16</v>
      </c>
      <c r="F14" s="22"/>
    </row>
    <row r="15">
      <c r="A15" s="12" t="s">
        <v>56</v>
      </c>
      <c r="B15" s="5" t="str">
        <f>IF(ROUND(B14,4)=1,"OK ✓","CHECK")</f>
        <v>OK ✓</v>
      </c>
      <c r="E15" s="5" t="str">
        <f>IF(ROUND(E14-B5,2)=0,"OK ✓","CHECK")</f>
        <v>OK ✓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8:F8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6.0"/>
    <col customWidth="1" min="2" max="2" width="14.0"/>
    <col customWidth="1" min="3" max="3" width="17.0"/>
    <col customWidth="1" min="4" max="4" width="15.0"/>
    <col customWidth="1" min="5" max="5" width="17.0"/>
    <col customWidth="1" min="6" max="6" width="46.0"/>
    <col customWidth="1" min="7" max="26" width="8.71"/>
  </cols>
  <sheetData>
    <row r="1" ht="27.75" customHeight="1">
      <c r="A1" s="1" t="s">
        <v>41</v>
      </c>
      <c r="B1" s="2"/>
      <c r="C1" s="2"/>
      <c r="D1" s="2"/>
      <c r="E1" s="2"/>
      <c r="F1" s="3"/>
    </row>
    <row r="2" ht="27.75" customHeight="1">
      <c r="A2" s="4" t="s">
        <v>103</v>
      </c>
    </row>
    <row r="4">
      <c r="A4" s="5" t="s">
        <v>4</v>
      </c>
      <c r="B4" s="10">
        <f>Assumptions!C18</f>
        <v>2335506.365</v>
      </c>
    </row>
    <row r="5">
      <c r="A5" s="5" t="s">
        <v>11</v>
      </c>
      <c r="B5" s="10">
        <f>Assumptions!E18</f>
        <v>2685832.32</v>
      </c>
    </row>
    <row r="6">
      <c r="A6" s="5" t="s">
        <v>13</v>
      </c>
      <c r="B6" s="13">
        <f>Assumptions!$B$6</f>
        <v>0.15</v>
      </c>
    </row>
    <row r="7">
      <c r="A7" s="5" t="s">
        <v>16</v>
      </c>
      <c r="B7" s="15">
        <f>B5/Assumptions!$B$5</f>
        <v>0.16</v>
      </c>
    </row>
    <row r="8" ht="18.0" customHeight="1">
      <c r="A8" s="6" t="s">
        <v>23</v>
      </c>
      <c r="B8" s="2"/>
      <c r="C8" s="2"/>
      <c r="D8" s="2"/>
      <c r="E8" s="2"/>
      <c r="F8" s="3"/>
    </row>
    <row r="9" ht="27.75" customHeight="1">
      <c r="A9" s="14" t="s">
        <v>24</v>
      </c>
      <c r="B9" s="14" t="s">
        <v>25</v>
      </c>
      <c r="C9" s="14" t="s">
        <v>26</v>
      </c>
      <c r="D9" s="14" t="s">
        <v>20</v>
      </c>
      <c r="E9" s="14" t="s">
        <v>27</v>
      </c>
      <c r="F9" s="14" t="s">
        <v>29</v>
      </c>
    </row>
    <row r="10">
      <c r="A10" s="16" t="s">
        <v>104</v>
      </c>
      <c r="B10" s="17">
        <v>0.3</v>
      </c>
      <c r="C10" s="11">
        <f t="shared" ref="C10:C14" si="1">$B$4*B10</f>
        <v>700651.9096</v>
      </c>
      <c r="D10" s="11">
        <f t="shared" ref="D10:D14" si="2">C10*$B$6</f>
        <v>105097.7864</v>
      </c>
      <c r="E10" s="11">
        <f t="shared" ref="E10:E14" si="3">C10+D10</f>
        <v>805749.696</v>
      </c>
      <c r="F10" s="18"/>
    </row>
    <row r="11">
      <c r="A11" s="16" t="s">
        <v>106</v>
      </c>
      <c r="B11" s="17">
        <v>0.25</v>
      </c>
      <c r="C11" s="11">
        <f t="shared" si="1"/>
        <v>583876.5913</v>
      </c>
      <c r="D11" s="11">
        <f t="shared" si="2"/>
        <v>87581.4887</v>
      </c>
      <c r="E11" s="11">
        <f t="shared" si="3"/>
        <v>671458.08</v>
      </c>
      <c r="F11" s="18"/>
    </row>
    <row r="12">
      <c r="A12" s="16" t="s">
        <v>107</v>
      </c>
      <c r="B12" s="17">
        <v>0.2</v>
      </c>
      <c r="C12" s="11">
        <f t="shared" si="1"/>
        <v>467101.273</v>
      </c>
      <c r="D12" s="11">
        <f t="shared" si="2"/>
        <v>70065.19096</v>
      </c>
      <c r="E12" s="11">
        <f t="shared" si="3"/>
        <v>537166.464</v>
      </c>
      <c r="F12" s="18"/>
    </row>
    <row r="13">
      <c r="A13" s="16" t="s">
        <v>108</v>
      </c>
      <c r="B13" s="17">
        <v>0.15</v>
      </c>
      <c r="C13" s="11">
        <f t="shared" si="1"/>
        <v>350325.9548</v>
      </c>
      <c r="D13" s="11">
        <f t="shared" si="2"/>
        <v>52548.89322</v>
      </c>
      <c r="E13" s="11">
        <f t="shared" si="3"/>
        <v>402874.848</v>
      </c>
      <c r="F13" s="18"/>
    </row>
    <row r="14">
      <c r="A14" s="16" t="s">
        <v>110</v>
      </c>
      <c r="B14" s="17">
        <v>0.1</v>
      </c>
      <c r="C14" s="11">
        <f t="shared" si="1"/>
        <v>233550.6365</v>
      </c>
      <c r="D14" s="11">
        <f t="shared" si="2"/>
        <v>35032.59548</v>
      </c>
      <c r="E14" s="11">
        <f t="shared" si="3"/>
        <v>268583.232</v>
      </c>
      <c r="F14" s="18"/>
    </row>
    <row r="15">
      <c r="A15" s="19" t="s">
        <v>54</v>
      </c>
      <c r="B15" s="20">
        <f t="shared" ref="B15:E15" si="4">SUM(B10:B14)</f>
        <v>1</v>
      </c>
      <c r="C15" s="21">
        <f t="shared" si="4"/>
        <v>2335506.365</v>
      </c>
      <c r="D15" s="21">
        <f t="shared" si="4"/>
        <v>350325.9548</v>
      </c>
      <c r="E15" s="21">
        <f t="shared" si="4"/>
        <v>2685832.32</v>
      </c>
      <c r="F15" s="22"/>
    </row>
    <row r="16">
      <c r="A16" s="12" t="s">
        <v>56</v>
      </c>
      <c r="B16" s="5" t="str">
        <f>IF(ROUND(B15,4)=1,"OK ✓","CHECK")</f>
        <v>OK ✓</v>
      </c>
      <c r="E16" s="5" t="str">
        <f>IF(ROUND(E15-B5,2)=0,"OK ✓","CHECK")</f>
        <v>OK ✓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8:F8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6.0"/>
    <col customWidth="1" min="2" max="2" width="14.0"/>
    <col customWidth="1" min="3" max="3" width="17.0"/>
    <col customWidth="1" min="4" max="4" width="15.0"/>
    <col customWidth="1" min="5" max="5" width="17.0"/>
    <col customWidth="1" min="6" max="6" width="46.0"/>
    <col customWidth="1" min="7" max="26" width="8.71"/>
  </cols>
  <sheetData>
    <row r="1" ht="27.75" customHeight="1">
      <c r="A1" s="1" t="s">
        <v>45</v>
      </c>
      <c r="B1" s="2"/>
      <c r="C1" s="2"/>
      <c r="D1" s="2"/>
      <c r="E1" s="2"/>
      <c r="F1" s="3"/>
    </row>
    <row r="2" ht="27.75" customHeight="1">
      <c r="A2" s="4" t="s">
        <v>105</v>
      </c>
    </row>
    <row r="4">
      <c r="A4" s="5" t="s">
        <v>4</v>
      </c>
      <c r="B4" s="10">
        <f>Assumptions!C19</f>
        <v>1459691.478</v>
      </c>
    </row>
    <row r="5">
      <c r="A5" s="5" t="s">
        <v>11</v>
      </c>
      <c r="B5" s="10">
        <f>Assumptions!E19</f>
        <v>1678645.2</v>
      </c>
    </row>
    <row r="6">
      <c r="A6" s="5" t="s">
        <v>13</v>
      </c>
      <c r="B6" s="13">
        <f>Assumptions!$B$6</f>
        <v>0.15</v>
      </c>
    </row>
    <row r="7">
      <c r="A7" s="5" t="s">
        <v>16</v>
      </c>
      <c r="B7" s="15">
        <f>B5/Assumptions!$B$5</f>
        <v>0.1</v>
      </c>
    </row>
    <row r="8" ht="18.0" customHeight="1">
      <c r="A8" s="6" t="s">
        <v>23</v>
      </c>
      <c r="B8" s="2"/>
      <c r="C8" s="2"/>
      <c r="D8" s="2"/>
      <c r="E8" s="2"/>
      <c r="F8" s="3"/>
    </row>
    <row r="9" ht="27.75" customHeight="1">
      <c r="A9" s="14" t="s">
        <v>24</v>
      </c>
      <c r="B9" s="14" t="s">
        <v>25</v>
      </c>
      <c r="C9" s="14" t="s">
        <v>26</v>
      </c>
      <c r="D9" s="14" t="s">
        <v>20</v>
      </c>
      <c r="E9" s="14" t="s">
        <v>27</v>
      </c>
      <c r="F9" s="14" t="s">
        <v>29</v>
      </c>
    </row>
    <row r="10">
      <c r="A10" s="16" t="s">
        <v>109</v>
      </c>
      <c r="B10" s="17">
        <v>1.0</v>
      </c>
      <c r="C10" s="11">
        <f>$B$4*B10</f>
        <v>1459691.478</v>
      </c>
      <c r="D10" s="11">
        <f>C10*$B$6</f>
        <v>218953.7217</v>
      </c>
      <c r="E10" s="11">
        <f>C10+D10</f>
        <v>1678645.2</v>
      </c>
      <c r="F10" s="18" t="s">
        <v>111</v>
      </c>
    </row>
    <row r="11">
      <c r="A11" s="19" t="s">
        <v>54</v>
      </c>
      <c r="B11" s="20">
        <f t="shared" ref="B11:E11" si="1">SUM(B10)</f>
        <v>1</v>
      </c>
      <c r="C11" s="21">
        <f t="shared" si="1"/>
        <v>1459691.478</v>
      </c>
      <c r="D11" s="21">
        <f t="shared" si="1"/>
        <v>218953.7217</v>
      </c>
      <c r="E11" s="21">
        <f t="shared" si="1"/>
        <v>1678645.2</v>
      </c>
      <c r="F11" s="22"/>
    </row>
    <row r="12">
      <c r="A12" s="12" t="s">
        <v>56</v>
      </c>
      <c r="B12" s="5" t="str">
        <f>IF(ROUND(B11,4)=1,"OK ✓","CHECK")</f>
        <v>OK ✓</v>
      </c>
      <c r="E12" s="5" t="str">
        <f>IF(ROUND(E11-B5,2)=0,"OK ✓","CHECK")</f>
        <v>OK ✓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2:F2"/>
    <mergeCell ref="A8:F8"/>
  </mergeCells>
  <printOptions/>
  <pageMargins bottom="1.0" footer="0.0" header="0.0" left="0.75" right="0.75" top="1.0"/>
  <pageSetup paperSize="9" orientation="portrait"/>
  <drawing r:id="rId1"/>
</worksheet>
</file>
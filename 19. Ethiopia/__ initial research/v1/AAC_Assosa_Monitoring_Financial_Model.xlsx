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ilot Price" sheetId="2" state="visible" r:id="rId4"/>
    <sheet name="Inputs" sheetId="3" state="visible" r:id="rId5"/>
    <sheet name="Costs" sheetId="4" state="visible" r:id="rId6"/>
    <sheet name="AAC Benefits" sheetId="5" state="visible" r:id="rId7"/>
    <sheet name="Revenue Models" sheetId="6" state="visible" r:id="rId8"/>
    <sheet name="Scenario Engine" sheetId="7" state="visible" r:id="rId9"/>
    <sheet name="Sensitiv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<sst xmlns="http://schemas.openxmlformats.org/spreadsheetml/2006/main" count="645" uniqueCount="473">
  <si>
    <t xml:space="preserve">AAC Assosa CIL Plant (Ethiopia) Monitoring - Financial Model Summary</t>
  </si>
  <si>
    <t xml:space="preserve">Prepared by Smart Innovations GH | USD | Year 0 = Nov 2026 - May 2027, Years 1-5 full operation | Indicative, pre-tax, ex-VAT</t>
  </si>
  <si>
    <t xml:space="preserve">Cost base</t>
  </si>
  <si>
    <t xml:space="preserve">Value</t>
  </si>
  <si>
    <t xml:space="preserve">Note</t>
  </si>
  <si>
    <t xml:space="preserve">Concessions (base)</t>
  </si>
  <si>
    <t xml:space="preserve">Change on Inputs</t>
  </si>
  <si>
    <t xml:space="preserve">One-off cost to deliver</t>
  </si>
  <si>
    <t xml:space="preserve">Hardware, installation, services, contingency</t>
  </si>
  <si>
    <t xml:space="preserve">Annual operating cost (full year)</t>
  </si>
  <si>
    <t xml:space="preserve">Annual operating cost per concession</t>
  </si>
  <si>
    <t xml:space="preserve">Annual AAC benefit (full year)</t>
  </si>
  <si>
    <t xml:space="preserve">See AAC Benefits</t>
  </si>
  <si>
    <t xml:space="preserve">of which gold from stopped leakage</t>
  </si>
  <si>
    <t xml:space="preserve">Largest single driver</t>
  </si>
  <si>
    <t xml:space="preserve">Revenue model comparison</t>
  </si>
  <si>
    <t xml:space="preserve">A: Fixed price + service</t>
  </si>
  <si>
    <t xml:space="preserve">B: Subscription</t>
  </si>
  <si>
    <t xml:space="preserve">C: Gain-share</t>
  </si>
  <si>
    <t xml:space="preserve">What it means</t>
  </si>
  <si>
    <t xml:space="preserve">Smart Innovations GH 5-yr revenue</t>
  </si>
  <si>
    <t xml:space="preserve">Smart Innovations GH NPV</t>
  </si>
  <si>
    <t xml:space="preserve">Discounted at the Inputs discount rate</t>
  </si>
  <si>
    <t xml:space="preserve">Smart Innovations GH gross margin</t>
  </si>
  <si>
    <t xml:space="preserve">Smart Innovations GH IRR</t>
  </si>
  <si>
    <t xml:space="preserve">n/a where there is no upfront outlay</t>
  </si>
  <si>
    <t xml:space="preserve">Smart Innovations GH payback</t>
  </si>
  <si>
    <t xml:space="preserve">AAC upfront payment (Year 0 fees)</t>
  </si>
  <si>
    <t xml:space="preserve">Cash AAC must find before full go-live</t>
  </si>
  <si>
    <t xml:space="preserve">AAC NPV of net benefit</t>
  </si>
  <si>
    <t xml:space="preserve">Benefits minus all fees and internal cost</t>
  </si>
  <si>
    <t xml:space="preserve">AAC payback</t>
  </si>
  <si>
    <t xml:space="preserve">AAC return on fees</t>
  </si>
  <si>
    <t xml:space="preserve">Scenario check (NPV)</t>
  </si>
  <si>
    <t xml:space="preserve">Bear</t>
  </si>
  <si>
    <t xml:space="preserve">Base</t>
  </si>
  <si>
    <t xml:space="preserve">Bull</t>
  </si>
  <si>
    <t xml:space="preserve">Smart Innovations GH NPV - Model A</t>
  </si>
  <si>
    <t xml:space="preserve">Smart Innovations GH NPV - Model B</t>
  </si>
  <si>
    <t xml:space="preserve">Smart Innovations GH NPV - Model C</t>
  </si>
  <si>
    <t xml:space="preserve">AAC NPV - Model A</t>
  </si>
  <si>
    <t xml:space="preserve">AAC NPV - Model B</t>
  </si>
  <si>
    <t xml:space="preserve">AAC NPV - Model C</t>
  </si>
  <si>
    <t xml:space="preserve">Colour legend</t>
  </si>
  <si>
    <t xml:space="preserve">Blue text = hardcoded input you can change</t>
  </si>
  <si>
    <t xml:space="preserve">Black text = formula</t>
  </si>
  <si>
    <t xml:space="preserve">Green text = link to another sheet</t>
  </si>
  <si>
    <t xml:space="preserve">Yellow fill = key assumption to confirm</t>
  </si>
  <si>
    <t xml:space="preserve">All unit prices are approximate market estimates, not quotes. Replace the yellow cells on Inputs with AAC data and vendor quotes before using this for a decision.</t>
  </si>
  <si>
    <t xml:space="preserve">Pilot price - Phase 0 and Phase 1 (2 concessions), fixed price (USD)</t>
  </si>
  <si>
    <t xml:space="preserve">Pilot fee is credited in full against the full-rollout fee under any option if AAC proceeds at Gate 2.</t>
  </si>
  <si>
    <t xml:space="preserve">Item</t>
  </si>
  <si>
    <t xml:space="preserve">Quantity</t>
  </si>
  <si>
    <t xml:space="preserve">Unit cost</t>
  </si>
  <si>
    <t xml:space="preserve">Total</t>
  </si>
  <si>
    <t xml:space="preserve">Pilot concessions</t>
  </si>
  <si>
    <t xml:space="preserve">Excavators</t>
  </si>
  <si>
    <t xml:space="preserve">Trucks</t>
  </si>
  <si>
    <t xml:space="preserve">Fuel points</t>
  </si>
  <si>
    <t xml:space="preserve">Gateway sites</t>
  </si>
  <si>
    <t xml:space="preserve">Excavator trackers + fuel sensors</t>
  </si>
  <si>
    <t xml:space="preserve">Fuel dispensers + tags</t>
  </si>
  <si>
    <t xml:space="preserve">Truck GPS + dashcams</t>
  </si>
  <si>
    <t xml:space="preserve">ANPR + weighbridge link</t>
  </si>
  <si>
    <t xml:space="preserve">Gateway kits</t>
  </si>
  <si>
    <t xml:space="preserve">Drone kit</t>
  </si>
  <si>
    <t xml:space="preserve">Rugged phones</t>
  </si>
  <si>
    <t xml:space="preserve">Command centre</t>
  </si>
  <si>
    <t xml:space="preserve">Landed hardware (+ duty, freight, clearing)</t>
  </si>
  <si>
    <t xml:space="preserve">Installation</t>
  </si>
  <si>
    <t xml:space="preserve">Share of implementation team incurred by end of pilot</t>
  </si>
  <si>
    <t xml:space="preserve">Platform is built during the pilot, so most team cost falls here</t>
  </si>
  <si>
    <t xml:space="preserve">Geologist baseline, survey, training</t>
  </si>
  <si>
    <t xml:space="preserve">Pilot running cost, 3 months</t>
  </si>
  <si>
    <t xml:space="preserve">Support team, 6 drone cycles per concession, cloud, SIM, satellite</t>
  </si>
  <si>
    <t xml:space="preserve">Subtotal</t>
  </si>
  <si>
    <t xml:space="preserve">Contingency</t>
  </si>
  <si>
    <t xml:space="preserve">Pilot cost</t>
  </si>
  <si>
    <t xml:space="preserve">PILOT FIXED PRICE (cost + Model A implementation margin)</t>
  </si>
  <si>
    <t xml:space="preserve">Payment milestones</t>
  </si>
  <si>
    <t xml:space="preserve">On contract signature</t>
  </si>
  <si>
    <t xml:space="preserve">Gate 1: baseline signed off</t>
  </si>
  <si>
    <t xml:space="preserve">Pilot live on 2 concessions</t>
  </si>
  <si>
    <t xml:space="preserve">Pilot results report delivered</t>
  </si>
  <si>
    <t xml:space="preserve">Inputs and assumptions (USD unless stated)</t>
  </si>
  <si>
    <t xml:space="preserve">Blue = editable input. Yellow = key assumption to confirm with AAC or vendor quotes. All prices are approximate market estimates (no live price check was possible) - replace with quotes.</t>
  </si>
  <si>
    <t xml:space="preserve">Assumption</t>
  </si>
  <si>
    <t xml:space="preserve">Unit</t>
  </si>
  <si>
    <t xml:space="preserve">Basis / note</t>
  </si>
  <si>
    <t xml:space="preserve">1. Scale of rollout</t>
  </si>
  <si>
    <t xml:space="preserve">Concessions in full rollout</t>
  </si>
  <si>
    <t xml:space="preserve">#</t>
  </si>
  <si>
    <t xml:space="preserve">AAC range is 4 to 10; base case assumes 8</t>
  </si>
  <si>
    <t xml:space="preserve">Concessions in pilot (information)</t>
  </si>
  <si>
    <t xml:space="preserve">From delivery plan</t>
  </si>
  <si>
    <t xml:space="preserve">Lent excavators per concession</t>
  </si>
  <si>
    <t xml:space="preserve">Assumption - confirm AAC fleet register</t>
  </si>
  <si>
    <t xml:space="preserve">Dump trucks per concession</t>
  </si>
  <si>
    <t xml:space="preserve">Assumption - confirm with hauliers</t>
  </si>
  <si>
    <t xml:space="preserve">Extra rugged phones at plant / AAC</t>
  </si>
  <si>
    <t xml:space="preserve">Weighbridge + project owner</t>
  </si>
  <si>
    <t xml:space="preserve">Share of concessions needing gateway + satellite</t>
  </si>
  <si>
    <t xml:space="preserve">%</t>
  </si>
  <si>
    <t xml:space="preserve">Remote pits without reliable 4G</t>
  </si>
  <si>
    <t xml:space="preserve">Concessions one drone kit can cover</t>
  </si>
  <si>
    <t xml:space="preserve">Above this a second kit is bought</t>
  </si>
  <si>
    <t xml:space="preserve">2. Hardware unit costs (landed cost added below)</t>
  </si>
  <si>
    <t xml:space="preserve">Excavator GPS/CAN tracker with tamper alarm + immobiliser</t>
  </si>
  <si>
    <t xml:space="preserve">$/unit</t>
  </si>
  <si>
    <t xml:space="preserve">Approx. market price, retrofit telematics unit</t>
  </si>
  <si>
    <t xml:space="preserve">Capacitive fuel-level sensor + CAN fuel-rate reader</t>
  </si>
  <si>
    <t xml:space="preserve">Approx. price for mining-grade sensor</t>
  </si>
  <si>
    <t xml:space="preserve">Smart fuel dispenser (flow meter, RFID controller)</t>
  </si>
  <si>
    <t xml:space="preserve">$/fuel point</t>
  </si>
  <si>
    <t xml:space="preserve">Approx.; one per concession bowser + plant tank</t>
  </si>
  <si>
    <t xml:space="preserve">RFID tags / operator cards per fuel point</t>
  </si>
  <si>
    <t xml:space="preserve">RFID tag / card</t>
  </si>
  <si>
    <t xml:space="preserve">Approx.</t>
  </si>
  <si>
    <t xml:space="preserve">Truck GPS tracker</t>
  </si>
  <si>
    <t xml:space="preserve">AI dashcam (road + driver facing)</t>
  </si>
  <si>
    <t xml:space="preserve">ANPR camera + weighbridge software link (plant)</t>
  </si>
  <si>
    <t xml:space="preserve">$ lump</t>
  </si>
  <si>
    <t xml:space="preserve">Assumes AAC weighbridge already exists</t>
  </si>
  <si>
    <t xml:space="preserve">Gateway kit: 4G/LoRaWAN + licensed VSAT terminal + solar</t>
  </si>
  <si>
    <t xml:space="preserve">$/kit</t>
  </si>
  <si>
    <t xml:space="preserve">Approx.; satellite via a provider licensed in Ethiopia - confirm availability</t>
  </si>
  <si>
    <t xml:space="preserve">Drone kit: RTK drone, GNSS base, GCP markers, batteries, laptop</t>
  </si>
  <si>
    <t xml:space="preserve">Approx. enterprise RTK photogrammetry kit; LiDAR option adds ~$20k</t>
  </si>
  <si>
    <t xml:space="preserve">Rugged phone / tablet</t>
  </si>
  <si>
    <t xml:space="preserve">Command centre screen + PC</t>
  </si>
  <si>
    <t xml:space="preserve">Import duty, surtax, excise, freight and clearing into Ethiopia</t>
  </si>
  <si>
    <t xml:space="preserve">% of HW</t>
  </si>
  <si>
    <t xml:space="preserve">Approximate for electronics via Djibouti/Addis; VAT (15%) excluded as recoverable - confirm with clearing agent</t>
  </si>
  <si>
    <t xml:space="preserve">Installation labour + travel per device</t>
  </si>
  <si>
    <t xml:space="preserve">$/device</t>
  </si>
  <si>
    <t xml:space="preserve">Hardware cost multiplier (scenario lever)</t>
  </si>
  <si>
    <t xml:space="preserve">x</t>
  </si>
  <si>
    <t xml:space="preserve">1.00 = base; used in sensitivity</t>
  </si>
  <si>
    <t xml:space="preserve">3. Implementation team (one-off)</t>
  </si>
  <si>
    <t xml:space="preserve">Role</t>
  </si>
  <si>
    <t xml:space="preserve">Monthly cost</t>
  </si>
  <si>
    <t xml:space="preserve">FTE</t>
  </si>
  <si>
    <t xml:space="preserve">Months</t>
  </si>
  <si>
    <t xml:space="preserve">Programme manager</t>
  </si>
  <si>
    <t xml:space="preserve">Solution architect / IoT lead</t>
  </si>
  <si>
    <t xml:space="preserve">Full-stack developers</t>
  </si>
  <si>
    <t xml:space="preserve">GIS / data engineer</t>
  </si>
  <si>
    <t xml:space="preserve">Data scientist / ML engineer</t>
  </si>
  <si>
    <t xml:space="preserve">Field installation technicians (Ethiopian)</t>
  </si>
  <si>
    <t xml:space="preserve">Travel Accra-Addis-Assosa, per diem, vehicles</t>
  </si>
  <si>
    <t xml:space="preserve">Ethiopia partner: coordinator + Amharic translator</t>
  </si>
  <si>
    <t xml:space="preserve">Site security escorts (Benishangul-Gumuz)</t>
  </si>
  <si>
    <t xml:space="preserve">Legal, permits and compliance: local counsel, drone import and flight approval (lump sum)</t>
  </si>
  <si>
    <t xml:space="preserve">Total implementation team</t>
  </si>
  <si>
    <t xml:space="preserve">Fully loaded rates, approximate; core team plus Ethiopian technicians and partner. Excludes margin.</t>
  </si>
  <si>
    <t xml:space="preserve">Consulting geologist baseline (sampling + assays)</t>
  </si>
  <si>
    <t xml:space="preserve">$/concession</t>
  </si>
  <si>
    <t xml:space="preserve">Approx.; test pits, density, fire assay</t>
  </si>
  <si>
    <t xml:space="preserve">Licensed surveyor: permit pillars + GCPs</t>
  </si>
  <si>
    <t xml:space="preserve">User training (Amharic materials)</t>
  </si>
  <si>
    <t xml:space="preserve">Supervisors, drivers, weighbridge; translation included</t>
  </si>
  <si>
    <t xml:space="preserve">Contingency on one-off costs</t>
  </si>
  <si>
    <t xml:space="preserve">Implementation services multiplier (scenario lever)</t>
  </si>
  <si>
    <t xml:space="preserve">1.00 = base</t>
  </si>
  <si>
    <t xml:space="preserve">4. Annual operating costs</t>
  </si>
  <si>
    <t xml:space="preserve">Cloud platform hosting (fixed)</t>
  </si>
  <si>
    <t xml:space="preserve">$/yr</t>
  </si>
  <si>
    <t xml:space="preserve">Approx. IoT hub, database, hosting</t>
  </si>
  <si>
    <t xml:space="preserve">Cloud cost per connected device</t>
  </si>
  <si>
    <t xml:space="preserve">$/device/yr</t>
  </si>
  <si>
    <t xml:space="preserve">SIM data per connected device</t>
  </si>
  <si>
    <t xml:space="preserve">$/device/month</t>
  </si>
  <si>
    <t xml:space="preserve">Approx. Ethio Telecom / Safaricom Ethiopia M2M plan</t>
  </si>
  <si>
    <t xml:space="preserve">Satellite airtime per gateway</t>
  </si>
  <si>
    <t xml:space="preserve">$/gateway/month</t>
  </si>
  <si>
    <t xml:space="preserve">Software licences (drone processing, BI, SMS)</t>
  </si>
  <si>
    <t xml:space="preserve">Approx. drone processing $4,000 + BI $1,500 + SMS $1,200</t>
  </si>
  <si>
    <t xml:space="preserve">Drone survey flights per concession per year</t>
  </si>
  <si>
    <t xml:space="preserve">Bi-weekly</t>
  </si>
  <si>
    <t xml:space="preserve">Cost per concession flight (pilot day, travel, processing)</t>
  </si>
  <si>
    <t xml:space="preserve">$/flight</t>
  </si>
  <si>
    <t xml:space="preserve">Geologist refresh (quarterly checks)</t>
  </si>
  <si>
    <t xml:space="preserve">$/concession/yr</t>
  </si>
  <si>
    <t xml:space="preserve">Support team</t>
  </si>
  <si>
    <t xml:space="preserve">Annual</t>
  </si>
  <si>
    <t xml:space="preserve">Support engineer (Assosa-based)</t>
  </si>
  <si>
    <t xml:space="preserve">Field technician</t>
  </si>
  <si>
    <t xml:space="preserve">Ethiopia partner retainer</t>
  </si>
  <si>
    <t xml:space="preserve">Data scientist</t>
  </si>
  <si>
    <t xml:space="preserve">Account / programme manager</t>
  </si>
  <si>
    <t xml:space="preserve">Total support team</t>
  </si>
  <si>
    <t xml:space="preserve">Hardware maintenance and replacement</t>
  </si>
  <si>
    <t xml:space="preserve">% of landed HW/yr</t>
  </si>
  <si>
    <t xml:space="preserve">Covers breakage, theft, 3-5 yr device life</t>
  </si>
  <si>
    <t xml:space="preserve">Truck trips per truck per day</t>
  </si>
  <si>
    <t xml:space="preserve">Operating days per year</t>
  </si>
  <si>
    <t xml:space="preserve">Load seal / QR ticket per trip</t>
  </si>
  <si>
    <t xml:space="preserve">$/trip</t>
  </si>
  <si>
    <t xml:space="preserve">Insurance and overheads on opex</t>
  </si>
  <si>
    <t xml:space="preserve">Annual opex multiplier (scenario lever)</t>
  </si>
  <si>
    <t xml:space="preserve">5. AAC benefit drivers</t>
  </si>
  <si>
    <t xml:space="preserve">Excavator fuel burn</t>
  </si>
  <si>
    <t xml:space="preserve">L/engine hour</t>
  </si>
  <si>
    <t xml:space="preserve">Typical 20-30 t class excavator</t>
  </si>
  <si>
    <t xml:space="preserve">Excavator engine hours per year</t>
  </si>
  <si>
    <t xml:space="preserve">h/yr</t>
  </si>
  <si>
    <t xml:space="preserve">10 h x 240 days</t>
  </si>
  <si>
    <t xml:space="preserve">Truck diesel per day</t>
  </si>
  <si>
    <t xml:space="preserve">L/truck/day</t>
  </si>
  <si>
    <t xml:space="preserve">Diesel price</t>
  </si>
  <si>
    <t xml:space="preserve">$/L</t>
  </si>
  <si>
    <t xml:space="preserve">Approximate Ethiopian regulated price in USD - confirm with AAC fuel supplier</t>
  </si>
  <si>
    <t xml:space="preserve">Excavator fuel saving (theft, idling, over-claims)</t>
  </si>
  <si>
    <t xml:space="preserve">Target range 10-20%; confirmed in pilot</t>
  </si>
  <si>
    <t xml:space="preserve">Truck fuel saving (routes, idling)</t>
  </si>
  <si>
    <t xml:space="preserve">Tailings feed per concession to plant</t>
  </si>
  <si>
    <t xml:space="preserve">t/yr</t>
  </si>
  <si>
    <t xml:space="preserve">Assumption - confirm plant feed plan</t>
  </si>
  <si>
    <t xml:space="preserve">Extra feed secured by stopping leakage</t>
  </si>
  <si>
    <t xml:space="preserve">% of feed</t>
  </si>
  <si>
    <t xml:space="preserve">e.g. 5% leakage today, 60% of it stopped</t>
  </si>
  <si>
    <t xml:space="preserve">Tailings head grade</t>
  </si>
  <si>
    <t xml:space="preserve">g/t Au</t>
  </si>
  <si>
    <t xml:space="preserve">Assumption - geologist baseline will set this</t>
  </si>
  <si>
    <t xml:space="preserve">CIL plant recovery</t>
  </si>
  <si>
    <t xml:space="preserve">Typical CIL recovery</t>
  </si>
  <si>
    <t xml:space="preserve">Gold price</t>
  </si>
  <si>
    <t xml:space="preserve">$/oz</t>
  </si>
  <si>
    <t xml:space="preserve">Approximate - update to current spot</t>
  </si>
  <si>
    <t xml:space="preserve">AAC net margin on extra gold</t>
  </si>
  <si>
    <t xml:space="preserve">% of gold value</t>
  </si>
  <si>
    <t xml:space="preserve">After concession-holder share, processing, royalty</t>
  </si>
  <si>
    <t xml:space="preserve">Excavator utilisation uplift</t>
  </si>
  <si>
    <t xml:space="preserve">% of hours</t>
  </si>
  <si>
    <t xml:space="preserve">Target 15-25%; base taken conservatively</t>
  </si>
  <si>
    <t xml:space="preserve">Value to AAC of a productive excavator hour</t>
  </si>
  <si>
    <t xml:space="preserve">$/h</t>
  </si>
  <si>
    <t xml:space="preserve">Cost-recovery / lease value</t>
  </si>
  <si>
    <t xml:space="preserve">Haulage cost</t>
  </si>
  <si>
    <t xml:space="preserve">$/t</t>
  </si>
  <si>
    <t xml:space="preserve">Haulage over-claims removed</t>
  </si>
  <si>
    <t xml:space="preserve">% of haulage cost</t>
  </si>
  <si>
    <t xml:space="preserve">Trips billed but not verified</t>
  </si>
  <si>
    <t xml:space="preserve">Asset theft / insurance cost avoided</t>
  </si>
  <si>
    <t xml:space="preserve">$/excavator/yr</t>
  </si>
  <si>
    <t xml:space="preserve">AAC internal project cost (staff time)</t>
  </si>
  <si>
    <t xml:space="preserve">Project owner ~20% + IT</t>
  </si>
  <si>
    <t xml:space="preserve">6. Timing and finance</t>
  </si>
  <si>
    <t xml:space="preserve">Discount rate</t>
  </si>
  <si>
    <t xml:space="preserve">USD rate reflecting Ethiopia country and security risk</t>
  </si>
  <si>
    <t xml:space="preserve">Operating years in contract</t>
  </si>
  <si>
    <t xml:space="preserve">yrs</t>
  </si>
  <si>
    <t xml:space="preserve">Year 0 = implementation (Nov 2026 - May 2027, dry season); Years 1-5 full operation. Change requires extending year columns.</t>
  </si>
  <si>
    <t xml:space="preserve">Year 0 opex as share of a full year</t>
  </si>
  <si>
    <t xml:space="preserve">Pilot running Dec-May</t>
  </si>
  <si>
    <t xml:space="preserve">Year 0 AAC benefits as share of a full year</t>
  </si>
  <si>
    <t xml:space="preserve">Pilot only, 2 concessions</t>
  </si>
  <si>
    <t xml:space="preserve">Year 0 subscription billing as share of a full year</t>
  </si>
  <si>
    <t xml:space="preserve">Model B billing starts with pilot</t>
  </si>
  <si>
    <t xml:space="preserve">7. Revenue model levers (Smart Innovations GH pricing)</t>
  </si>
  <si>
    <t xml:space="preserve">Pricing multiplier on all margins / fees (scenario lever)</t>
  </si>
  <si>
    <t xml:space="preserve">Model A: margin on implementation (one-off)</t>
  </si>
  <si>
    <t xml:space="preserve">Fixed-price project</t>
  </si>
  <si>
    <t xml:space="preserve">Model A: margin on managed service (annual)</t>
  </si>
  <si>
    <t xml:space="preserve">Model B: subscription per excavator (tracker + fuel)</t>
  </si>
  <si>
    <t xml:space="preserve">$/month</t>
  </si>
  <si>
    <t xml:space="preserve">Monitoring-as-a-Service; Smart Innovations GH owns hardware</t>
  </si>
  <si>
    <t xml:space="preserve">Model B: subscription per truck (GPS, dashcam, e-waybill)</t>
  </si>
  <si>
    <t xml:space="preserve">Model B: subscription per concession (drone, geology, platform)</t>
  </si>
  <si>
    <t xml:space="preserve">Model B: plant hub (weighbridge, command centre)</t>
  </si>
  <si>
    <t xml:space="preserve">Model B: onboarding fee</t>
  </si>
  <si>
    <t xml:space="preserve">% of one-off cost</t>
  </si>
  <si>
    <t xml:space="preserve">Paid upfront by AAC</t>
  </si>
  <si>
    <t xml:space="preserve">Model C: margin on implementation</t>
  </si>
  <si>
    <t xml:space="preserve">Delivered at cost</t>
  </si>
  <si>
    <t xml:space="preserve">Model C: margin on managed service</t>
  </si>
  <si>
    <t xml:space="preserve">Model C: gain share of verified savings</t>
  </si>
  <si>
    <t xml:space="preserve">Fuel, extra gold margin and haulage savings only</t>
  </si>
  <si>
    <t xml:space="preserve">Cost build-up - base case (USD)</t>
  </si>
  <si>
    <t xml:space="preserve">Green = linked from Inputs. Black = calculation.</t>
  </si>
  <si>
    <t xml:space="preserve">Quantities</t>
  </si>
  <si>
    <t xml:space="preserve">Dump trucks</t>
  </si>
  <si>
    <t xml:space="preserve">Fuel points (one per concession + plant)</t>
  </si>
  <si>
    <t xml:space="preserve">Drone kits</t>
  </si>
  <si>
    <t xml:space="preserve">Connected devices (excavators + trucks + fuel points)</t>
  </si>
  <si>
    <t xml:space="preserve">A. Hardware (one-off)</t>
  </si>
  <si>
    <t xml:space="preserve">Excavator trackers</t>
  </si>
  <si>
    <t xml:space="preserve">Excavator fuel sensors</t>
  </si>
  <si>
    <t xml:space="preserve">Smart fuel dispensers</t>
  </si>
  <si>
    <t xml:space="preserve">RFID tags and operator cards</t>
  </si>
  <si>
    <t xml:space="preserve">Truck GPS trackers</t>
  </si>
  <si>
    <t xml:space="preserve">AI dashcams</t>
  </si>
  <si>
    <t xml:space="preserve">Hardware at supplier price</t>
  </si>
  <si>
    <t xml:space="preserve">Landed hardware (x multiplier, + duty and shipping)</t>
  </si>
  <si>
    <t xml:space="preserve">Installation (2 devices per excavator and truck, 1 per fuel point and gateway)</t>
  </si>
  <si>
    <t xml:space="preserve">B. Implementation services (one-off)</t>
  </si>
  <si>
    <t xml:space="preserve">Implementation team (Inputs section 3)</t>
  </si>
  <si>
    <t xml:space="preserve">Geologist baselines</t>
  </si>
  <si>
    <t xml:space="preserve">Surveys</t>
  </si>
  <si>
    <t xml:space="preserve">Training</t>
  </si>
  <si>
    <t xml:space="preserve">Subtotal before contingency</t>
  </si>
  <si>
    <t xml:space="preserve">TOTAL ONE-OFF COST</t>
  </si>
  <si>
    <t xml:space="preserve">C. Annual operating cost (full year)</t>
  </si>
  <si>
    <t xml:space="preserve">Cloud hosting (fixed)</t>
  </si>
  <si>
    <t xml:space="preserve">Cloud per device</t>
  </si>
  <si>
    <t xml:space="preserve">SIM data (12 months)</t>
  </si>
  <si>
    <t xml:space="preserve">Satellite airtime (12 months)</t>
  </si>
  <si>
    <t xml:space="preserve">Software licences</t>
  </si>
  <si>
    <t xml:space="preserve">Drone survey flights</t>
  </si>
  <si>
    <t xml:space="preserve">Geologist refresh</t>
  </si>
  <si>
    <t xml:space="preserve">Load seals / QR tickets</t>
  </si>
  <si>
    <t xml:space="preserve">TOTAL ANNUAL OPEX (x multiplier, + overheads)</t>
  </si>
  <si>
    <t xml:space="preserve">Annual opex per concession</t>
  </si>
  <si>
    <t xml:space="preserve">AAC benefits - full operating year, base case (USD)</t>
  </si>
  <si>
    <t xml:space="preserve">Benefit line</t>
  </si>
  <si>
    <t xml:space="preserve">Driver</t>
  </si>
  <si>
    <t xml:space="preserve">Annual value</t>
  </si>
  <si>
    <t xml:space="preserve">How it is calculated</t>
  </si>
  <si>
    <t xml:space="preserve">Excavator diesel used (L/yr)</t>
  </si>
  <si>
    <t xml:space="preserve">Excavators x burn x hours</t>
  </si>
  <si>
    <t xml:space="preserve">1. Excavator fuel saving</t>
  </si>
  <si>
    <t xml:space="preserve">Litres x saving % x diesel price</t>
  </si>
  <si>
    <t xml:space="preserve">Truck diesel used (L/yr)</t>
  </si>
  <si>
    <t xml:space="preserve">Trucks x L/day x days</t>
  </si>
  <si>
    <t xml:space="preserve">2. Truck fuel saving</t>
  </si>
  <si>
    <t xml:space="preserve">Tailings feed to plant (t/yr)</t>
  </si>
  <si>
    <t xml:space="preserve">Concessions x feed per concession</t>
  </si>
  <si>
    <t xml:space="preserve">Extra gold recovered (oz/yr)</t>
  </si>
  <si>
    <t xml:space="preserve">Feed x extra feed % x grade x recovery / 31.1035 g per oz</t>
  </si>
  <si>
    <t xml:space="preserve">3. AAC margin on extra gold from stopped leakage</t>
  </si>
  <si>
    <t xml:space="preserve">oz x gold price x AAC margin</t>
  </si>
  <si>
    <t xml:space="preserve">4. Excavator utilisation uplift</t>
  </si>
  <si>
    <t xml:space="preserve">Excavators x hours x uplift x $/h</t>
  </si>
  <si>
    <t xml:space="preserve">5. Haulage over-claims removed</t>
  </si>
  <si>
    <t xml:space="preserve">Feed t x $/t x over-claim %</t>
  </si>
  <si>
    <t xml:space="preserve">6. Asset theft / insurance avoided</t>
  </si>
  <si>
    <t xml:space="preserve">Excavators x $/yr</t>
  </si>
  <si>
    <t xml:space="preserve">TOTAL ANNUAL BENEFIT</t>
  </si>
  <si>
    <t xml:space="preserve">Verified savings pool for Model C gain share (lines 1, 2, 3, 5)</t>
  </si>
  <si>
    <t xml:space="preserve">Lines that can be measured and audited from platform data</t>
  </si>
  <si>
    <t xml:space="preserve">Gold (line 3) is the largest benefit, so grade, gold price and leakage stopped drive the AAC case - see Sensitivity.</t>
  </si>
  <si>
    <t xml:space="preserve">Revenue models - 5-year cash flows, base case (USD)</t>
  </si>
  <si>
    <t xml:space="preserve">Year 0 = implementation and pilot (Nov 2026 - May 2027). Years 1-5 = full operation. Pre-tax, excluding VAT and levies.</t>
  </si>
  <si>
    <t xml:space="preserve">Line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</si>
  <si>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</si>
  <si>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</si>
  <si>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</si>
  <si>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</si>
  <si>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</si>
  <si>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</si>
  <si>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NPV / metric</t>
  </si>
  <si>
    <t xml:space="preserve">Discount factor</t>
  </si>
  <si>
    <t xml:space="preserve">Opex / service activity factor</t>
  </si>
  <si>
    <t xml:space="preserve">AAC benefit factor</t>
  </si>
  <si>
    <t xml:space="preserve">Subscription billing factor</t>
  </si>
  <si>
    <t xml:space="preserve">Common: delivery costs to Smart Innovations GH and benefits to AAC</t>
  </si>
  <si>
    <t xml:space="preserve">One-off cost (hardware, services, contingency)</t>
  </si>
  <si>
    <t xml:space="preserve">Operating cost</t>
  </si>
  <si>
    <t xml:space="preserve">Total delivery cost</t>
  </si>
  <si>
    <t xml:space="preserve">AAC benefits</t>
  </si>
  <si>
    <t xml:space="preserve">of which verified savings pool</t>
  </si>
  <si>
    <t xml:space="preserve">AAC internal cost</t>
  </si>
  <si>
    <t xml:space="preserve">MODEL A - Fixed-price project + annual managed service</t>
  </si>
  <si>
    <t xml:space="preserve">Implementation fee (one-off)</t>
  </si>
  <si>
    <t xml:space="preserve">Managed service fee</t>
  </si>
  <si>
    <t xml:space="preserve">Smart Innovations GH revenue</t>
  </si>
  <si>
    <t xml:space="preserve">Smart Innovations GH profit (revenue - delivery cost)</t>
  </si>
  <si>
    <t xml:space="preserve">Cumulative profit</t>
  </si>
  <si>
    <t xml:space="preserve">AAC net benefit (benefits - fees - internal cost)</t>
  </si>
  <si>
    <t xml:space="preserve">AAC cumulative net benefit</t>
  </si>
  <si>
    <t xml:space="preserve">AAC return on fees (NPV net benefit / NPV fees)</t>
  </si>
  <si>
    <t xml:space="preserve">MODEL B - Monitoring-as-a-Service subscription (Smart Innovations GH funds hardware)</t>
  </si>
  <si>
    <t xml:space="preserve">Onboarding fee</t>
  </si>
  <si>
    <t xml:space="preserve">Subscription fees</t>
  </si>
  <si>
    <t xml:space="preserve">MODEL C - Gain-share: at-cost delivery + share of verified savings</t>
  </si>
  <si>
    <t xml:space="preserve">Implementation fee (at cost + margin)</t>
  </si>
  <si>
    <t xml:space="preserve">Gain-share payment</t>
  </si>
  <si>
    <t xml:space="preserve">Scenario engine - full model recomputed per column (do not edit; change Inputs or Sensitivity)</t>
  </si>
  <si>
    <t xml:space="preserve">Scenario</t>
  </si>
  <si>
    <t xml:space="preserve">Concessions in rollout - low</t>
  </si>
  <si>
    <t xml:space="preserve">Concessions in rollout - high</t>
  </si>
  <si>
    <t xml:space="preserve">Hardware cost multiplier - low</t>
  </si>
  <si>
    <t xml:space="preserve">Hardware cost multiplier - high</t>
  </si>
  <si>
    <t xml:space="preserve">Implementation services multiplier - low</t>
  </si>
  <si>
    <t xml:space="preserve">Implementation services multiplier - high</t>
  </si>
  <si>
    <t xml:space="preserve">Annual opex multiplier - low</t>
  </si>
  <si>
    <t xml:space="preserve">Annual opex multiplier - high</t>
  </si>
  <si>
    <t xml:space="preserve">Diesel price ($/L) - low</t>
  </si>
  <si>
    <t xml:space="preserve">Diesel price ($/L) - high</t>
  </si>
  <si>
    <t xml:space="preserve">Excavator fuel saving % - low</t>
  </si>
  <si>
    <t xml:space="preserve">Excavator fuel saving % - high</t>
  </si>
  <si>
    <t xml:space="preserve">Gold price ($/oz) - low</t>
  </si>
  <si>
    <t xml:space="preserve">Gold price ($/oz) - high</t>
  </si>
  <si>
    <t xml:space="preserve">Extra feed secured (% of feed) - low</t>
  </si>
  <si>
    <t xml:space="preserve">Extra feed secured (% of feed) - high</t>
  </si>
  <si>
    <t xml:space="preserve">Tailings grade (g/t) - low</t>
  </si>
  <si>
    <t xml:space="preserve">Tailings grade (g/t) - high</t>
  </si>
  <si>
    <t xml:space="preserve">Discount rate - low</t>
  </si>
  <si>
    <t xml:space="preserve">Discount rate - high</t>
  </si>
  <si>
    <t xml:space="preserve">Pricing multiplier (fees / margins) - low</t>
  </si>
  <si>
    <t xml:space="preserve">Pricing multiplier (fees / margins) - high</t>
  </si>
  <si>
    <t xml:space="preserve">Bear scenario</t>
  </si>
  <si>
    <t xml:space="preserve">Bull scenario</t>
  </si>
  <si>
    <t xml:space="preserve">Concessions in rollout</t>
  </si>
  <si>
    <t xml:space="preserve">Hardware cost multiplier</t>
  </si>
  <si>
    <t xml:space="preserve">Implementation services multiplier</t>
  </si>
  <si>
    <t xml:space="preserve">Annual opex multiplier</t>
  </si>
  <si>
    <t xml:space="preserve">Diesel price ($/L)</t>
  </si>
  <si>
    <t xml:space="preserve">Excavator fuel saving %</t>
  </si>
  <si>
    <t xml:space="preserve">Gold price ($/oz)</t>
  </si>
  <si>
    <t xml:space="preserve">Extra feed secured (% of feed)</t>
  </si>
  <si>
    <t xml:space="preserve">Tailings grade (g/t)</t>
  </si>
  <si>
    <t xml:space="preserve">Pricing multiplier (fees / margins)</t>
  </si>
  <si>
    <t xml:space="preserve">Annuity factor, Years 1-5</t>
  </si>
  <si>
    <t xml:space="preserve">Connected devices</t>
  </si>
  <si>
    <t xml:space="preserve">Landed hardware</t>
  </si>
  <si>
    <t xml:space="preserve">Implementation services</t>
  </si>
  <si>
    <t xml:space="preserve">One-off cost</t>
  </si>
  <si>
    <t xml:space="preserve">Annual opex</t>
  </si>
  <si>
    <t xml:space="preserve">Fuel savings (excavators + trucks)</t>
  </si>
  <si>
    <t xml:space="preserve">AAC margin on extra gold</t>
  </si>
  <si>
    <t xml:space="preserve">Utilisation, haulage and theft benefits</t>
  </si>
  <si>
    <t xml:space="preserve">Annual AAC benefit</t>
  </si>
  <si>
    <t xml:space="preserve">Verified savings pool</t>
  </si>
  <si>
    <t xml:space="preserve">PV factor: opex-timed items</t>
  </si>
  <si>
    <t xml:space="preserve">PV factor: benefit-timed items</t>
  </si>
  <si>
    <t xml:space="preserve">PV factor: subscription</t>
  </si>
  <si>
    <t xml:space="preserve">PV of AAC benefits</t>
  </si>
  <si>
    <t xml:space="preserve">PV of AAC internal cost</t>
  </si>
  <si>
    <t xml:space="preserve">PV of delivery cost</t>
  </si>
  <si>
    <t xml:space="preserve">Model A: PV of fees to Smart Innovations GH</t>
  </si>
  <si>
    <t xml:space="preserve">Model B: annual subscription</t>
  </si>
  <si>
    <t xml:space="preserve">Model B: PV of fees</t>
  </si>
  <si>
    <t xml:space="preserve">Model C: PV of fees</t>
  </si>
  <si>
    <t xml:space="preserve">Model A: Smart Innovations GH NPV</t>
  </si>
  <si>
    <t xml:space="preserve">Model B: Smart Innovations GH NPV</t>
  </si>
  <si>
    <t xml:space="preserve">Model C: Smart Innovations GH NPV</t>
  </si>
  <si>
    <t xml:space="preserve">Model A: AAC NPV</t>
  </si>
  <si>
    <t xml:space="preserve">Model B: AAC NPV</t>
  </si>
  <si>
    <t xml:space="preserve">Model C: AAC NPV</t>
  </si>
  <si>
    <t xml:space="preserve">Sensitivity analysis - NPV over Year 0 to Year 5 (USD)</t>
  </si>
  <si>
    <t xml:space="preserve">One driver moves at a time; all others stay at base. Blue low / high values and scenario settings are editable. Results come from the Scenario Engine sheet, which recomputes the full model for each case.</t>
  </si>
  <si>
    <t xml:space="preserve">Low case</t>
  </si>
  <si>
    <t xml:space="preserve">High case</t>
  </si>
  <si>
    <t xml:space="preserve">Base case results</t>
  </si>
  <si>
    <t xml:space="preserve">Metric</t>
  </si>
  <si>
    <t xml:space="preserve">Model A</t>
  </si>
  <si>
    <t xml:space="preserve">Model B</t>
  </si>
  <si>
    <t xml:space="preserve">Model C</t>
  </si>
  <si>
    <t xml:space="preserve">AAC NPV</t>
  </si>
  <si>
    <t xml:space="preserve">Check: engine base = Revenue Models NPV (should be 0)</t>
  </si>
  <si>
    <t xml:space="preserve">Table 1 - Smart Innovations GH NPV by revenue model</t>
  </si>
  <si>
    <t xml:space="preserve">A: low</t>
  </si>
  <si>
    <t xml:space="preserve">A: high</t>
  </si>
  <si>
    <t xml:space="preserve">A: swing</t>
  </si>
  <si>
    <t xml:space="preserve">B: low</t>
  </si>
  <si>
    <t xml:space="preserve">B: high</t>
  </si>
  <si>
    <t xml:space="preserve">B: swing</t>
  </si>
  <si>
    <t xml:space="preserve">C: low</t>
  </si>
  <si>
    <t xml:space="preserve">C: high</t>
  </si>
  <si>
    <t xml:space="preserve">C: swing</t>
  </si>
  <si>
    <t xml:space="preserve">Table 2 - AAC NPV (net benefit) by revenue model</t>
  </si>
  <si>
    <t xml:space="preserve">Table 3 - Scenarios (all drivers move together)</t>
  </si>
  <si>
    <t xml:space="preserve">SIGH NPV A</t>
  </si>
  <si>
    <t xml:space="preserve">SIGH NPV B</t>
  </si>
  <si>
    <t xml:space="preserve">SIGH NPV C</t>
  </si>
  <si>
    <t xml:space="preserve">AAC NPV A</t>
  </si>
  <si>
    <t xml:space="preserve">AAC NPV B</t>
  </si>
  <si>
    <t xml:space="preserve">AAC NPV C</t>
  </si>
  <si>
    <t xml:space="preserve">Table 4 - Break-even checks (base case)</t>
  </si>
  <si>
    <t xml:space="preserve">Model B: subscription multiplier where Smart Innovations GH NPV = 0</t>
  </si>
  <si>
    <t xml:space="preserve">Model C: gain-share % at which Model C NPV equals Model A NPV (Smart Innovations GH)</t>
  </si>
  <si>
    <t xml:space="preserve">AAC: extra feed secured % where AAC NPV = 0 under Model 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</si>
</sst>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@"/>
    <numFmt numFmtId="169" formatCode="0.00\x"/>
    <numFmt numFmtId="170" formatCode="0.0"/>
    <numFmt numFmtId="171" formatCode="0.00"/>
    <numFmt numFmtId="172" formatCode="\$#,##0.00;&quot;($&quot;#,##0.00\);\-"/>
    <numFmt numFmtId="173" formatCode="#,##0.0;\(#,##0.0\);\-"/>
    <numFmt numFmtId="174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Swing in AAC NPV (Model A) by driver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Sensitivity!D38</c:f>
              <c:strCache>
                <c:ptCount val="1"/>
                <c:pt idx="0">
                  <c:v>A: swing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Sensitivity!$A$39:$A$49</c:f>
              <c:strCache>
                <c:ptCount val="11"/>
                <c:pt idx="0">
                  <c:v>Concessions in rollout</c:v>
                </c:pt>
                <c:pt idx="1">
                  <c:v>Hardware cost multiplier</c:v>
                </c:pt>
                <c:pt idx="2">
                  <c:v>Implementation services multiplier</c:v>
                </c:pt>
                <c:pt idx="3">
                  <c:v>Annual opex multiplier</c:v>
                </c:pt>
                <c:pt idx="4">
                  <c:v>Diesel price ($/L)</c:v>
                </c:pt>
                <c:pt idx="5">
                  <c:v>Excavator fuel saving %</c:v>
                </c:pt>
                <c:pt idx="6">
                  <c:v>Gold price ($/oz)</c:v>
                </c:pt>
                <c:pt idx="7">
                  <c:v>Extra feed secured (% of feed)</c:v>
                </c:pt>
                <c:pt idx="8">
                  <c:v>Tailings grade (g/t)</c:v>
                </c:pt>
                <c:pt idx="9">
                  <c:v>Discount rate</c:v>
                </c:pt>
                <c:pt idx="10">
                  <c:v>Pricing multiplier (fees / margins)</c:v>
                </c:pt>
              </c:strCache>
            </c:strRef>
          </c:cat>
          <c:val>
            <c:numRef>
              <c:f>Sensitivity!$D$39:$D$49</c:f>
              <c:numCache>
                <c:formatCode>\$#,##0;"($"#,##0\);\-</c:formatCode>
                <c:ptCount val="11"/>
                <c:pt idx="0">
                  <c:v>1271116.15998735</c:v>
                </c:pt>
                <c:pt idx="1">
                  <c:v>176492.747836522</c:v>
                </c:pt>
                <c:pt idx="2">
                  <c:v>178090</c:v>
                </c:pt>
                <c:pt idx="3">
                  <c:v>486438.05690348</c:v>
                </c:pt>
                <c:pt idx="4">
                  <c:v>198664.648049183</c:v>
                </c:pt>
                <c:pt idx="5">
                  <c:v>316004.586370631</c:v>
                </c:pt>
                <c:pt idx="6">
                  <c:v>711184.30549437</c:v>
                </c:pt>
                <c:pt idx="7">
                  <c:v>2370614.3516479</c:v>
                </c:pt>
                <c:pt idx="8">
                  <c:v>1185307.17582395</c:v>
                </c:pt>
                <c:pt idx="9">
                  <c:v>329765.578919104</c:v>
                </c:pt>
                <c:pt idx="10">
                  <c:v>168948.111208495</c:v>
                </c:pt>
              </c:numCache>
            </c:numRef>
          </c:val>
        </c:ser>
        <c:gapWidth val="150"/>
        <c:overlap val="0"/>
        <c:axId val="91825957"/>
        <c:axId val="92707887"/>
      </c:barChart>
      <c:catAx>
        <c:axId val="918259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07887"/>
        <c:crosses val="autoZero"/>
        <c:auto val="1"/>
        <c:lblAlgn val="ctr"/>
        <c:lblOffset val="100"/>
        <c:noMultiLvlLbl val="0"/>
      </c:catAx>
      <c:valAx>
        <c:axId val="92707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25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61</xdr:row>
      <xdr:rowOff>160560</xdr:rowOff>
    </xdr:from>
    <xdr:to>
      <xdr:col>4</xdr:col>
      <xdr:colOff>770400</xdr:colOff>
      <xdr:row>78</xdr:row>
      <xdr:rowOff>161640</xdr:rowOff>
    </xdr:to>
    <xdr:graphicFrame>
      <xdr:nvGraphicFramePr>
        <xdr:cNvPr id="0" name="Chart 1"/>
        <xdr:cNvGraphicFramePr/>
      </xdr:nvGraphicFramePr>
      <xdr:xfrm>
        <a:off x="0" y="11972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5" t="s">
        <v>3</v>
      </c>
      <c r="C4" s="5"/>
      <c r="D4" s="5"/>
      <c r="E4" s="5" t="s">
        <v>4</v>
      </c>
    </row>
    <row r="5" customFormat="false" ht="15" hidden="false" customHeight="false" outlineLevel="0" collapsed="false">
      <c r="A5" s="6" t="s">
        <v>5</v>
      </c>
      <c r="B5" s="7" t="n">
        <f aca="false">Inputs!$B$7</f>
        <v>8</v>
      </c>
      <c r="C5" s="2"/>
      <c r="D5" s="2"/>
      <c r="E5" s="8" t="s">
        <v>6</v>
      </c>
    </row>
    <row r="6" customFormat="false" ht="15" hidden="false" customHeight="false" outlineLevel="0" collapsed="false">
      <c r="A6" s="6" t="s">
        <v>7</v>
      </c>
      <c r="B6" s="9" t="n">
        <f aca="false">Costs!$D$38</f>
        <v>566931.75</v>
      </c>
      <c r="C6" s="2"/>
      <c r="D6" s="2"/>
      <c r="E6" s="8" t="s">
        <v>8</v>
      </c>
    </row>
    <row r="7" customFormat="false" ht="15" hidden="false" customHeight="false" outlineLevel="0" collapsed="false">
      <c r="A7" s="6" t="s">
        <v>9</v>
      </c>
      <c r="B7" s="9" t="n">
        <f aca="false">Costs!$D$52</f>
        <v>276994.501</v>
      </c>
      <c r="C7" s="2"/>
      <c r="D7" s="2"/>
      <c r="E7" s="8"/>
    </row>
    <row r="8" customFormat="false" ht="15" hidden="false" customHeight="false" outlineLevel="0" collapsed="false">
      <c r="A8" s="6" t="s">
        <v>10</v>
      </c>
      <c r="B8" s="9" t="n">
        <f aca="false">Costs!$D$53</f>
        <v>34624.312625</v>
      </c>
      <c r="C8" s="2"/>
      <c r="D8" s="2"/>
      <c r="E8" s="8"/>
    </row>
    <row r="9" customFormat="false" ht="15" hidden="false" customHeight="false" outlineLevel="0" collapsed="false">
      <c r="A9" s="6" t="s">
        <v>11</v>
      </c>
      <c r="B9" s="9" t="n">
        <f aca="false">'AAC Benefits'!$C$14</f>
        <v>851614.782259231</v>
      </c>
      <c r="C9" s="2"/>
      <c r="D9" s="2"/>
      <c r="E9" s="8" t="s">
        <v>12</v>
      </c>
    </row>
    <row r="10" customFormat="false" ht="15" hidden="false" customHeight="false" outlineLevel="0" collapsed="false">
      <c r="A10" s="6" t="s">
        <v>13</v>
      </c>
      <c r="B10" s="9" t="n">
        <f aca="false">'AAC Benefits'!$C$10</f>
        <v>550934.782259231</v>
      </c>
      <c r="C10" s="2"/>
      <c r="D10" s="2"/>
      <c r="E10" s="8" t="s">
        <v>14</v>
      </c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26.85" hidden="false" customHeight="false" outlineLevel="0" collapsed="false">
      <c r="A12" s="4" t="s">
        <v>15</v>
      </c>
      <c r="B12" s="5" t="s">
        <v>16</v>
      </c>
      <c r="C12" s="5" t="s">
        <v>17</v>
      </c>
      <c r="D12" s="5" t="s">
        <v>18</v>
      </c>
      <c r="E12" s="5" t="s">
        <v>19</v>
      </c>
    </row>
    <row r="13" customFormat="false" ht="15" hidden="false" customHeight="false" outlineLevel="0" collapsed="false">
      <c r="A13" s="6" t="s">
        <v>20</v>
      </c>
      <c r="B13" s="10" t="n">
        <f aca="false">'Revenue Models'!$I$26</f>
        <v>2599152.156825</v>
      </c>
      <c r="C13" s="10" t="n">
        <f aca="false">'Revenue Models'!$I$41</f>
        <v>2638303.7625</v>
      </c>
      <c r="D13" s="10" t="n">
        <f aca="false">'Revenue Models'!$I$57</f>
        <v>2805023.01466692</v>
      </c>
      <c r="E13" s="8"/>
    </row>
    <row r="14" customFormat="false" ht="15" hidden="false" customHeight="false" outlineLevel="0" collapsed="false">
      <c r="A14" s="6" t="s">
        <v>21</v>
      </c>
      <c r="B14" s="10" t="n">
        <f aca="false">'Revenue Models'!$I$22</f>
        <v>422370.278021239</v>
      </c>
      <c r="C14" s="10" t="n">
        <f aca="false">'Revenue Models'!$I$37</f>
        <v>198301.11068689</v>
      </c>
      <c r="D14" s="10" t="n">
        <f aca="false">'Revenue Models'!$I$53</f>
        <v>496779.158222734</v>
      </c>
      <c r="E14" s="8" t="s">
        <v>22</v>
      </c>
    </row>
    <row r="15" customFormat="false" ht="15" hidden="false" customHeight="false" outlineLevel="0" collapsed="false">
      <c r="A15" s="6" t="s">
        <v>23</v>
      </c>
      <c r="B15" s="11" t="n">
        <f aca="false">'Revenue Models'!$I$27</f>
        <v>0.222379930723662</v>
      </c>
      <c r="C15" s="11" t="n">
        <f aca="false">'Revenue Models'!$I$42</f>
        <v>0.233919570226137</v>
      </c>
      <c r="D15" s="11" t="n">
        <f aca="false">'Revenue Models'!$I$58</f>
        <v>0.279452300504564</v>
      </c>
      <c r="E15" s="8"/>
    </row>
    <row r="16" customFormat="false" ht="15" hidden="false" customHeight="false" outlineLevel="0" collapsed="false">
      <c r="A16" s="6" t="s">
        <v>24</v>
      </c>
      <c r="B16" s="11" t="str">
        <f aca="false">'Revenue Models'!$I$28</f>
        <v>n/a - costs recovered upfront</v>
      </c>
      <c r="C16" s="11" t="n">
        <f aca="false">'Revenue Models'!$I$43</f>
        <v>0.344885055372937</v>
      </c>
      <c r="D16" s="11" t="str">
        <f aca="false">'Revenue Models'!$I$59</f>
        <v>n/a - costs recovered upfront</v>
      </c>
      <c r="E16" s="8" t="s">
        <v>25</v>
      </c>
    </row>
    <row r="17" customFormat="false" ht="15" hidden="false" customHeight="false" outlineLevel="0" collapsed="false">
      <c r="A17" s="6" t="s">
        <v>26</v>
      </c>
      <c r="B17" s="12" t="str">
        <f aca="false">'Revenue Models'!$I$29</f>
        <v>Year 0</v>
      </c>
      <c r="C17" s="12" t="str">
        <f aca="false">'Revenue Models'!$I$44</f>
        <v>Year 3</v>
      </c>
      <c r="D17" s="12" t="str">
        <f aca="false">'Revenue Models'!$I$60</f>
        <v>Year 0</v>
      </c>
      <c r="E17" s="8"/>
    </row>
    <row r="18" customFormat="false" ht="15" hidden="false" customHeight="false" outlineLevel="0" collapsed="false">
      <c r="A18" s="6" t="s">
        <v>27</v>
      </c>
      <c r="B18" s="10" t="n">
        <f aca="false">'Revenue Models'!$B$21</f>
        <v>798687.900325</v>
      </c>
      <c r="C18" s="10" t="n">
        <f aca="false">'Revenue Models'!$B$36</f>
        <v>135103.7625</v>
      </c>
      <c r="D18" s="10" t="n">
        <f aca="false">'Revenue Models'!$B$52</f>
        <v>653587.102157685</v>
      </c>
      <c r="E18" s="8" t="s">
        <v>28</v>
      </c>
    </row>
    <row r="19" customFormat="false" ht="15" hidden="false" customHeight="false" outlineLevel="0" collapsed="false">
      <c r="A19" s="6" t="s">
        <v>29</v>
      </c>
      <c r="B19" s="10" t="n">
        <f aca="false">'Revenue Models'!$I$24</f>
        <v>774020.664302732</v>
      </c>
      <c r="C19" s="10" t="n">
        <f aca="false">'Revenue Models'!$I$39</f>
        <v>998089.831637081</v>
      </c>
      <c r="D19" s="10" t="n">
        <f aca="false">'Revenue Models'!$I$55</f>
        <v>699611.784101236</v>
      </c>
      <c r="E19" s="8" t="s">
        <v>30</v>
      </c>
    </row>
    <row r="20" customFormat="false" ht="15" hidden="false" customHeight="false" outlineLevel="0" collapsed="false">
      <c r="A20" s="6" t="s">
        <v>31</v>
      </c>
      <c r="B20" s="12" t="str">
        <f aca="false">'Revenue Models'!$I$30</f>
        <v>Year 2</v>
      </c>
      <c r="C20" s="12" t="str">
        <f aca="false">'Revenue Models'!$I$45</f>
        <v>Year 1</v>
      </c>
      <c r="D20" s="12" t="str">
        <f aca="false">'Revenue Models'!$I$61</f>
        <v>Year 2</v>
      </c>
      <c r="E20" s="8"/>
    </row>
    <row r="21" customFormat="false" ht="15" hidden="false" customHeight="false" outlineLevel="0" collapsed="false">
      <c r="A21" s="6" t="s">
        <v>32</v>
      </c>
      <c r="B21" s="13" t="n">
        <f aca="false">'Revenue Models'!$I$31</f>
        <v>0.402138829133694</v>
      </c>
      <c r="C21" s="13" t="n">
        <f aca="false">'Revenue Models'!$I$46</f>
        <v>0.586873235497333</v>
      </c>
      <c r="D21" s="13" t="n">
        <f aca="false">'Revenue Models'!$I$62</f>
        <v>0.34995134758545</v>
      </c>
      <c r="E21" s="8"/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4" t="s">
        <v>33</v>
      </c>
      <c r="B23" s="5" t="s">
        <v>34</v>
      </c>
      <c r="C23" s="5" t="s">
        <v>35</v>
      </c>
      <c r="D23" s="5" t="s">
        <v>36</v>
      </c>
      <c r="E23" s="5"/>
    </row>
    <row r="24" customFormat="false" ht="15" hidden="false" customHeight="false" outlineLevel="0" collapsed="false">
      <c r="A24" s="6" t="s">
        <v>37</v>
      </c>
      <c r="B24" s="9" t="n">
        <f aca="false">'Scenario Engine'!$Y$44</f>
        <v>365748.51221321</v>
      </c>
      <c r="C24" s="9" t="n">
        <f aca="false">'Scenario Engine'!$B$44</f>
        <v>422370.278021239</v>
      </c>
      <c r="D24" s="9" t="n">
        <f aca="false">'Scenario Engine'!$Z$44</f>
        <v>467375.594502881</v>
      </c>
      <c r="E24" s="2"/>
    </row>
    <row r="25" customFormat="false" ht="15" hidden="false" customHeight="false" outlineLevel="0" collapsed="false">
      <c r="A25" s="6" t="s">
        <v>38</v>
      </c>
      <c r="B25" s="9" t="n">
        <f aca="false">'Scenario Engine'!$Y$45</f>
        <v>-260644.520874752</v>
      </c>
      <c r="C25" s="9" t="n">
        <f aca="false">'Scenario Engine'!$B$45</f>
        <v>198301.11068689</v>
      </c>
      <c r="D25" s="9" t="n">
        <f aca="false">'Scenario Engine'!$Z$45</f>
        <v>561669.134027162</v>
      </c>
      <c r="E25" s="2"/>
    </row>
    <row r="26" customFormat="false" ht="15" hidden="false" customHeight="false" outlineLevel="0" collapsed="false">
      <c r="A26" s="6" t="s">
        <v>39</v>
      </c>
      <c r="B26" s="9" t="n">
        <f aca="false">'Scenario Engine'!$Y$46</f>
        <v>150265.849372719</v>
      </c>
      <c r="C26" s="9" t="n">
        <f aca="false">'Scenario Engine'!$B$46</f>
        <v>496779.158222734</v>
      </c>
      <c r="D26" s="9" t="n">
        <f aca="false">'Scenario Engine'!$Z$46</f>
        <v>1067746.97472291</v>
      </c>
      <c r="E26" s="2"/>
    </row>
    <row r="27" customFormat="false" ht="15" hidden="false" customHeight="false" outlineLevel="0" collapsed="false">
      <c r="A27" s="6" t="s">
        <v>40</v>
      </c>
      <c r="B27" s="9" t="n">
        <f aca="false">'Scenario Engine'!$Y$47</f>
        <v>-876706.760553846</v>
      </c>
      <c r="C27" s="9" t="n">
        <f aca="false">'Scenario Engine'!$B$47</f>
        <v>774020.664302732</v>
      </c>
      <c r="D27" s="9" t="n">
        <f aca="false">'Scenario Engine'!$Z$47</f>
        <v>3562254.74663138</v>
      </c>
      <c r="E27" s="2"/>
    </row>
    <row r="28" customFormat="false" ht="15" hidden="false" customHeight="false" outlineLevel="0" collapsed="false">
      <c r="A28" s="6" t="s">
        <v>41</v>
      </c>
      <c r="B28" s="9" t="n">
        <f aca="false">'Scenario Engine'!$Y$48</f>
        <v>-250313.727465884</v>
      </c>
      <c r="C28" s="9" t="n">
        <f aca="false">'Scenario Engine'!$B$48</f>
        <v>998089.831637081</v>
      </c>
      <c r="D28" s="9" t="n">
        <f aca="false">'Scenario Engine'!$Z$48</f>
        <v>3467961.2071071</v>
      </c>
      <c r="E28" s="2"/>
    </row>
    <row r="29" customFormat="false" ht="15" hidden="false" customHeight="false" outlineLevel="0" collapsed="false">
      <c r="A29" s="6" t="s">
        <v>42</v>
      </c>
      <c r="B29" s="9" t="n">
        <f aca="false">'Scenario Engine'!$Y$49</f>
        <v>-661224.097713355</v>
      </c>
      <c r="C29" s="9" t="n">
        <f aca="false">'Scenario Engine'!$B$49</f>
        <v>699611.784101237</v>
      </c>
      <c r="D29" s="9" t="n">
        <f aca="false">'Scenario Engine'!$Z$49</f>
        <v>2961883.36641135</v>
      </c>
      <c r="E29" s="2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14" t="s">
        <v>43</v>
      </c>
      <c r="B31" s="2"/>
      <c r="C31" s="2"/>
      <c r="D31" s="2"/>
      <c r="E31" s="2"/>
    </row>
    <row r="32" customFormat="false" ht="15" hidden="false" customHeight="false" outlineLevel="0" collapsed="false">
      <c r="A32" s="15" t="s">
        <v>44</v>
      </c>
      <c r="B32" s="2"/>
      <c r="C32" s="2"/>
      <c r="D32" s="2"/>
      <c r="E32" s="2"/>
    </row>
    <row r="33" customFormat="false" ht="15" hidden="false" customHeight="false" outlineLevel="0" collapsed="false">
      <c r="A33" s="6" t="s">
        <v>45</v>
      </c>
      <c r="B33" s="2"/>
      <c r="C33" s="2"/>
      <c r="D33" s="2"/>
      <c r="E33" s="2"/>
    </row>
    <row r="34" customFormat="false" ht="15" hidden="false" customHeight="false" outlineLevel="0" collapsed="false">
      <c r="A34" s="16" t="s">
        <v>46</v>
      </c>
      <c r="B34" s="2"/>
      <c r="C34" s="2"/>
      <c r="D34" s="2"/>
      <c r="E34" s="2"/>
    </row>
    <row r="35" customFormat="false" ht="15" hidden="false" customHeight="false" outlineLevel="0" collapsed="false">
      <c r="A35" s="17" t="s">
        <v>47</v>
      </c>
      <c r="B35" s="2"/>
      <c r="C35" s="2"/>
      <c r="D35" s="2"/>
      <c r="E35" s="2"/>
    </row>
    <row r="36" customFormat="false" ht="15" hidden="false" customHeight="false" outlineLevel="0" collapsed="false">
      <c r="A36" s="2"/>
      <c r="B36" s="2"/>
      <c r="C36" s="2"/>
      <c r="D36" s="2"/>
      <c r="E36" s="2"/>
    </row>
    <row r="37" customFormat="false" ht="15" hidden="false" customHeight="false" outlineLevel="0" collapsed="false">
      <c r="A37" s="3" t="s">
        <v>48</v>
      </c>
      <c r="B37" s="2"/>
      <c r="C37" s="2"/>
      <c r="D37" s="2"/>
      <c r="E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49</v>
      </c>
      <c r="B1" s="2"/>
      <c r="C1" s="2"/>
      <c r="D1" s="2"/>
      <c r="E1" s="2"/>
    </row>
    <row r="2" customFormat="false" ht="15" hidden="false" customHeight="false" outlineLevel="0" collapsed="false">
      <c r="A2" s="3" t="s">
        <v>50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51</v>
      </c>
      <c r="B4" s="5" t="s">
        <v>52</v>
      </c>
      <c r="C4" s="5" t="s">
        <v>53</v>
      </c>
      <c r="D4" s="5" t="s">
        <v>54</v>
      </c>
      <c r="E4" s="5" t="s">
        <v>4</v>
      </c>
    </row>
    <row r="5" customFormat="false" ht="15" hidden="false" customHeight="false" outlineLevel="0" collapsed="false">
      <c r="A5" s="6" t="s">
        <v>55</v>
      </c>
      <c r="B5" s="18" t="n">
        <f aca="false">Inputs!$B$8</f>
        <v>2</v>
      </c>
      <c r="C5" s="2"/>
      <c r="D5" s="19"/>
      <c r="E5" s="8"/>
    </row>
    <row r="6" customFormat="false" ht="15" hidden="false" customHeight="false" outlineLevel="0" collapsed="false">
      <c r="A6" s="6" t="s">
        <v>56</v>
      </c>
      <c r="B6" s="18" t="n">
        <f aca="false">$B$5*Inputs!$B$9</f>
        <v>4</v>
      </c>
      <c r="C6" s="2"/>
      <c r="D6" s="19"/>
      <c r="E6" s="8"/>
    </row>
    <row r="7" customFormat="false" ht="15" hidden="false" customHeight="false" outlineLevel="0" collapsed="false">
      <c r="A7" s="6" t="s">
        <v>57</v>
      </c>
      <c r="B7" s="18" t="n">
        <f aca="false">$B$5*Inputs!$B$10</f>
        <v>6</v>
      </c>
      <c r="C7" s="2"/>
      <c r="D7" s="19"/>
      <c r="E7" s="8"/>
    </row>
    <row r="8" customFormat="false" ht="15" hidden="false" customHeight="false" outlineLevel="0" collapsed="false">
      <c r="A8" s="6" t="s">
        <v>58</v>
      </c>
      <c r="B8" s="18" t="n">
        <f aca="false">$B$5+1</f>
        <v>3</v>
      </c>
      <c r="C8" s="2"/>
      <c r="D8" s="19"/>
      <c r="E8" s="8"/>
    </row>
    <row r="9" customFormat="false" ht="15" hidden="false" customHeight="false" outlineLevel="0" collapsed="false">
      <c r="A9" s="6" t="s">
        <v>59</v>
      </c>
      <c r="B9" s="18" t="n">
        <f aca="false">MAX(1,ROUND($B$5*Inputs!$B$12,0))</f>
        <v>1</v>
      </c>
      <c r="C9" s="2"/>
      <c r="D9" s="19"/>
      <c r="E9" s="8"/>
    </row>
    <row r="10" customFormat="false" ht="15" hidden="false" customHeight="false" outlineLevel="0" collapsed="false">
      <c r="A10" s="6" t="s">
        <v>60</v>
      </c>
      <c r="B10" s="18" t="n">
        <f aca="false">$B$6</f>
        <v>4</v>
      </c>
      <c r="C10" s="9" t="n">
        <f aca="false">Inputs!$B$16+Inputs!$B$17</f>
        <v>850</v>
      </c>
      <c r="D10" s="19" t="n">
        <f aca="false">B10*C10</f>
        <v>3400</v>
      </c>
      <c r="E10" s="8"/>
    </row>
    <row r="11" customFormat="false" ht="15" hidden="false" customHeight="false" outlineLevel="0" collapsed="false">
      <c r="A11" s="6" t="s">
        <v>61</v>
      </c>
      <c r="B11" s="18" t="n">
        <f aca="false">$B$8</f>
        <v>3</v>
      </c>
      <c r="C11" s="9" t="n">
        <f aca="false">Inputs!$B$18+Inputs!$B$19*Inputs!$B$20</f>
        <v>3650</v>
      </c>
      <c r="D11" s="19" t="n">
        <f aca="false">B11*C11</f>
        <v>10950</v>
      </c>
      <c r="E11" s="8"/>
    </row>
    <row r="12" customFormat="false" ht="15" hidden="false" customHeight="false" outlineLevel="0" collapsed="false">
      <c r="A12" s="6" t="s">
        <v>62</v>
      </c>
      <c r="B12" s="18" t="n">
        <f aca="false">$B$7</f>
        <v>6</v>
      </c>
      <c r="C12" s="9" t="n">
        <f aca="false">Inputs!$B$21+Inputs!$B$22</f>
        <v>850</v>
      </c>
      <c r="D12" s="19" t="n">
        <f aca="false">B12*C12</f>
        <v>5100</v>
      </c>
      <c r="E12" s="8"/>
    </row>
    <row r="13" customFormat="false" ht="15" hidden="false" customHeight="false" outlineLevel="0" collapsed="false">
      <c r="A13" s="6" t="s">
        <v>63</v>
      </c>
      <c r="B13" s="18" t="n">
        <v>1</v>
      </c>
      <c r="C13" s="9" t="n">
        <f aca="false">Inputs!$B$23</f>
        <v>8000</v>
      </c>
      <c r="D13" s="19" t="n">
        <f aca="false">B13*C13</f>
        <v>8000</v>
      </c>
      <c r="E13" s="8"/>
    </row>
    <row r="14" customFormat="false" ht="15" hidden="false" customHeight="false" outlineLevel="0" collapsed="false">
      <c r="A14" s="6" t="s">
        <v>64</v>
      </c>
      <c r="B14" s="18" t="n">
        <f aca="false">$B$9</f>
        <v>1</v>
      </c>
      <c r="C14" s="9" t="n">
        <f aca="false">Inputs!$B$24</f>
        <v>4500</v>
      </c>
      <c r="D14" s="19" t="n">
        <f aca="false">B14*C14</f>
        <v>4500</v>
      </c>
      <c r="E14" s="8"/>
    </row>
    <row r="15" customFormat="false" ht="15" hidden="false" customHeight="false" outlineLevel="0" collapsed="false">
      <c r="A15" s="6" t="s">
        <v>65</v>
      </c>
      <c r="B15" s="18" t="n">
        <v>1</v>
      </c>
      <c r="C15" s="9" t="n">
        <f aca="false">Inputs!$B$25</f>
        <v>15000</v>
      </c>
      <c r="D15" s="19" t="n">
        <f aca="false">B15*C15</f>
        <v>15000</v>
      </c>
      <c r="E15" s="8"/>
    </row>
    <row r="16" customFormat="false" ht="15" hidden="false" customHeight="false" outlineLevel="0" collapsed="false">
      <c r="A16" s="6" t="s">
        <v>66</v>
      </c>
      <c r="B16" s="18" t="n">
        <f aca="false">$B$5+Inputs!$B$11</f>
        <v>4</v>
      </c>
      <c r="C16" s="9" t="n">
        <f aca="false">Inputs!$B$26</f>
        <v>400</v>
      </c>
      <c r="D16" s="19" t="n">
        <f aca="false">B16*C16</f>
        <v>1600</v>
      </c>
      <c r="E16" s="8"/>
    </row>
    <row r="17" customFormat="false" ht="15" hidden="false" customHeight="false" outlineLevel="0" collapsed="false">
      <c r="A17" s="6" t="s">
        <v>67</v>
      </c>
      <c r="B17" s="18" t="n">
        <v>1</v>
      </c>
      <c r="C17" s="9" t="n">
        <f aca="false">Inputs!$B$27</f>
        <v>5000</v>
      </c>
      <c r="D17" s="19" t="n">
        <f aca="false">B17*C17</f>
        <v>5000</v>
      </c>
      <c r="E17" s="8"/>
    </row>
    <row r="18" customFormat="false" ht="15" hidden="false" customHeight="false" outlineLevel="0" collapsed="false">
      <c r="A18" s="6" t="s">
        <v>68</v>
      </c>
      <c r="B18" s="2"/>
      <c r="C18" s="2"/>
      <c r="D18" s="19" t="n">
        <f aca="false">SUM(D10:D17)*Inputs!$B$30*(1+Inputs!$B$28)</f>
        <v>72292.5</v>
      </c>
      <c r="E18" s="8"/>
    </row>
    <row r="19" customFormat="false" ht="15" hidden="false" customHeight="false" outlineLevel="0" collapsed="false">
      <c r="A19" s="6" t="s">
        <v>69</v>
      </c>
      <c r="B19" s="18" t="n">
        <f aca="false">2*$B$6+2*$B$7+$B$8+$B$9</f>
        <v>24</v>
      </c>
      <c r="C19" s="9" t="n">
        <f aca="false">Inputs!$B$29</f>
        <v>80</v>
      </c>
      <c r="D19" s="19" t="n">
        <f aca="false">B19*C19</f>
        <v>1920</v>
      </c>
      <c r="E19" s="8"/>
    </row>
    <row r="20" customFormat="false" ht="15" hidden="false" customHeight="false" outlineLevel="0" collapsed="false">
      <c r="A20" s="6" t="s">
        <v>70</v>
      </c>
      <c r="B20" s="20" t="n">
        <v>0.6</v>
      </c>
      <c r="C20" s="9" t="n">
        <f aca="false">Inputs!$E$44</f>
        <v>235800</v>
      </c>
      <c r="D20" s="19" t="n">
        <f aca="false">B20*C20*Inputs!$B$50</f>
        <v>141480</v>
      </c>
      <c r="E20" s="8" t="s">
        <v>71</v>
      </c>
    </row>
    <row r="21" customFormat="false" ht="15" hidden="false" customHeight="false" outlineLevel="0" collapsed="false">
      <c r="A21" s="6" t="s">
        <v>72</v>
      </c>
      <c r="B21" s="18" t="n">
        <f aca="false">$B$5</f>
        <v>2</v>
      </c>
      <c r="C21" s="9" t="n">
        <f aca="false">Inputs!$B$46+Inputs!$B$47+Inputs!$B$48</f>
        <v>11000</v>
      </c>
      <c r="D21" s="19" t="n">
        <f aca="false">B21*C21</f>
        <v>22000</v>
      </c>
      <c r="E21" s="8"/>
    </row>
    <row r="22" customFormat="false" ht="15" hidden="false" customHeight="false" outlineLevel="0" collapsed="false">
      <c r="A22" s="6" t="s">
        <v>73</v>
      </c>
      <c r="B22" s="2"/>
      <c r="C22" s="2"/>
      <c r="D22" s="19" t="n">
        <f aca="false">Inputs!$E$67/4+$B$5*6*Inputs!$B$59+(Inputs!$B$53+Inputs!$B$57)/4+($B$6+$B$7+$B$8)*Inputs!$B$55*3+$B$9*Inputs!$B$56*3</f>
        <v>32734</v>
      </c>
      <c r="E22" s="8" t="s">
        <v>74</v>
      </c>
    </row>
    <row r="23" customFormat="false" ht="15" hidden="false" customHeight="false" outlineLevel="0" collapsed="false">
      <c r="A23" s="6" t="s">
        <v>75</v>
      </c>
      <c r="B23" s="2"/>
      <c r="C23" s="2"/>
      <c r="D23" s="19" t="n">
        <f aca="false">$D$18+$D$19+$D$20+$D$21+$D$22</f>
        <v>270426.5</v>
      </c>
      <c r="E23" s="8"/>
    </row>
    <row r="24" customFormat="false" ht="15" hidden="false" customHeight="false" outlineLevel="0" collapsed="false">
      <c r="A24" s="6" t="s">
        <v>76</v>
      </c>
      <c r="B24" s="2"/>
      <c r="C24" s="2"/>
      <c r="D24" s="19" t="n">
        <f aca="false">$D$23*Inputs!$B$49</f>
        <v>27042.65</v>
      </c>
      <c r="E24" s="8"/>
    </row>
    <row r="25" customFormat="false" ht="15" hidden="false" customHeight="false" outlineLevel="0" collapsed="false">
      <c r="A25" s="6" t="s">
        <v>77</v>
      </c>
      <c r="B25" s="2"/>
      <c r="C25" s="2"/>
      <c r="D25" s="19" t="n">
        <f aca="false">$D$23+$D$24</f>
        <v>297469.15</v>
      </c>
      <c r="E25" s="8"/>
    </row>
    <row r="26" customFormat="false" ht="15" hidden="false" customHeight="false" outlineLevel="0" collapsed="false">
      <c r="A26" s="14" t="s">
        <v>78</v>
      </c>
      <c r="B26" s="2"/>
      <c r="C26" s="2"/>
      <c r="D26" s="21" t="n">
        <f aca="false">ROUND($D$25*(1+Inputs!$B$104*Inputs!$B$103),-3)</f>
        <v>372000</v>
      </c>
      <c r="E26" s="8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14" t="s">
        <v>79</v>
      </c>
      <c r="B28" s="2"/>
      <c r="C28" s="2"/>
      <c r="D28" s="2"/>
      <c r="E28" s="2"/>
    </row>
    <row r="29" customFormat="false" ht="15" hidden="false" customHeight="false" outlineLevel="0" collapsed="false">
      <c r="A29" s="6" t="s">
        <v>80</v>
      </c>
      <c r="B29" s="20" t="n">
        <v>0.4</v>
      </c>
      <c r="C29" s="2"/>
      <c r="D29" s="19" t="n">
        <f aca="false">B29*$D$26</f>
        <v>148800</v>
      </c>
      <c r="E29" s="2"/>
    </row>
    <row r="30" customFormat="false" ht="15" hidden="false" customHeight="false" outlineLevel="0" collapsed="false">
      <c r="A30" s="6" t="s">
        <v>81</v>
      </c>
      <c r="B30" s="20" t="n">
        <v>0.3</v>
      </c>
      <c r="C30" s="2"/>
      <c r="D30" s="19" t="n">
        <f aca="false">B30*$D$26</f>
        <v>111600</v>
      </c>
      <c r="E30" s="2"/>
    </row>
    <row r="31" customFormat="false" ht="15" hidden="false" customHeight="false" outlineLevel="0" collapsed="false">
      <c r="A31" s="6" t="s">
        <v>82</v>
      </c>
      <c r="B31" s="20" t="n">
        <v>0.2</v>
      </c>
      <c r="C31" s="2"/>
      <c r="D31" s="19" t="n">
        <f aca="false">B31*$D$26</f>
        <v>74400</v>
      </c>
      <c r="E31" s="2"/>
    </row>
    <row r="32" customFormat="false" ht="15" hidden="false" customHeight="false" outlineLevel="0" collapsed="false">
      <c r="A32" s="6" t="s">
        <v>83</v>
      </c>
      <c r="B32" s="20" t="n">
        <v>0.1</v>
      </c>
      <c r="C32" s="2"/>
      <c r="D32" s="19" t="n">
        <f aca="false">B32*$D$26</f>
        <v>37200</v>
      </c>
      <c r="E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84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22" t="s">
        <v>85</v>
      </c>
      <c r="B2" s="22"/>
      <c r="C2" s="22"/>
      <c r="D2" s="22"/>
      <c r="E2" s="22"/>
      <c r="F2" s="2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86</v>
      </c>
      <c r="B4" s="5" t="s">
        <v>3</v>
      </c>
      <c r="C4" s="5" t="s">
        <v>87</v>
      </c>
      <c r="D4" s="5"/>
      <c r="E4" s="5"/>
      <c r="F4" s="5" t="s">
        <v>88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23" t="s">
        <v>89</v>
      </c>
      <c r="B6" s="24"/>
      <c r="C6" s="24"/>
      <c r="D6" s="24"/>
      <c r="E6" s="24"/>
      <c r="F6" s="24"/>
    </row>
    <row r="7" customFormat="false" ht="15" hidden="false" customHeight="false" outlineLevel="0" collapsed="false">
      <c r="A7" s="6" t="s">
        <v>90</v>
      </c>
      <c r="B7" s="25" t="n">
        <v>8</v>
      </c>
      <c r="C7" s="6" t="s">
        <v>91</v>
      </c>
      <c r="D7" s="2"/>
      <c r="E7" s="2"/>
      <c r="F7" s="26" t="s">
        <v>92</v>
      </c>
    </row>
    <row r="8" customFormat="false" ht="15" hidden="false" customHeight="false" outlineLevel="0" collapsed="false">
      <c r="A8" s="6" t="s">
        <v>93</v>
      </c>
      <c r="B8" s="27" t="n">
        <v>2</v>
      </c>
      <c r="C8" s="6" t="s">
        <v>91</v>
      </c>
      <c r="D8" s="2"/>
      <c r="E8" s="2"/>
      <c r="F8" s="26" t="s">
        <v>94</v>
      </c>
    </row>
    <row r="9" customFormat="false" ht="15" hidden="false" customHeight="false" outlineLevel="0" collapsed="false">
      <c r="A9" s="6" t="s">
        <v>95</v>
      </c>
      <c r="B9" s="25" t="n">
        <v>2</v>
      </c>
      <c r="C9" s="6" t="s">
        <v>91</v>
      </c>
      <c r="D9" s="2"/>
      <c r="E9" s="2"/>
      <c r="F9" s="26" t="s">
        <v>96</v>
      </c>
    </row>
    <row r="10" customFormat="false" ht="15" hidden="false" customHeight="false" outlineLevel="0" collapsed="false">
      <c r="A10" s="6" t="s">
        <v>97</v>
      </c>
      <c r="B10" s="25" t="n">
        <v>3</v>
      </c>
      <c r="C10" s="6" t="s">
        <v>91</v>
      </c>
      <c r="D10" s="2"/>
      <c r="E10" s="2"/>
      <c r="F10" s="26" t="s">
        <v>98</v>
      </c>
    </row>
    <row r="11" customFormat="false" ht="15" hidden="false" customHeight="false" outlineLevel="0" collapsed="false">
      <c r="A11" s="6" t="s">
        <v>99</v>
      </c>
      <c r="B11" s="27" t="n">
        <v>2</v>
      </c>
      <c r="C11" s="6" t="s">
        <v>91</v>
      </c>
      <c r="D11" s="2"/>
      <c r="E11" s="2"/>
      <c r="F11" s="26" t="s">
        <v>100</v>
      </c>
    </row>
    <row r="12" customFormat="false" ht="15" hidden="false" customHeight="false" outlineLevel="0" collapsed="false">
      <c r="A12" s="6" t="s">
        <v>101</v>
      </c>
      <c r="B12" s="20" t="n">
        <v>0.6</v>
      </c>
      <c r="C12" s="6" t="s">
        <v>102</v>
      </c>
      <c r="D12" s="2"/>
      <c r="E12" s="2"/>
      <c r="F12" s="26" t="s">
        <v>103</v>
      </c>
    </row>
    <row r="13" customFormat="false" ht="15" hidden="false" customHeight="false" outlineLevel="0" collapsed="false">
      <c r="A13" s="6" t="s">
        <v>104</v>
      </c>
      <c r="B13" s="27" t="n">
        <v>6</v>
      </c>
      <c r="C13" s="6" t="s">
        <v>91</v>
      </c>
      <c r="D13" s="2"/>
      <c r="E13" s="2"/>
      <c r="F13" s="26" t="s">
        <v>105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23" t="s">
        <v>106</v>
      </c>
      <c r="B15" s="24"/>
      <c r="C15" s="24"/>
      <c r="D15" s="24"/>
      <c r="E15" s="24"/>
      <c r="F15" s="24"/>
    </row>
    <row r="16" customFormat="false" ht="15" hidden="false" customHeight="false" outlineLevel="0" collapsed="false">
      <c r="A16" s="6" t="s">
        <v>107</v>
      </c>
      <c r="B16" s="28" t="n">
        <v>450</v>
      </c>
      <c r="C16" s="6" t="s">
        <v>108</v>
      </c>
      <c r="D16" s="2"/>
      <c r="E16" s="2"/>
      <c r="F16" s="26" t="s">
        <v>109</v>
      </c>
    </row>
    <row r="17" customFormat="false" ht="15" hidden="false" customHeight="false" outlineLevel="0" collapsed="false">
      <c r="A17" s="6" t="s">
        <v>110</v>
      </c>
      <c r="B17" s="28" t="n">
        <v>400</v>
      </c>
      <c r="C17" s="6" t="s">
        <v>108</v>
      </c>
      <c r="D17" s="2"/>
      <c r="E17" s="2"/>
      <c r="F17" s="26" t="s">
        <v>111</v>
      </c>
    </row>
    <row r="18" customFormat="false" ht="15" hidden="false" customHeight="false" outlineLevel="0" collapsed="false">
      <c r="A18" s="6" t="s">
        <v>112</v>
      </c>
      <c r="B18" s="28" t="n">
        <v>3500</v>
      </c>
      <c r="C18" s="6" t="s">
        <v>113</v>
      </c>
      <c r="D18" s="2"/>
      <c r="E18" s="2"/>
      <c r="F18" s="26" t="s">
        <v>114</v>
      </c>
    </row>
    <row r="19" customFormat="false" ht="15" hidden="false" customHeight="false" outlineLevel="0" collapsed="false">
      <c r="A19" s="6" t="s">
        <v>115</v>
      </c>
      <c r="B19" s="27" t="n">
        <v>15</v>
      </c>
      <c r="C19" s="6" t="s">
        <v>91</v>
      </c>
      <c r="D19" s="2"/>
      <c r="E19" s="2"/>
      <c r="F19" s="26"/>
    </row>
    <row r="20" customFormat="false" ht="15" hidden="false" customHeight="false" outlineLevel="0" collapsed="false">
      <c r="A20" s="6" t="s">
        <v>116</v>
      </c>
      <c r="B20" s="28" t="n">
        <v>10</v>
      </c>
      <c r="C20" s="6" t="s">
        <v>108</v>
      </c>
      <c r="D20" s="2"/>
      <c r="E20" s="2"/>
      <c r="F20" s="26" t="s">
        <v>117</v>
      </c>
    </row>
    <row r="21" customFormat="false" ht="15" hidden="false" customHeight="false" outlineLevel="0" collapsed="false">
      <c r="A21" s="6" t="s">
        <v>118</v>
      </c>
      <c r="B21" s="28" t="n">
        <v>250</v>
      </c>
      <c r="C21" s="6" t="s">
        <v>108</v>
      </c>
      <c r="D21" s="2"/>
      <c r="E21" s="2"/>
      <c r="F21" s="26" t="s">
        <v>117</v>
      </c>
    </row>
    <row r="22" customFormat="false" ht="15" hidden="false" customHeight="false" outlineLevel="0" collapsed="false">
      <c r="A22" s="6" t="s">
        <v>119</v>
      </c>
      <c r="B22" s="28" t="n">
        <v>600</v>
      </c>
      <c r="C22" s="6" t="s">
        <v>108</v>
      </c>
      <c r="D22" s="2"/>
      <c r="E22" s="2"/>
      <c r="F22" s="26" t="s">
        <v>117</v>
      </c>
    </row>
    <row r="23" customFormat="false" ht="15" hidden="false" customHeight="false" outlineLevel="0" collapsed="false">
      <c r="A23" s="6" t="s">
        <v>120</v>
      </c>
      <c r="B23" s="28" t="n">
        <v>8000</v>
      </c>
      <c r="C23" s="6" t="s">
        <v>121</v>
      </c>
      <c r="D23" s="2"/>
      <c r="E23" s="2"/>
      <c r="F23" s="26" t="s">
        <v>122</v>
      </c>
    </row>
    <row r="24" customFormat="false" ht="15" hidden="false" customHeight="false" outlineLevel="0" collapsed="false">
      <c r="A24" s="6" t="s">
        <v>123</v>
      </c>
      <c r="B24" s="28" t="n">
        <v>4500</v>
      </c>
      <c r="C24" s="6" t="s">
        <v>124</v>
      </c>
      <c r="D24" s="2"/>
      <c r="E24" s="2"/>
      <c r="F24" s="26" t="s">
        <v>125</v>
      </c>
    </row>
    <row r="25" customFormat="false" ht="15" hidden="false" customHeight="false" outlineLevel="0" collapsed="false">
      <c r="A25" s="6" t="s">
        <v>126</v>
      </c>
      <c r="B25" s="29" t="n">
        <v>15000</v>
      </c>
      <c r="C25" s="6" t="s">
        <v>124</v>
      </c>
      <c r="D25" s="2"/>
      <c r="E25" s="2"/>
      <c r="F25" s="26" t="s">
        <v>127</v>
      </c>
    </row>
    <row r="26" customFormat="false" ht="15" hidden="false" customHeight="false" outlineLevel="0" collapsed="false">
      <c r="A26" s="6" t="s">
        <v>128</v>
      </c>
      <c r="B26" s="28" t="n">
        <v>400</v>
      </c>
      <c r="C26" s="6" t="s">
        <v>108</v>
      </c>
      <c r="D26" s="2"/>
      <c r="E26" s="2"/>
      <c r="F26" s="26" t="s">
        <v>117</v>
      </c>
    </row>
    <row r="27" customFormat="false" ht="15" hidden="false" customHeight="false" outlineLevel="0" collapsed="false">
      <c r="A27" s="6" t="s">
        <v>129</v>
      </c>
      <c r="B27" s="28" t="n">
        <v>5000</v>
      </c>
      <c r="C27" s="6" t="s">
        <v>121</v>
      </c>
      <c r="D27" s="2"/>
      <c r="E27" s="2"/>
      <c r="F27" s="26" t="s">
        <v>117</v>
      </c>
    </row>
    <row r="28" customFormat="false" ht="22.35" hidden="false" customHeight="false" outlineLevel="0" collapsed="false">
      <c r="A28" s="6" t="s">
        <v>130</v>
      </c>
      <c r="B28" s="30" t="n">
        <v>0.35</v>
      </c>
      <c r="C28" s="6" t="s">
        <v>131</v>
      </c>
      <c r="D28" s="2"/>
      <c r="E28" s="2"/>
      <c r="F28" s="26" t="s">
        <v>132</v>
      </c>
    </row>
    <row r="29" customFormat="false" ht="15" hidden="false" customHeight="false" outlineLevel="0" collapsed="false">
      <c r="A29" s="6" t="s">
        <v>133</v>
      </c>
      <c r="B29" s="28" t="n">
        <v>80</v>
      </c>
      <c r="C29" s="6" t="s">
        <v>134</v>
      </c>
      <c r="D29" s="2"/>
      <c r="E29" s="2"/>
      <c r="F29" s="26" t="s">
        <v>86</v>
      </c>
    </row>
    <row r="30" customFormat="false" ht="15" hidden="false" customHeight="false" outlineLevel="0" collapsed="false">
      <c r="A30" s="6" t="s">
        <v>135</v>
      </c>
      <c r="B30" s="31" t="n">
        <v>1</v>
      </c>
      <c r="C30" s="6" t="s">
        <v>136</v>
      </c>
      <c r="D30" s="2"/>
      <c r="E30" s="2"/>
      <c r="F30" s="26" t="s">
        <v>137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23" t="s">
        <v>138</v>
      </c>
      <c r="B32" s="24"/>
      <c r="C32" s="24"/>
      <c r="D32" s="24"/>
      <c r="E32" s="24"/>
      <c r="F32" s="24"/>
    </row>
    <row r="33" customFormat="false" ht="15" hidden="false" customHeight="false" outlineLevel="0" collapsed="false">
      <c r="A33" s="14" t="s">
        <v>139</v>
      </c>
      <c r="B33" s="14" t="s">
        <v>140</v>
      </c>
      <c r="C33" s="14" t="s">
        <v>141</v>
      </c>
      <c r="D33" s="14" t="s">
        <v>142</v>
      </c>
      <c r="E33" s="14" t="s">
        <v>54</v>
      </c>
      <c r="F33" s="2"/>
    </row>
    <row r="34" customFormat="false" ht="15" hidden="false" customHeight="false" outlineLevel="0" collapsed="false">
      <c r="A34" s="6" t="s">
        <v>143</v>
      </c>
      <c r="B34" s="28" t="n">
        <v>4500</v>
      </c>
      <c r="C34" s="32" t="n">
        <v>1</v>
      </c>
      <c r="D34" s="27" t="n">
        <v>8</v>
      </c>
      <c r="E34" s="33" t="n">
        <f aca="false">B34*C34*D34</f>
        <v>36000</v>
      </c>
      <c r="F34" s="2"/>
    </row>
    <row r="35" customFormat="false" ht="15" hidden="false" customHeight="false" outlineLevel="0" collapsed="false">
      <c r="A35" s="6" t="s">
        <v>144</v>
      </c>
      <c r="B35" s="28" t="n">
        <v>5500</v>
      </c>
      <c r="C35" s="32" t="n">
        <v>1</v>
      </c>
      <c r="D35" s="27" t="n">
        <v>8</v>
      </c>
      <c r="E35" s="33" t="n">
        <f aca="false">B35*C35*D35</f>
        <v>44000</v>
      </c>
      <c r="F35" s="2"/>
    </row>
    <row r="36" customFormat="false" ht="15" hidden="false" customHeight="false" outlineLevel="0" collapsed="false">
      <c r="A36" s="6" t="s">
        <v>145</v>
      </c>
      <c r="B36" s="28" t="n">
        <v>3500</v>
      </c>
      <c r="C36" s="32" t="n">
        <v>2</v>
      </c>
      <c r="D36" s="27" t="n">
        <v>5</v>
      </c>
      <c r="E36" s="33" t="n">
        <f aca="false">B36*C36*D36</f>
        <v>35000</v>
      </c>
      <c r="F36" s="2"/>
    </row>
    <row r="37" customFormat="false" ht="15" hidden="false" customHeight="false" outlineLevel="0" collapsed="false">
      <c r="A37" s="6" t="s">
        <v>146</v>
      </c>
      <c r="B37" s="28" t="n">
        <v>3500</v>
      </c>
      <c r="C37" s="32" t="n">
        <v>1</v>
      </c>
      <c r="D37" s="27" t="n">
        <v>5</v>
      </c>
      <c r="E37" s="33" t="n">
        <f aca="false">B37*C37*D37</f>
        <v>17500</v>
      </c>
      <c r="F37" s="2"/>
    </row>
    <row r="38" customFormat="false" ht="15" hidden="false" customHeight="false" outlineLevel="0" collapsed="false">
      <c r="A38" s="6" t="s">
        <v>147</v>
      </c>
      <c r="B38" s="28" t="n">
        <v>4500</v>
      </c>
      <c r="C38" s="32" t="n">
        <v>0.5</v>
      </c>
      <c r="D38" s="27" t="n">
        <v>6</v>
      </c>
      <c r="E38" s="33" t="n">
        <f aca="false">B38*C38*D38</f>
        <v>13500</v>
      </c>
      <c r="F38" s="2"/>
    </row>
    <row r="39" customFormat="false" ht="15" hidden="false" customHeight="false" outlineLevel="0" collapsed="false">
      <c r="A39" s="6" t="s">
        <v>148</v>
      </c>
      <c r="B39" s="28" t="n">
        <v>900</v>
      </c>
      <c r="C39" s="32" t="n">
        <v>3</v>
      </c>
      <c r="D39" s="27" t="n">
        <v>4</v>
      </c>
      <c r="E39" s="33" t="n">
        <f aca="false">B39*C39*D39</f>
        <v>10800</v>
      </c>
      <c r="F39" s="2"/>
    </row>
    <row r="40" customFormat="false" ht="15" hidden="false" customHeight="false" outlineLevel="0" collapsed="false">
      <c r="A40" s="6" t="s">
        <v>149</v>
      </c>
      <c r="B40" s="28" t="n">
        <v>4000</v>
      </c>
      <c r="C40" s="32" t="n">
        <v>1</v>
      </c>
      <c r="D40" s="27" t="n">
        <v>8</v>
      </c>
      <c r="E40" s="33" t="n">
        <f aca="false">B40*C40*D40</f>
        <v>32000</v>
      </c>
      <c r="F40" s="2"/>
    </row>
    <row r="41" customFormat="false" ht="15" hidden="false" customHeight="false" outlineLevel="0" collapsed="false">
      <c r="A41" s="6" t="s">
        <v>150</v>
      </c>
      <c r="B41" s="28" t="n">
        <v>2500</v>
      </c>
      <c r="C41" s="32" t="n">
        <v>1</v>
      </c>
      <c r="D41" s="27" t="n">
        <v>8</v>
      </c>
      <c r="E41" s="33" t="n">
        <f aca="false">B41*C41*D41</f>
        <v>20000</v>
      </c>
      <c r="F41" s="2"/>
    </row>
    <row r="42" customFormat="false" ht="15" hidden="false" customHeight="false" outlineLevel="0" collapsed="false">
      <c r="A42" s="6" t="s">
        <v>151</v>
      </c>
      <c r="B42" s="28" t="n">
        <v>1500</v>
      </c>
      <c r="C42" s="32" t="n">
        <v>1</v>
      </c>
      <c r="D42" s="27" t="n">
        <v>8</v>
      </c>
      <c r="E42" s="33" t="n">
        <f aca="false">B42*C42*D42</f>
        <v>12000</v>
      </c>
      <c r="F42" s="2"/>
    </row>
    <row r="43" customFormat="false" ht="15" hidden="false" customHeight="false" outlineLevel="0" collapsed="false">
      <c r="A43" s="6" t="s">
        <v>152</v>
      </c>
      <c r="B43" s="2"/>
      <c r="C43" s="2"/>
      <c r="D43" s="2"/>
      <c r="E43" s="28" t="n">
        <v>15000</v>
      </c>
      <c r="F43" s="2"/>
    </row>
    <row r="44" customFormat="false" ht="15" hidden="false" customHeight="false" outlineLevel="0" collapsed="false">
      <c r="A44" s="14" t="s">
        <v>153</v>
      </c>
      <c r="B44" s="2"/>
      <c r="C44" s="2"/>
      <c r="D44" s="2"/>
      <c r="E44" s="34" t="n">
        <f aca="false">SUM(E34:E43)</f>
        <v>235800</v>
      </c>
      <c r="F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8" t="s">
        <v>154</v>
      </c>
    </row>
    <row r="46" customFormat="false" ht="15" hidden="false" customHeight="false" outlineLevel="0" collapsed="false">
      <c r="A46" s="6" t="s">
        <v>155</v>
      </c>
      <c r="B46" s="28" t="n">
        <v>7000</v>
      </c>
      <c r="C46" s="6" t="s">
        <v>156</v>
      </c>
      <c r="D46" s="2"/>
      <c r="E46" s="2"/>
      <c r="F46" s="26" t="s">
        <v>157</v>
      </c>
    </row>
    <row r="47" customFormat="false" ht="15" hidden="false" customHeight="false" outlineLevel="0" collapsed="false">
      <c r="A47" s="6" t="s">
        <v>158</v>
      </c>
      <c r="B47" s="28" t="n">
        <v>2500</v>
      </c>
      <c r="C47" s="6" t="s">
        <v>156</v>
      </c>
      <c r="D47" s="2"/>
      <c r="E47" s="2"/>
      <c r="F47" s="26" t="s">
        <v>117</v>
      </c>
    </row>
    <row r="48" customFormat="false" ht="15" hidden="false" customHeight="false" outlineLevel="0" collapsed="false">
      <c r="A48" s="6" t="s">
        <v>159</v>
      </c>
      <c r="B48" s="28" t="n">
        <v>1500</v>
      </c>
      <c r="C48" s="6" t="s">
        <v>156</v>
      </c>
      <c r="D48" s="2"/>
      <c r="E48" s="2"/>
      <c r="F48" s="26" t="s">
        <v>160</v>
      </c>
    </row>
    <row r="49" customFormat="false" ht="15" hidden="false" customHeight="false" outlineLevel="0" collapsed="false">
      <c r="A49" s="6" t="s">
        <v>161</v>
      </c>
      <c r="B49" s="20" t="n">
        <v>0.1</v>
      </c>
      <c r="C49" s="6" t="s">
        <v>102</v>
      </c>
      <c r="D49" s="2"/>
      <c r="E49" s="2"/>
      <c r="F49" s="26"/>
    </row>
    <row r="50" customFormat="false" ht="15" hidden="false" customHeight="false" outlineLevel="0" collapsed="false">
      <c r="A50" s="6" t="s">
        <v>162</v>
      </c>
      <c r="B50" s="31" t="n">
        <v>1</v>
      </c>
      <c r="C50" s="6" t="s">
        <v>136</v>
      </c>
      <c r="D50" s="2"/>
      <c r="E50" s="2"/>
      <c r="F50" s="26" t="s">
        <v>163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</row>
    <row r="52" customFormat="false" ht="15" hidden="false" customHeight="false" outlineLevel="0" collapsed="false">
      <c r="A52" s="23" t="s">
        <v>164</v>
      </c>
      <c r="B52" s="24"/>
      <c r="C52" s="24"/>
      <c r="D52" s="24"/>
      <c r="E52" s="24"/>
      <c r="F52" s="24"/>
    </row>
    <row r="53" customFormat="false" ht="15" hidden="false" customHeight="false" outlineLevel="0" collapsed="false">
      <c r="A53" s="6" t="s">
        <v>165</v>
      </c>
      <c r="B53" s="28" t="n">
        <v>9000</v>
      </c>
      <c r="C53" s="6" t="s">
        <v>166</v>
      </c>
      <c r="D53" s="2"/>
      <c r="E53" s="2"/>
      <c r="F53" s="26" t="s">
        <v>167</v>
      </c>
    </row>
    <row r="54" customFormat="false" ht="15" hidden="false" customHeight="false" outlineLevel="0" collapsed="false">
      <c r="A54" s="6" t="s">
        <v>168</v>
      </c>
      <c r="B54" s="28" t="n">
        <v>30</v>
      </c>
      <c r="C54" s="6" t="s">
        <v>169</v>
      </c>
      <c r="D54" s="2"/>
      <c r="E54" s="2"/>
      <c r="F54" s="26" t="s">
        <v>117</v>
      </c>
    </row>
    <row r="55" customFormat="false" ht="15" hidden="false" customHeight="false" outlineLevel="0" collapsed="false">
      <c r="A55" s="6" t="s">
        <v>170</v>
      </c>
      <c r="B55" s="28" t="n">
        <v>6</v>
      </c>
      <c r="C55" s="6" t="s">
        <v>171</v>
      </c>
      <c r="D55" s="2"/>
      <c r="E55" s="2"/>
      <c r="F55" s="26" t="s">
        <v>172</v>
      </c>
    </row>
    <row r="56" customFormat="false" ht="15" hidden="false" customHeight="false" outlineLevel="0" collapsed="false">
      <c r="A56" s="6" t="s">
        <v>173</v>
      </c>
      <c r="B56" s="28" t="n">
        <v>150</v>
      </c>
      <c r="C56" s="6" t="s">
        <v>174</v>
      </c>
      <c r="D56" s="2"/>
      <c r="E56" s="2"/>
      <c r="F56" s="26" t="s">
        <v>117</v>
      </c>
    </row>
    <row r="57" customFormat="false" ht="15" hidden="false" customHeight="false" outlineLevel="0" collapsed="false">
      <c r="A57" s="6" t="s">
        <v>175</v>
      </c>
      <c r="B57" s="28" t="n">
        <v>6700</v>
      </c>
      <c r="C57" s="6" t="s">
        <v>166</v>
      </c>
      <c r="D57" s="2"/>
      <c r="E57" s="2"/>
      <c r="F57" s="26" t="s">
        <v>176</v>
      </c>
    </row>
    <row r="58" customFormat="false" ht="15" hidden="false" customHeight="false" outlineLevel="0" collapsed="false">
      <c r="A58" s="6" t="s">
        <v>177</v>
      </c>
      <c r="B58" s="27" t="n">
        <v>26</v>
      </c>
      <c r="C58" s="6" t="s">
        <v>91</v>
      </c>
      <c r="D58" s="2"/>
      <c r="E58" s="2"/>
      <c r="F58" s="26" t="s">
        <v>178</v>
      </c>
    </row>
    <row r="59" customFormat="false" ht="15" hidden="false" customHeight="false" outlineLevel="0" collapsed="false">
      <c r="A59" s="6" t="s">
        <v>179</v>
      </c>
      <c r="B59" s="28" t="n">
        <v>450</v>
      </c>
      <c r="C59" s="6" t="s">
        <v>180</v>
      </c>
      <c r="D59" s="2"/>
      <c r="E59" s="2"/>
      <c r="F59" s="26" t="s">
        <v>86</v>
      </c>
    </row>
    <row r="60" customFormat="false" ht="15" hidden="false" customHeight="false" outlineLevel="0" collapsed="false">
      <c r="A60" s="6" t="s">
        <v>181</v>
      </c>
      <c r="B60" s="28" t="n">
        <v>3000</v>
      </c>
      <c r="C60" s="6" t="s">
        <v>182</v>
      </c>
      <c r="D60" s="2"/>
      <c r="E60" s="2"/>
      <c r="F60" s="26" t="s">
        <v>117</v>
      </c>
    </row>
    <row r="61" customFormat="false" ht="15" hidden="false" customHeight="false" outlineLevel="0" collapsed="false">
      <c r="A61" s="14" t="s">
        <v>183</v>
      </c>
      <c r="B61" s="14" t="s">
        <v>140</v>
      </c>
      <c r="C61" s="14" t="s">
        <v>141</v>
      </c>
      <c r="D61" s="14"/>
      <c r="E61" s="14" t="s">
        <v>184</v>
      </c>
      <c r="F61" s="2"/>
    </row>
    <row r="62" customFormat="false" ht="15" hidden="false" customHeight="false" outlineLevel="0" collapsed="false">
      <c r="A62" s="6" t="s">
        <v>185</v>
      </c>
      <c r="B62" s="28" t="n">
        <v>1800</v>
      </c>
      <c r="C62" s="35" t="n">
        <v>1</v>
      </c>
      <c r="D62" s="2"/>
      <c r="E62" s="19" t="n">
        <f aca="false">B62*C62*12</f>
        <v>21600</v>
      </c>
      <c r="F62" s="2"/>
    </row>
    <row r="63" customFormat="false" ht="15" hidden="false" customHeight="false" outlineLevel="0" collapsed="false">
      <c r="A63" s="6" t="s">
        <v>186</v>
      </c>
      <c r="B63" s="28" t="n">
        <v>900</v>
      </c>
      <c r="C63" s="35" t="n">
        <v>1</v>
      </c>
      <c r="D63" s="2"/>
      <c r="E63" s="19" t="n">
        <f aca="false">B63*C63*12</f>
        <v>10800</v>
      </c>
      <c r="F63" s="2"/>
    </row>
    <row r="64" customFormat="false" ht="15" hidden="false" customHeight="false" outlineLevel="0" collapsed="false">
      <c r="A64" s="6" t="s">
        <v>187</v>
      </c>
      <c r="B64" s="28" t="n">
        <v>1500</v>
      </c>
      <c r="C64" s="35" t="n">
        <v>1</v>
      </c>
      <c r="D64" s="2"/>
      <c r="E64" s="19" t="n">
        <f aca="false">B64*C64*12</f>
        <v>18000</v>
      </c>
      <c r="F64" s="2"/>
    </row>
    <row r="65" customFormat="false" ht="15" hidden="false" customHeight="false" outlineLevel="0" collapsed="false">
      <c r="A65" s="6" t="s">
        <v>188</v>
      </c>
      <c r="B65" s="28" t="n">
        <v>4500</v>
      </c>
      <c r="C65" s="35" t="n">
        <v>0.5</v>
      </c>
      <c r="D65" s="2"/>
      <c r="E65" s="19" t="n">
        <f aca="false">B65*C65*12</f>
        <v>27000</v>
      </c>
      <c r="F65" s="2"/>
    </row>
    <row r="66" customFormat="false" ht="15" hidden="false" customHeight="false" outlineLevel="0" collapsed="false">
      <c r="A66" s="6" t="s">
        <v>189</v>
      </c>
      <c r="B66" s="28" t="n">
        <v>4500</v>
      </c>
      <c r="C66" s="35" t="n">
        <v>0.25</v>
      </c>
      <c r="D66" s="2"/>
      <c r="E66" s="19" t="n">
        <f aca="false">B66*C66*12</f>
        <v>13500</v>
      </c>
      <c r="F66" s="2"/>
    </row>
    <row r="67" customFormat="false" ht="15" hidden="false" customHeight="false" outlineLevel="0" collapsed="false">
      <c r="A67" s="14" t="s">
        <v>190</v>
      </c>
      <c r="B67" s="2"/>
      <c r="C67" s="2"/>
      <c r="D67" s="2"/>
      <c r="E67" s="34" t="n">
        <f aca="false">SUM(E62:E66)</f>
        <v>90900</v>
      </c>
      <c r="F67" s="2"/>
    </row>
    <row r="68" customFormat="false" ht="15" hidden="false" customHeight="false" outlineLevel="0" collapsed="false">
      <c r="A68" s="6" t="s">
        <v>191</v>
      </c>
      <c r="B68" s="20" t="n">
        <v>0.12</v>
      </c>
      <c r="C68" s="6" t="s">
        <v>192</v>
      </c>
      <c r="D68" s="2"/>
      <c r="E68" s="2"/>
      <c r="F68" s="26" t="s">
        <v>193</v>
      </c>
    </row>
    <row r="69" customFormat="false" ht="15" hidden="false" customHeight="false" outlineLevel="0" collapsed="false">
      <c r="A69" s="6" t="s">
        <v>194</v>
      </c>
      <c r="B69" s="25" t="n">
        <v>4</v>
      </c>
      <c r="C69" s="6" t="s">
        <v>91</v>
      </c>
      <c r="D69" s="2"/>
      <c r="E69" s="2"/>
      <c r="F69" s="26" t="s">
        <v>86</v>
      </c>
    </row>
    <row r="70" customFormat="false" ht="15" hidden="false" customHeight="false" outlineLevel="0" collapsed="false">
      <c r="A70" s="6" t="s">
        <v>195</v>
      </c>
      <c r="B70" s="27" t="n">
        <v>300</v>
      </c>
      <c r="C70" s="6" t="s">
        <v>91</v>
      </c>
      <c r="D70" s="2"/>
      <c r="E70" s="2"/>
      <c r="F70" s="26"/>
    </row>
    <row r="71" customFormat="false" ht="15" hidden="false" customHeight="false" outlineLevel="0" collapsed="false">
      <c r="A71" s="6" t="s">
        <v>196</v>
      </c>
      <c r="B71" s="36" t="n">
        <v>0.3</v>
      </c>
      <c r="C71" s="6" t="s">
        <v>197</v>
      </c>
      <c r="D71" s="2"/>
      <c r="E71" s="2"/>
      <c r="F71" s="26" t="s">
        <v>117</v>
      </c>
    </row>
    <row r="72" customFormat="false" ht="15" hidden="false" customHeight="false" outlineLevel="0" collapsed="false">
      <c r="A72" s="6" t="s">
        <v>198</v>
      </c>
      <c r="B72" s="20" t="n">
        <v>0.03</v>
      </c>
      <c r="C72" s="6" t="s">
        <v>102</v>
      </c>
      <c r="D72" s="2"/>
      <c r="E72" s="2"/>
      <c r="F72" s="26"/>
    </row>
    <row r="73" customFormat="false" ht="15" hidden="false" customHeight="false" outlineLevel="0" collapsed="false">
      <c r="A73" s="6" t="s">
        <v>199</v>
      </c>
      <c r="B73" s="31" t="n">
        <v>1</v>
      </c>
      <c r="C73" s="6" t="s">
        <v>136</v>
      </c>
      <c r="D73" s="2"/>
      <c r="E73" s="2"/>
      <c r="F73" s="26" t="s">
        <v>163</v>
      </c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</row>
    <row r="75" customFormat="false" ht="15" hidden="false" customHeight="false" outlineLevel="0" collapsed="false">
      <c r="A75" s="23" t="s">
        <v>200</v>
      </c>
      <c r="B75" s="24"/>
      <c r="C75" s="24"/>
      <c r="D75" s="24"/>
      <c r="E75" s="24"/>
      <c r="F75" s="24"/>
    </row>
    <row r="76" customFormat="false" ht="15" hidden="false" customHeight="false" outlineLevel="0" collapsed="false">
      <c r="A76" s="6" t="s">
        <v>201</v>
      </c>
      <c r="B76" s="27" t="n">
        <v>25</v>
      </c>
      <c r="C76" s="6" t="s">
        <v>202</v>
      </c>
      <c r="D76" s="2"/>
      <c r="E76" s="2"/>
      <c r="F76" s="26" t="s">
        <v>203</v>
      </c>
    </row>
    <row r="77" customFormat="false" ht="15" hidden="false" customHeight="false" outlineLevel="0" collapsed="false">
      <c r="A77" s="6" t="s">
        <v>204</v>
      </c>
      <c r="B77" s="27" t="n">
        <v>2400</v>
      </c>
      <c r="C77" s="6" t="s">
        <v>205</v>
      </c>
      <c r="D77" s="2"/>
      <c r="E77" s="2"/>
      <c r="F77" s="26" t="s">
        <v>206</v>
      </c>
    </row>
    <row r="78" customFormat="false" ht="15" hidden="false" customHeight="false" outlineLevel="0" collapsed="false">
      <c r="A78" s="6" t="s">
        <v>207</v>
      </c>
      <c r="B78" s="27" t="n">
        <v>60</v>
      </c>
      <c r="C78" s="6" t="s">
        <v>208</v>
      </c>
      <c r="D78" s="2"/>
      <c r="E78" s="2"/>
      <c r="F78" s="26" t="s">
        <v>86</v>
      </c>
    </row>
    <row r="79" customFormat="false" ht="15" hidden="false" customHeight="false" outlineLevel="0" collapsed="false">
      <c r="A79" s="6" t="s">
        <v>209</v>
      </c>
      <c r="B79" s="37" t="n">
        <v>0.85</v>
      </c>
      <c r="C79" s="6" t="s">
        <v>210</v>
      </c>
      <c r="D79" s="2"/>
      <c r="E79" s="2"/>
      <c r="F79" s="26" t="s">
        <v>211</v>
      </c>
    </row>
    <row r="80" customFormat="false" ht="15" hidden="false" customHeight="false" outlineLevel="0" collapsed="false">
      <c r="A80" s="6" t="s">
        <v>212</v>
      </c>
      <c r="B80" s="30" t="n">
        <v>0.12</v>
      </c>
      <c r="C80" s="6" t="s">
        <v>102</v>
      </c>
      <c r="D80" s="2"/>
      <c r="E80" s="2"/>
      <c r="F80" s="26" t="s">
        <v>213</v>
      </c>
    </row>
    <row r="81" customFormat="false" ht="15" hidden="false" customHeight="false" outlineLevel="0" collapsed="false">
      <c r="A81" s="6" t="s">
        <v>214</v>
      </c>
      <c r="B81" s="20" t="n">
        <v>0.05</v>
      </c>
      <c r="C81" s="6" t="s">
        <v>102</v>
      </c>
      <c r="D81" s="2"/>
      <c r="E81" s="2"/>
      <c r="F81" s="26" t="s">
        <v>86</v>
      </c>
    </row>
    <row r="82" customFormat="false" ht="15" hidden="false" customHeight="false" outlineLevel="0" collapsed="false">
      <c r="A82" s="6" t="s">
        <v>215</v>
      </c>
      <c r="B82" s="25" t="n">
        <v>50000</v>
      </c>
      <c r="C82" s="6" t="s">
        <v>216</v>
      </c>
      <c r="D82" s="2"/>
      <c r="E82" s="2"/>
      <c r="F82" s="26" t="s">
        <v>217</v>
      </c>
    </row>
    <row r="83" customFormat="false" ht="15" hidden="false" customHeight="false" outlineLevel="0" collapsed="false">
      <c r="A83" s="6" t="s">
        <v>218</v>
      </c>
      <c r="B83" s="30" t="n">
        <v>0.03</v>
      </c>
      <c r="C83" s="6" t="s">
        <v>219</v>
      </c>
      <c r="D83" s="2"/>
      <c r="E83" s="2"/>
      <c r="F83" s="26" t="s">
        <v>220</v>
      </c>
    </row>
    <row r="84" customFormat="false" ht="15" hidden="false" customHeight="false" outlineLevel="0" collapsed="false">
      <c r="A84" s="6" t="s">
        <v>221</v>
      </c>
      <c r="B84" s="38" t="n">
        <v>1.2</v>
      </c>
      <c r="C84" s="6" t="s">
        <v>222</v>
      </c>
      <c r="D84" s="2"/>
      <c r="E84" s="2"/>
      <c r="F84" s="26" t="s">
        <v>223</v>
      </c>
    </row>
    <row r="85" customFormat="false" ht="15" hidden="false" customHeight="false" outlineLevel="0" collapsed="false">
      <c r="A85" s="6" t="s">
        <v>224</v>
      </c>
      <c r="B85" s="20" t="n">
        <v>0.85</v>
      </c>
      <c r="C85" s="6" t="s">
        <v>102</v>
      </c>
      <c r="D85" s="2"/>
      <c r="E85" s="2"/>
      <c r="F85" s="26" t="s">
        <v>225</v>
      </c>
    </row>
    <row r="86" customFormat="false" ht="15" hidden="false" customHeight="false" outlineLevel="0" collapsed="false">
      <c r="A86" s="6" t="s">
        <v>226</v>
      </c>
      <c r="B86" s="29" t="n">
        <v>3500</v>
      </c>
      <c r="C86" s="6" t="s">
        <v>227</v>
      </c>
      <c r="D86" s="2"/>
      <c r="E86" s="2"/>
      <c r="F86" s="26" t="s">
        <v>228</v>
      </c>
    </row>
    <row r="87" customFormat="false" ht="15" hidden="false" customHeight="false" outlineLevel="0" collapsed="false">
      <c r="A87" s="6" t="s">
        <v>229</v>
      </c>
      <c r="B87" s="30" t="n">
        <v>0.4</v>
      </c>
      <c r="C87" s="6" t="s">
        <v>230</v>
      </c>
      <c r="D87" s="2"/>
      <c r="E87" s="2"/>
      <c r="F87" s="26" t="s">
        <v>231</v>
      </c>
    </row>
    <row r="88" customFormat="false" ht="15" hidden="false" customHeight="false" outlineLevel="0" collapsed="false">
      <c r="A88" s="6" t="s">
        <v>232</v>
      </c>
      <c r="B88" s="20" t="n">
        <v>0.1</v>
      </c>
      <c r="C88" s="6" t="s">
        <v>233</v>
      </c>
      <c r="D88" s="2"/>
      <c r="E88" s="2"/>
      <c r="F88" s="26" t="s">
        <v>234</v>
      </c>
    </row>
    <row r="89" customFormat="false" ht="15" hidden="false" customHeight="false" outlineLevel="0" collapsed="false">
      <c r="A89" s="6" t="s">
        <v>235</v>
      </c>
      <c r="B89" s="28" t="n">
        <v>35</v>
      </c>
      <c r="C89" s="6" t="s">
        <v>236</v>
      </c>
      <c r="D89" s="2"/>
      <c r="E89" s="2"/>
      <c r="F89" s="26" t="s">
        <v>237</v>
      </c>
    </row>
    <row r="90" customFormat="false" ht="15" hidden="false" customHeight="false" outlineLevel="0" collapsed="false">
      <c r="A90" s="6" t="s">
        <v>238</v>
      </c>
      <c r="B90" s="36" t="n">
        <v>2.5</v>
      </c>
      <c r="C90" s="6" t="s">
        <v>239</v>
      </c>
      <c r="D90" s="2"/>
      <c r="E90" s="2"/>
      <c r="F90" s="26" t="s">
        <v>86</v>
      </c>
    </row>
    <row r="91" customFormat="false" ht="15" hidden="false" customHeight="false" outlineLevel="0" collapsed="false">
      <c r="A91" s="6" t="s">
        <v>240</v>
      </c>
      <c r="B91" s="20" t="n">
        <v>0.03</v>
      </c>
      <c r="C91" s="6" t="s">
        <v>241</v>
      </c>
      <c r="D91" s="2"/>
      <c r="E91" s="2"/>
      <c r="F91" s="26" t="s">
        <v>242</v>
      </c>
    </row>
    <row r="92" customFormat="false" ht="15" hidden="false" customHeight="false" outlineLevel="0" collapsed="false">
      <c r="A92" s="6" t="s">
        <v>243</v>
      </c>
      <c r="B92" s="28" t="n">
        <v>1250</v>
      </c>
      <c r="C92" s="6" t="s">
        <v>244</v>
      </c>
      <c r="D92" s="2"/>
      <c r="E92" s="2"/>
      <c r="F92" s="26" t="s">
        <v>86</v>
      </c>
    </row>
    <row r="93" customFormat="false" ht="15" hidden="false" customHeight="false" outlineLevel="0" collapsed="false">
      <c r="A93" s="6" t="s">
        <v>245</v>
      </c>
      <c r="B93" s="28" t="n">
        <v>12000</v>
      </c>
      <c r="C93" s="6" t="s">
        <v>166</v>
      </c>
      <c r="D93" s="2"/>
      <c r="E93" s="2"/>
      <c r="F93" s="26" t="s">
        <v>246</v>
      </c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</row>
    <row r="95" customFormat="false" ht="15" hidden="false" customHeight="false" outlineLevel="0" collapsed="false">
      <c r="A95" s="23" t="s">
        <v>247</v>
      </c>
      <c r="B95" s="24"/>
      <c r="C95" s="24"/>
      <c r="D95" s="24"/>
      <c r="E95" s="24"/>
      <c r="F95" s="24"/>
    </row>
    <row r="96" customFormat="false" ht="15" hidden="false" customHeight="false" outlineLevel="0" collapsed="false">
      <c r="A96" s="6" t="s">
        <v>248</v>
      </c>
      <c r="B96" s="30" t="n">
        <v>0.18</v>
      </c>
      <c r="C96" s="6" t="s">
        <v>102</v>
      </c>
      <c r="D96" s="2"/>
      <c r="E96" s="2"/>
      <c r="F96" s="26" t="s">
        <v>249</v>
      </c>
    </row>
    <row r="97" customFormat="false" ht="22.35" hidden="false" customHeight="false" outlineLevel="0" collapsed="false">
      <c r="A97" s="6" t="s">
        <v>250</v>
      </c>
      <c r="B97" s="27" t="n">
        <v>5</v>
      </c>
      <c r="C97" s="6" t="s">
        <v>251</v>
      </c>
      <c r="D97" s="2"/>
      <c r="E97" s="2"/>
      <c r="F97" s="26" t="s">
        <v>252</v>
      </c>
    </row>
    <row r="98" customFormat="false" ht="15" hidden="false" customHeight="false" outlineLevel="0" collapsed="false">
      <c r="A98" s="6" t="s">
        <v>253</v>
      </c>
      <c r="B98" s="20" t="n">
        <v>0.25</v>
      </c>
      <c r="C98" s="6" t="s">
        <v>102</v>
      </c>
      <c r="D98" s="2"/>
      <c r="E98" s="2"/>
      <c r="F98" s="26" t="s">
        <v>254</v>
      </c>
    </row>
    <row r="99" customFormat="false" ht="15" hidden="false" customHeight="false" outlineLevel="0" collapsed="false">
      <c r="A99" s="6" t="s">
        <v>255</v>
      </c>
      <c r="B99" s="20" t="n">
        <v>0.1</v>
      </c>
      <c r="C99" s="6" t="s">
        <v>102</v>
      </c>
      <c r="D99" s="2"/>
      <c r="E99" s="2"/>
      <c r="F99" s="26" t="s">
        <v>256</v>
      </c>
    </row>
    <row r="100" customFormat="false" ht="15" hidden="false" customHeight="false" outlineLevel="0" collapsed="false">
      <c r="A100" s="6" t="s">
        <v>257</v>
      </c>
      <c r="B100" s="20" t="n">
        <v>0.1</v>
      </c>
      <c r="C100" s="6" t="s">
        <v>102</v>
      </c>
      <c r="D100" s="2"/>
      <c r="E100" s="2"/>
      <c r="F100" s="26" t="s">
        <v>258</v>
      </c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</row>
    <row r="102" customFormat="false" ht="15" hidden="false" customHeight="false" outlineLevel="0" collapsed="false">
      <c r="A102" s="23" t="s">
        <v>259</v>
      </c>
      <c r="B102" s="24"/>
      <c r="C102" s="24"/>
      <c r="D102" s="24"/>
      <c r="E102" s="24"/>
      <c r="F102" s="24"/>
    </row>
    <row r="103" customFormat="false" ht="15" hidden="false" customHeight="false" outlineLevel="0" collapsed="false">
      <c r="A103" s="6" t="s">
        <v>260</v>
      </c>
      <c r="B103" s="31" t="n">
        <v>1</v>
      </c>
      <c r="C103" s="6" t="s">
        <v>136</v>
      </c>
      <c r="D103" s="2"/>
      <c r="E103" s="2"/>
      <c r="F103" s="26" t="s">
        <v>163</v>
      </c>
    </row>
    <row r="104" customFormat="false" ht="15" hidden="false" customHeight="false" outlineLevel="0" collapsed="false">
      <c r="A104" s="6" t="s">
        <v>261</v>
      </c>
      <c r="B104" s="30" t="n">
        <v>0.25</v>
      </c>
      <c r="C104" s="6" t="s">
        <v>102</v>
      </c>
      <c r="D104" s="2"/>
      <c r="E104" s="2"/>
      <c r="F104" s="26" t="s">
        <v>262</v>
      </c>
    </row>
    <row r="105" customFormat="false" ht="15" hidden="false" customHeight="false" outlineLevel="0" collapsed="false">
      <c r="A105" s="6" t="s">
        <v>263</v>
      </c>
      <c r="B105" s="30" t="n">
        <v>0.3</v>
      </c>
      <c r="C105" s="6" t="s">
        <v>102</v>
      </c>
      <c r="D105" s="2"/>
      <c r="E105" s="2"/>
      <c r="F105" s="26"/>
    </row>
    <row r="106" customFormat="false" ht="15" hidden="false" customHeight="false" outlineLevel="0" collapsed="false">
      <c r="A106" s="6" t="s">
        <v>264</v>
      </c>
      <c r="B106" s="29" t="n">
        <v>240</v>
      </c>
      <c r="C106" s="6" t="s">
        <v>265</v>
      </c>
      <c r="D106" s="2"/>
      <c r="E106" s="2"/>
      <c r="F106" s="26" t="s">
        <v>266</v>
      </c>
    </row>
    <row r="107" customFormat="false" ht="15" hidden="false" customHeight="false" outlineLevel="0" collapsed="false">
      <c r="A107" s="6" t="s">
        <v>267</v>
      </c>
      <c r="B107" s="29" t="n">
        <v>120</v>
      </c>
      <c r="C107" s="6" t="s">
        <v>265</v>
      </c>
      <c r="D107" s="2"/>
      <c r="E107" s="2"/>
      <c r="F107" s="26"/>
    </row>
    <row r="108" customFormat="false" ht="15" hidden="false" customHeight="false" outlineLevel="0" collapsed="false">
      <c r="A108" s="6" t="s">
        <v>268</v>
      </c>
      <c r="B108" s="29" t="n">
        <v>4000</v>
      </c>
      <c r="C108" s="6" t="s">
        <v>265</v>
      </c>
      <c r="D108" s="2"/>
      <c r="E108" s="2"/>
      <c r="F108" s="26"/>
    </row>
    <row r="109" customFormat="false" ht="15" hidden="false" customHeight="false" outlineLevel="0" collapsed="false">
      <c r="A109" s="6" t="s">
        <v>269</v>
      </c>
      <c r="B109" s="29" t="n">
        <v>3000</v>
      </c>
      <c r="C109" s="6" t="s">
        <v>265</v>
      </c>
      <c r="D109" s="2"/>
      <c r="E109" s="2"/>
      <c r="F109" s="26"/>
    </row>
    <row r="110" customFormat="false" ht="15" hidden="false" customHeight="false" outlineLevel="0" collapsed="false">
      <c r="A110" s="6" t="s">
        <v>270</v>
      </c>
      <c r="B110" s="20" t="n">
        <v>0.15</v>
      </c>
      <c r="C110" s="6" t="s">
        <v>271</v>
      </c>
      <c r="D110" s="2"/>
      <c r="E110" s="2"/>
      <c r="F110" s="26" t="s">
        <v>272</v>
      </c>
    </row>
    <row r="111" customFormat="false" ht="15" hidden="false" customHeight="false" outlineLevel="0" collapsed="false">
      <c r="A111" s="6" t="s">
        <v>273</v>
      </c>
      <c r="B111" s="20" t="n">
        <v>0</v>
      </c>
      <c r="C111" s="6" t="s">
        <v>102</v>
      </c>
      <c r="D111" s="2"/>
      <c r="E111" s="2"/>
      <c r="F111" s="26" t="s">
        <v>274</v>
      </c>
    </row>
    <row r="112" customFormat="false" ht="15" hidden="false" customHeight="false" outlineLevel="0" collapsed="false">
      <c r="A112" s="6" t="s">
        <v>275</v>
      </c>
      <c r="B112" s="20" t="n">
        <v>0.05</v>
      </c>
      <c r="C112" s="6" t="s">
        <v>102</v>
      </c>
      <c r="D112" s="2"/>
      <c r="E112" s="2"/>
      <c r="F112" s="26"/>
    </row>
    <row r="113" customFormat="false" ht="15" hidden="false" customHeight="false" outlineLevel="0" collapsed="false">
      <c r="A113" s="6" t="s">
        <v>276</v>
      </c>
      <c r="B113" s="30" t="n">
        <v>0.2</v>
      </c>
      <c r="C113" s="6" t="s">
        <v>102</v>
      </c>
      <c r="D113" s="2"/>
      <c r="E113" s="2"/>
      <c r="F113" s="26" t="s">
        <v>277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278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279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51</v>
      </c>
      <c r="B4" s="5" t="s">
        <v>52</v>
      </c>
      <c r="C4" s="5" t="s">
        <v>53</v>
      </c>
      <c r="D4" s="5" t="s">
        <v>54</v>
      </c>
      <c r="E4" s="5" t="s">
        <v>4</v>
      </c>
    </row>
    <row r="5" customFormat="false" ht="15" hidden="false" customHeight="false" outlineLevel="0" collapsed="false">
      <c r="A5" s="2"/>
      <c r="B5" s="2"/>
      <c r="C5" s="2"/>
      <c r="D5" s="2"/>
      <c r="E5" s="2"/>
    </row>
    <row r="6" customFormat="false" ht="15" hidden="false" customHeight="false" outlineLevel="0" collapsed="false">
      <c r="A6" s="23" t="s">
        <v>280</v>
      </c>
      <c r="B6" s="24"/>
      <c r="C6" s="24"/>
      <c r="D6" s="24"/>
      <c r="E6" s="24"/>
    </row>
    <row r="7" customFormat="false" ht="15" hidden="false" customHeight="false" outlineLevel="0" collapsed="false">
      <c r="A7" s="6" t="s">
        <v>56</v>
      </c>
      <c r="B7" s="7" t="n">
        <f aca="false">Inputs!$B$7*Inputs!$B$9</f>
        <v>16</v>
      </c>
      <c r="C7" s="2"/>
      <c r="D7" s="33"/>
      <c r="E7" s="8"/>
    </row>
    <row r="8" customFormat="false" ht="15" hidden="false" customHeight="false" outlineLevel="0" collapsed="false">
      <c r="A8" s="6" t="s">
        <v>281</v>
      </c>
      <c r="B8" s="7" t="n">
        <f aca="false">Inputs!$B$7*Inputs!$B$10</f>
        <v>24</v>
      </c>
      <c r="C8" s="2"/>
      <c r="D8" s="33"/>
      <c r="E8" s="8"/>
    </row>
    <row r="9" customFormat="false" ht="15" hidden="false" customHeight="false" outlineLevel="0" collapsed="false">
      <c r="A9" s="6" t="s">
        <v>282</v>
      </c>
      <c r="B9" s="7" t="n">
        <f aca="false">Inputs!$B$7+1</f>
        <v>9</v>
      </c>
      <c r="C9" s="2"/>
      <c r="D9" s="33"/>
      <c r="E9" s="8"/>
    </row>
    <row r="10" customFormat="false" ht="15" hidden="false" customHeight="false" outlineLevel="0" collapsed="false">
      <c r="A10" s="6" t="s">
        <v>59</v>
      </c>
      <c r="B10" s="18" t="n">
        <f aca="false">ROUND(Inputs!$B$7*Inputs!$B$12,0)</f>
        <v>5</v>
      </c>
      <c r="C10" s="2"/>
      <c r="D10" s="33"/>
      <c r="E10" s="8"/>
    </row>
    <row r="11" customFormat="false" ht="15" hidden="false" customHeight="false" outlineLevel="0" collapsed="false">
      <c r="A11" s="6" t="s">
        <v>283</v>
      </c>
      <c r="B11" s="18" t="n">
        <f aca="false">IF(Inputs!$B$7&gt;Inputs!$B$13,2,1)</f>
        <v>2</v>
      </c>
      <c r="C11" s="2"/>
      <c r="D11" s="33"/>
      <c r="E11" s="8"/>
    </row>
    <row r="12" customFormat="false" ht="15" hidden="false" customHeight="false" outlineLevel="0" collapsed="false">
      <c r="A12" s="6" t="s">
        <v>284</v>
      </c>
      <c r="B12" s="18" t="n">
        <f aca="false">Costs!$B$7+Costs!$B$8+Costs!$B$9</f>
        <v>49</v>
      </c>
      <c r="C12" s="2"/>
      <c r="D12" s="33"/>
      <c r="E12" s="8"/>
    </row>
    <row r="13" customFormat="false" ht="15" hidden="false" customHeight="false" outlineLevel="0" collapsed="false">
      <c r="A13" s="6" t="s">
        <v>66</v>
      </c>
      <c r="B13" s="7" t="n">
        <f aca="false">Inputs!$B$7+Inputs!$B$11</f>
        <v>10</v>
      </c>
      <c r="C13" s="2"/>
      <c r="D13" s="33"/>
      <c r="E13" s="8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23" t="s">
        <v>285</v>
      </c>
      <c r="B15" s="24"/>
      <c r="C15" s="24"/>
      <c r="D15" s="24"/>
      <c r="E15" s="24"/>
    </row>
    <row r="16" customFormat="false" ht="15" hidden="false" customHeight="false" outlineLevel="0" collapsed="false">
      <c r="A16" s="6" t="s">
        <v>286</v>
      </c>
      <c r="B16" s="18" t="n">
        <f aca="false">Costs!$B$7</f>
        <v>16</v>
      </c>
      <c r="C16" s="9" t="n">
        <f aca="false">Inputs!$B$16</f>
        <v>450</v>
      </c>
      <c r="D16" s="33" t="n">
        <f aca="false">B16*C16</f>
        <v>7200</v>
      </c>
      <c r="E16" s="8"/>
    </row>
    <row r="17" customFormat="false" ht="15" hidden="false" customHeight="false" outlineLevel="0" collapsed="false">
      <c r="A17" s="6" t="s">
        <v>287</v>
      </c>
      <c r="B17" s="18" t="n">
        <f aca="false">Costs!$B$7</f>
        <v>16</v>
      </c>
      <c r="C17" s="9" t="n">
        <f aca="false">Inputs!$B$17</f>
        <v>400</v>
      </c>
      <c r="D17" s="33" t="n">
        <f aca="false">B17*C17</f>
        <v>6400</v>
      </c>
      <c r="E17" s="8"/>
    </row>
    <row r="18" customFormat="false" ht="15" hidden="false" customHeight="false" outlineLevel="0" collapsed="false">
      <c r="A18" s="6" t="s">
        <v>288</v>
      </c>
      <c r="B18" s="18" t="n">
        <f aca="false">Costs!$B$9</f>
        <v>9</v>
      </c>
      <c r="C18" s="9" t="n">
        <f aca="false">Inputs!$B$18</f>
        <v>3500</v>
      </c>
      <c r="D18" s="33" t="n">
        <f aca="false">B18*C18</f>
        <v>31500</v>
      </c>
      <c r="E18" s="8"/>
    </row>
    <row r="19" customFormat="false" ht="15" hidden="false" customHeight="false" outlineLevel="0" collapsed="false">
      <c r="A19" s="6" t="s">
        <v>289</v>
      </c>
      <c r="B19" s="18" t="n">
        <f aca="false">Costs!$B$9*Inputs!$B$19</f>
        <v>135</v>
      </c>
      <c r="C19" s="9" t="n">
        <f aca="false">Inputs!$B$20</f>
        <v>10</v>
      </c>
      <c r="D19" s="33" t="n">
        <f aca="false">B19*C19</f>
        <v>1350</v>
      </c>
      <c r="E19" s="8"/>
    </row>
    <row r="20" customFormat="false" ht="15" hidden="false" customHeight="false" outlineLevel="0" collapsed="false">
      <c r="A20" s="6" t="s">
        <v>290</v>
      </c>
      <c r="B20" s="18" t="n">
        <f aca="false">Costs!$B$8</f>
        <v>24</v>
      </c>
      <c r="C20" s="9" t="n">
        <f aca="false">Inputs!$B$21</f>
        <v>250</v>
      </c>
      <c r="D20" s="33" t="n">
        <f aca="false">B20*C20</f>
        <v>6000</v>
      </c>
      <c r="E20" s="8"/>
    </row>
    <row r="21" customFormat="false" ht="15" hidden="false" customHeight="false" outlineLevel="0" collapsed="false">
      <c r="A21" s="6" t="s">
        <v>291</v>
      </c>
      <c r="B21" s="18" t="n">
        <f aca="false">Costs!$B$8</f>
        <v>24</v>
      </c>
      <c r="C21" s="9" t="n">
        <f aca="false">Inputs!$B$22</f>
        <v>600</v>
      </c>
      <c r="D21" s="33" t="n">
        <f aca="false">B21*C21</f>
        <v>14400</v>
      </c>
      <c r="E21" s="8"/>
    </row>
    <row r="22" customFormat="false" ht="15" hidden="false" customHeight="false" outlineLevel="0" collapsed="false">
      <c r="A22" s="6" t="s">
        <v>63</v>
      </c>
      <c r="B22" s="18" t="n">
        <v>1</v>
      </c>
      <c r="C22" s="9" t="n">
        <f aca="false">Inputs!$B$23</f>
        <v>8000</v>
      </c>
      <c r="D22" s="33" t="n">
        <f aca="false">B22*C22</f>
        <v>8000</v>
      </c>
      <c r="E22" s="8"/>
    </row>
    <row r="23" customFormat="false" ht="15" hidden="false" customHeight="false" outlineLevel="0" collapsed="false">
      <c r="A23" s="6" t="s">
        <v>64</v>
      </c>
      <c r="B23" s="18" t="n">
        <f aca="false">Costs!$B$10</f>
        <v>5</v>
      </c>
      <c r="C23" s="9" t="n">
        <f aca="false">Inputs!$B$24</f>
        <v>4500</v>
      </c>
      <c r="D23" s="33" t="n">
        <f aca="false">B23*C23</f>
        <v>22500</v>
      </c>
      <c r="E23" s="8"/>
    </row>
    <row r="24" customFormat="false" ht="15" hidden="false" customHeight="false" outlineLevel="0" collapsed="false">
      <c r="A24" s="6" t="s">
        <v>283</v>
      </c>
      <c r="B24" s="18" t="n">
        <f aca="false">Costs!$B$11</f>
        <v>2</v>
      </c>
      <c r="C24" s="9" t="n">
        <f aca="false">Inputs!$B$25</f>
        <v>15000</v>
      </c>
      <c r="D24" s="33" t="n">
        <f aca="false">B24*C24</f>
        <v>30000</v>
      </c>
      <c r="E24" s="8"/>
    </row>
    <row r="25" customFormat="false" ht="15" hidden="false" customHeight="false" outlineLevel="0" collapsed="false">
      <c r="A25" s="6" t="s">
        <v>66</v>
      </c>
      <c r="B25" s="18" t="n">
        <f aca="false">Costs!$B$13</f>
        <v>10</v>
      </c>
      <c r="C25" s="9" t="n">
        <f aca="false">Inputs!$B$26</f>
        <v>400</v>
      </c>
      <c r="D25" s="33" t="n">
        <f aca="false">B25*C25</f>
        <v>4000</v>
      </c>
      <c r="E25" s="8"/>
    </row>
    <row r="26" customFormat="false" ht="15" hidden="false" customHeight="false" outlineLevel="0" collapsed="false">
      <c r="A26" s="6" t="s">
        <v>67</v>
      </c>
      <c r="B26" s="18" t="n">
        <v>1</v>
      </c>
      <c r="C26" s="9" t="n">
        <f aca="false">Inputs!$B$27</f>
        <v>5000</v>
      </c>
      <c r="D26" s="33" t="n">
        <f aca="false">B26*C26</f>
        <v>5000</v>
      </c>
      <c r="E26" s="8"/>
    </row>
    <row r="27" customFormat="false" ht="15" hidden="false" customHeight="false" outlineLevel="0" collapsed="false">
      <c r="A27" s="6" t="s">
        <v>292</v>
      </c>
      <c r="B27" s="2"/>
      <c r="C27" s="2"/>
      <c r="D27" s="33" t="n">
        <f aca="false">SUM(D16:D26)</f>
        <v>136350</v>
      </c>
      <c r="E27" s="8"/>
    </row>
    <row r="28" customFormat="false" ht="15" hidden="false" customHeight="false" outlineLevel="0" collapsed="false">
      <c r="A28" s="6" t="s">
        <v>293</v>
      </c>
      <c r="B28" s="2"/>
      <c r="C28" s="2"/>
      <c r="D28" s="33" t="n">
        <f aca="false">Costs!$D$27*Inputs!$B$30*(1+Inputs!$B$28)</f>
        <v>184072.5</v>
      </c>
      <c r="E28" s="8"/>
    </row>
    <row r="29" customFormat="false" ht="15" hidden="false" customHeight="false" outlineLevel="0" collapsed="false">
      <c r="A29" s="6" t="s">
        <v>294</v>
      </c>
      <c r="B29" s="18" t="n">
        <f aca="false">2*Costs!$B$7+2*Costs!$B$8+Costs!$B$9+Costs!$B$10</f>
        <v>94</v>
      </c>
      <c r="C29" s="9" t="n">
        <f aca="false">Inputs!$B$29</f>
        <v>80</v>
      </c>
      <c r="D29" s="33" t="n">
        <f aca="false">B29*C29</f>
        <v>7520</v>
      </c>
      <c r="E29" s="8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23" t="s">
        <v>295</v>
      </c>
      <c r="B31" s="24"/>
      <c r="C31" s="24"/>
      <c r="D31" s="24"/>
      <c r="E31" s="24"/>
    </row>
    <row r="32" customFormat="false" ht="15" hidden="false" customHeight="false" outlineLevel="0" collapsed="false">
      <c r="A32" s="6" t="s">
        <v>296</v>
      </c>
      <c r="B32" s="2"/>
      <c r="C32" s="2"/>
      <c r="D32" s="33" t="n">
        <f aca="false">Inputs!$E$44*Inputs!$B$50</f>
        <v>235800</v>
      </c>
      <c r="E32" s="8"/>
    </row>
    <row r="33" customFormat="false" ht="15" hidden="false" customHeight="false" outlineLevel="0" collapsed="false">
      <c r="A33" s="6" t="s">
        <v>297</v>
      </c>
      <c r="B33" s="7" t="n">
        <f aca="false">Inputs!$B$7</f>
        <v>8</v>
      </c>
      <c r="C33" s="9" t="n">
        <f aca="false">Inputs!$B$46</f>
        <v>7000</v>
      </c>
      <c r="D33" s="33" t="n">
        <f aca="false">B33*C33*Inputs!$B$50</f>
        <v>56000</v>
      </c>
      <c r="E33" s="8"/>
    </row>
    <row r="34" customFormat="false" ht="15" hidden="false" customHeight="false" outlineLevel="0" collapsed="false">
      <c r="A34" s="6" t="s">
        <v>298</v>
      </c>
      <c r="B34" s="7" t="n">
        <f aca="false">Inputs!$B$7</f>
        <v>8</v>
      </c>
      <c r="C34" s="9" t="n">
        <f aca="false">Inputs!$B$47</f>
        <v>2500</v>
      </c>
      <c r="D34" s="33" t="n">
        <f aca="false">B34*C34*Inputs!$B$50</f>
        <v>20000</v>
      </c>
      <c r="E34" s="8"/>
    </row>
    <row r="35" customFormat="false" ht="15" hidden="false" customHeight="false" outlineLevel="0" collapsed="false">
      <c r="A35" s="6" t="s">
        <v>299</v>
      </c>
      <c r="B35" s="7" t="n">
        <f aca="false">Inputs!$B$7</f>
        <v>8</v>
      </c>
      <c r="C35" s="9" t="n">
        <f aca="false">Inputs!$B$48</f>
        <v>1500</v>
      </c>
      <c r="D35" s="33" t="n">
        <f aca="false">B35*C35*Inputs!$B$50</f>
        <v>12000</v>
      </c>
      <c r="E35" s="8"/>
    </row>
    <row r="36" customFormat="false" ht="15" hidden="false" customHeight="false" outlineLevel="0" collapsed="false">
      <c r="A36" s="6" t="s">
        <v>300</v>
      </c>
      <c r="B36" s="2"/>
      <c r="C36" s="2"/>
      <c r="D36" s="33" t="n">
        <f aca="false">Costs!$D$28+Costs!$D$29+Costs!$D$32+Costs!$D$33+Costs!$D$34+Costs!$D$35</f>
        <v>515392.5</v>
      </c>
      <c r="E36" s="8"/>
    </row>
    <row r="37" customFormat="false" ht="15" hidden="false" customHeight="false" outlineLevel="0" collapsed="false">
      <c r="A37" s="6" t="s">
        <v>76</v>
      </c>
      <c r="B37" s="2"/>
      <c r="C37" s="2"/>
      <c r="D37" s="33" t="n">
        <f aca="false">Costs!$D$36*Inputs!$B$49</f>
        <v>51539.25</v>
      </c>
      <c r="E37" s="8"/>
    </row>
    <row r="38" customFormat="false" ht="15" hidden="false" customHeight="false" outlineLevel="0" collapsed="false">
      <c r="A38" s="14" t="s">
        <v>301</v>
      </c>
      <c r="B38" s="2"/>
      <c r="C38" s="2"/>
      <c r="D38" s="21" t="n">
        <f aca="false">Costs!$D$36+Costs!$D$37</f>
        <v>566931.75</v>
      </c>
      <c r="E38" s="8"/>
    </row>
    <row r="39" customFormat="false" ht="15" hidden="false" customHeight="false" outlineLevel="0" collapsed="false">
      <c r="A39" s="2"/>
      <c r="B39" s="2"/>
      <c r="C39" s="2"/>
      <c r="D39" s="2"/>
      <c r="E39" s="2"/>
    </row>
    <row r="40" customFormat="false" ht="15" hidden="false" customHeight="false" outlineLevel="0" collapsed="false">
      <c r="A40" s="23" t="s">
        <v>302</v>
      </c>
      <c r="B40" s="24"/>
      <c r="C40" s="24"/>
      <c r="D40" s="24"/>
      <c r="E40" s="24"/>
    </row>
    <row r="41" customFormat="false" ht="15" hidden="false" customHeight="false" outlineLevel="0" collapsed="false">
      <c r="A41" s="6" t="s">
        <v>303</v>
      </c>
      <c r="B41" s="2"/>
      <c r="C41" s="2"/>
      <c r="D41" s="33" t="n">
        <f aca="false">Inputs!$B$53</f>
        <v>9000</v>
      </c>
      <c r="E41" s="8"/>
    </row>
    <row r="42" customFormat="false" ht="15" hidden="false" customHeight="false" outlineLevel="0" collapsed="false">
      <c r="A42" s="6" t="s">
        <v>304</v>
      </c>
      <c r="B42" s="18" t="n">
        <f aca="false">Costs!$B$12</f>
        <v>49</v>
      </c>
      <c r="C42" s="9" t="n">
        <f aca="false">Inputs!$B$54</f>
        <v>30</v>
      </c>
      <c r="D42" s="33" t="n">
        <f aca="false">B42*C42</f>
        <v>1470</v>
      </c>
      <c r="E42" s="8"/>
    </row>
    <row r="43" customFormat="false" ht="15" hidden="false" customHeight="false" outlineLevel="0" collapsed="false">
      <c r="A43" s="6" t="s">
        <v>305</v>
      </c>
      <c r="B43" s="18" t="n">
        <f aca="false">Costs!$B$12*12</f>
        <v>588</v>
      </c>
      <c r="C43" s="9" t="n">
        <f aca="false">Inputs!$B$55</f>
        <v>6</v>
      </c>
      <c r="D43" s="33" t="n">
        <f aca="false">B43*C43</f>
        <v>3528</v>
      </c>
      <c r="E43" s="8"/>
    </row>
    <row r="44" customFormat="false" ht="15" hidden="false" customHeight="false" outlineLevel="0" collapsed="false">
      <c r="A44" s="6" t="s">
        <v>306</v>
      </c>
      <c r="B44" s="18" t="n">
        <f aca="false">Costs!$B$10*12</f>
        <v>60</v>
      </c>
      <c r="C44" s="9" t="n">
        <f aca="false">Inputs!$B$56</f>
        <v>150</v>
      </c>
      <c r="D44" s="33" t="n">
        <f aca="false">B44*C44</f>
        <v>9000</v>
      </c>
      <c r="E44" s="8"/>
    </row>
    <row r="45" customFormat="false" ht="15" hidden="false" customHeight="false" outlineLevel="0" collapsed="false">
      <c r="A45" s="6" t="s">
        <v>307</v>
      </c>
      <c r="B45" s="2"/>
      <c r="C45" s="2"/>
      <c r="D45" s="33" t="n">
        <f aca="false">Inputs!$B$57</f>
        <v>6700</v>
      </c>
      <c r="E45" s="8"/>
    </row>
    <row r="46" customFormat="false" ht="15" hidden="false" customHeight="false" outlineLevel="0" collapsed="false">
      <c r="A46" s="6" t="s">
        <v>308</v>
      </c>
      <c r="B46" s="7" t="n">
        <f aca="false">Inputs!$B$7*Inputs!$B$58</f>
        <v>208</v>
      </c>
      <c r="C46" s="9" t="n">
        <f aca="false">Inputs!$B$59</f>
        <v>450</v>
      </c>
      <c r="D46" s="33" t="n">
        <f aca="false">B46*C46</f>
        <v>93600</v>
      </c>
      <c r="E46" s="8"/>
    </row>
    <row r="47" customFormat="false" ht="15" hidden="false" customHeight="false" outlineLevel="0" collapsed="false">
      <c r="A47" s="6" t="s">
        <v>309</v>
      </c>
      <c r="B47" s="7" t="n">
        <f aca="false">Inputs!$B$7</f>
        <v>8</v>
      </c>
      <c r="C47" s="9" t="n">
        <f aca="false">Inputs!$B$60</f>
        <v>3000</v>
      </c>
      <c r="D47" s="33" t="n">
        <f aca="false">B47*C47</f>
        <v>24000</v>
      </c>
      <c r="E47" s="8"/>
    </row>
    <row r="48" customFormat="false" ht="15" hidden="false" customHeight="false" outlineLevel="0" collapsed="false">
      <c r="A48" s="6" t="s">
        <v>183</v>
      </c>
      <c r="B48" s="2"/>
      <c r="C48" s="2"/>
      <c r="D48" s="33" t="n">
        <f aca="false">Inputs!$E$67</f>
        <v>90900</v>
      </c>
      <c r="E48" s="8"/>
    </row>
    <row r="49" customFormat="false" ht="15" hidden="false" customHeight="false" outlineLevel="0" collapsed="false">
      <c r="A49" s="6" t="s">
        <v>191</v>
      </c>
      <c r="B49" s="2"/>
      <c r="C49" s="2"/>
      <c r="D49" s="33" t="n">
        <f aca="false">Costs!$D$28*Inputs!$B$68</f>
        <v>22088.7</v>
      </c>
      <c r="E49" s="8"/>
    </row>
    <row r="50" customFormat="false" ht="15" hidden="false" customHeight="false" outlineLevel="0" collapsed="false">
      <c r="A50" s="6" t="s">
        <v>310</v>
      </c>
      <c r="B50" s="18" t="n">
        <f aca="false">Costs!$B$8*Inputs!$B$69*Inputs!$B$70</f>
        <v>28800</v>
      </c>
      <c r="C50" s="9" t="n">
        <f aca="false">Inputs!$B$71</f>
        <v>0.3</v>
      </c>
      <c r="D50" s="33" t="n">
        <f aca="false">B50*C50</f>
        <v>8640</v>
      </c>
      <c r="E50" s="8"/>
    </row>
    <row r="51" customFormat="false" ht="15" hidden="false" customHeight="false" outlineLevel="0" collapsed="false">
      <c r="A51" s="6" t="s">
        <v>75</v>
      </c>
      <c r="B51" s="2"/>
      <c r="C51" s="2"/>
      <c r="D51" s="33" t="n">
        <f aca="false">SUM(D41:D50)</f>
        <v>268926.7</v>
      </c>
      <c r="E51" s="8"/>
    </row>
    <row r="52" customFormat="false" ht="15" hidden="false" customHeight="false" outlineLevel="0" collapsed="false">
      <c r="A52" s="14" t="s">
        <v>311</v>
      </c>
      <c r="B52" s="2"/>
      <c r="C52" s="2"/>
      <c r="D52" s="21" t="n">
        <f aca="false">Costs!$D$51*Inputs!$B$73*(1+Inputs!$B$72)</f>
        <v>276994.501</v>
      </c>
      <c r="E52" s="8"/>
    </row>
    <row r="53" customFormat="false" ht="15" hidden="false" customHeight="false" outlineLevel="0" collapsed="false">
      <c r="A53" s="6" t="s">
        <v>312</v>
      </c>
      <c r="B53" s="2"/>
      <c r="C53" s="2"/>
      <c r="D53" s="33" t="n">
        <f aca="false">Costs!$D$52/Inputs!$B$7</f>
        <v>34624.312625</v>
      </c>
      <c r="E5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313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4" t="s">
        <v>314</v>
      </c>
      <c r="B3" s="5" t="s">
        <v>315</v>
      </c>
      <c r="C3" s="5" t="s">
        <v>316</v>
      </c>
      <c r="D3" s="5" t="s">
        <v>317</v>
      </c>
    </row>
    <row r="4" customFormat="false" ht="15" hidden="false" customHeight="false" outlineLevel="0" collapsed="false">
      <c r="A4" s="6" t="s">
        <v>318</v>
      </c>
      <c r="B4" s="39" t="n">
        <f aca="false">Costs!$B$7*Inputs!$B$76*Inputs!$B$77</f>
        <v>960000</v>
      </c>
      <c r="C4" s="2"/>
      <c r="D4" s="8" t="s">
        <v>319</v>
      </c>
    </row>
    <row r="5" customFormat="false" ht="15" hidden="false" customHeight="false" outlineLevel="0" collapsed="false">
      <c r="A5" s="6" t="s">
        <v>320</v>
      </c>
      <c r="B5" s="2"/>
      <c r="C5" s="19" t="n">
        <f aca="false">'AAC Benefits'!$B$4*Inputs!$B$80*Inputs!$B$79</f>
        <v>97920</v>
      </c>
      <c r="D5" s="8" t="s">
        <v>321</v>
      </c>
    </row>
    <row r="6" customFormat="false" ht="15" hidden="false" customHeight="false" outlineLevel="0" collapsed="false">
      <c r="A6" s="6" t="s">
        <v>322</v>
      </c>
      <c r="B6" s="39" t="n">
        <f aca="false">Costs!$B$8*Inputs!$B$78*Inputs!$B$70</f>
        <v>432000</v>
      </c>
      <c r="C6" s="2"/>
      <c r="D6" s="8" t="s">
        <v>323</v>
      </c>
    </row>
    <row r="7" customFormat="false" ht="15" hidden="false" customHeight="false" outlineLevel="0" collapsed="false">
      <c r="A7" s="6" t="s">
        <v>324</v>
      </c>
      <c r="B7" s="2"/>
      <c r="C7" s="19" t="n">
        <f aca="false">'AAC Benefits'!$B$6*Inputs!$B$81*Inputs!$B$79</f>
        <v>18360</v>
      </c>
      <c r="D7" s="8" t="s">
        <v>321</v>
      </c>
    </row>
    <row r="8" customFormat="false" ht="15" hidden="false" customHeight="false" outlineLevel="0" collapsed="false">
      <c r="A8" s="6" t="s">
        <v>325</v>
      </c>
      <c r="B8" s="39" t="n">
        <f aca="false">Inputs!$B$7*Inputs!$B$82</f>
        <v>400000</v>
      </c>
      <c r="C8" s="2"/>
      <c r="D8" s="8" t="s">
        <v>326</v>
      </c>
    </row>
    <row r="9" customFormat="false" ht="15" hidden="false" customHeight="false" outlineLevel="0" collapsed="false">
      <c r="A9" s="6" t="s">
        <v>327</v>
      </c>
      <c r="B9" s="40" t="n">
        <f aca="false">'AAC Benefits'!$B$8*Inputs!$B$83*Inputs!$B$84*Inputs!$B$85/31.1035</f>
        <v>393.52484447088</v>
      </c>
      <c r="C9" s="2"/>
      <c r="D9" s="8" t="s">
        <v>328</v>
      </c>
    </row>
    <row r="10" customFormat="false" ht="15" hidden="false" customHeight="false" outlineLevel="0" collapsed="false">
      <c r="A10" s="6" t="s">
        <v>329</v>
      </c>
      <c r="B10" s="2"/>
      <c r="C10" s="19" t="n">
        <f aca="false">'AAC Benefits'!$B$9*Inputs!$B$86*Inputs!$B$87</f>
        <v>550934.782259231</v>
      </c>
      <c r="D10" s="8" t="s">
        <v>330</v>
      </c>
    </row>
    <row r="11" customFormat="false" ht="15" hidden="false" customHeight="false" outlineLevel="0" collapsed="false">
      <c r="A11" s="6" t="s">
        <v>331</v>
      </c>
      <c r="B11" s="2"/>
      <c r="C11" s="19" t="n">
        <f aca="false">Costs!$B$7*Inputs!$B$77*Inputs!$B$88*Inputs!$B$89</f>
        <v>134400</v>
      </c>
      <c r="D11" s="8" t="s">
        <v>332</v>
      </c>
    </row>
    <row r="12" customFormat="false" ht="15" hidden="false" customHeight="false" outlineLevel="0" collapsed="false">
      <c r="A12" s="6" t="s">
        <v>333</v>
      </c>
      <c r="B12" s="2"/>
      <c r="C12" s="19" t="n">
        <f aca="false">'AAC Benefits'!$B$8*Inputs!$B$90*Inputs!$B$91</f>
        <v>30000</v>
      </c>
      <c r="D12" s="8" t="s">
        <v>334</v>
      </c>
    </row>
    <row r="13" customFormat="false" ht="15" hidden="false" customHeight="false" outlineLevel="0" collapsed="false">
      <c r="A13" s="6" t="s">
        <v>335</v>
      </c>
      <c r="B13" s="2"/>
      <c r="C13" s="19" t="n">
        <f aca="false">Costs!$B$7*Inputs!$B$92</f>
        <v>20000</v>
      </c>
      <c r="D13" s="8" t="s">
        <v>336</v>
      </c>
    </row>
    <row r="14" customFormat="false" ht="15" hidden="false" customHeight="false" outlineLevel="0" collapsed="false">
      <c r="A14" s="14" t="s">
        <v>337</v>
      </c>
      <c r="B14" s="2"/>
      <c r="C14" s="21" t="n">
        <f aca="false">SUM(C5:C13)</f>
        <v>851614.782259231</v>
      </c>
      <c r="D14" s="8"/>
    </row>
    <row r="15" customFormat="false" ht="15" hidden="false" customHeight="false" outlineLevel="0" collapsed="false">
      <c r="A15" s="6" t="s">
        <v>338</v>
      </c>
      <c r="B15" s="2"/>
      <c r="C15" s="19" t="n">
        <f aca="false">'AAC Benefits'!$C$5+'AAC Benefits'!$C$7+'AAC Benefits'!$C$10+'AAC Benefits'!$C$12</f>
        <v>697214.782259231</v>
      </c>
      <c r="D15" s="8" t="s">
        <v>339</v>
      </c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3" t="s">
        <v>340</v>
      </c>
      <c r="B17" s="2"/>
      <c r="C17" s="2"/>
      <c r="D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4"/>
    <col collapsed="false" customWidth="true" hidden="false" outlineLevel="0" max="8" min="8" style="0" width="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341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342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343</v>
      </c>
      <c r="B4" s="5" t="s">
        <v>344</v>
      </c>
      <c r="C4" s="5" t="s">
        <v>345</v>
      </c>
      <c r="D4" s="5" t="s">
        <v>346</v>
      </c>
      <c r="E4" s="5" t="s">
        <v>347</v>
      </c>
      <c r="F4" s="5" t="s">
        <v>348</v>
      </c>
      <c r="G4" s="5" t="s">
        <v>349</v>
      </c>
      <c r="H4" s="5"/>
      <c r="I4" s="5" t="s">
        <v>350</v>
      </c>
    </row>
    <row r="5" customFormat="false" ht="15" hidden="false" customHeight="false" outlineLevel="0" collapsed="false">
      <c r="A5" s="6" t="s">
        <v>351</v>
      </c>
      <c r="B5" s="41" t="n">
        <f aca="false">1/(1+Inputs!$B$96)^0</f>
        <v>1</v>
      </c>
      <c r="C5" s="41" t="n">
        <f aca="false">1/(1+Inputs!$B$96)^1</f>
        <v>0.847457627118644</v>
      </c>
      <c r="D5" s="41" t="n">
        <f aca="false">1/(1+Inputs!$B$96)^2</f>
        <v>0.718184429761563</v>
      </c>
      <c r="E5" s="41" t="n">
        <f aca="false">1/(1+Inputs!$B$96)^3</f>
        <v>0.608630872679291</v>
      </c>
      <c r="F5" s="41" t="n">
        <f aca="false">1/(1+Inputs!$B$96)^4</f>
        <v>0.515788875151941</v>
      </c>
      <c r="G5" s="41" t="n">
        <f aca="false">1/(1+Inputs!$B$96)^5</f>
        <v>0.437109216230459</v>
      </c>
      <c r="H5" s="2"/>
      <c r="I5" s="2"/>
    </row>
    <row r="6" customFormat="false" ht="15" hidden="false" customHeight="false" outlineLevel="0" collapsed="false">
      <c r="A6" s="6" t="s">
        <v>352</v>
      </c>
      <c r="B6" s="42" t="n">
        <f aca="false">Inputs!$B$98</f>
        <v>0.25</v>
      </c>
      <c r="C6" s="20" t="n">
        <v>1</v>
      </c>
      <c r="D6" s="20" t="n">
        <v>1</v>
      </c>
      <c r="E6" s="20" t="n">
        <v>1</v>
      </c>
      <c r="F6" s="20" t="n">
        <v>1</v>
      </c>
      <c r="G6" s="20" t="n">
        <v>1</v>
      </c>
      <c r="H6" s="2"/>
      <c r="I6" s="2"/>
    </row>
    <row r="7" customFormat="false" ht="15" hidden="false" customHeight="false" outlineLevel="0" collapsed="false">
      <c r="A7" s="6" t="s">
        <v>353</v>
      </c>
      <c r="B7" s="42" t="n">
        <f aca="false">Inputs!$B$99</f>
        <v>0.1</v>
      </c>
      <c r="C7" s="20" t="n">
        <v>1</v>
      </c>
      <c r="D7" s="20" t="n">
        <v>1</v>
      </c>
      <c r="E7" s="20" t="n">
        <v>1</v>
      </c>
      <c r="F7" s="20" t="n">
        <v>1</v>
      </c>
      <c r="G7" s="20" t="n">
        <v>1</v>
      </c>
      <c r="H7" s="2"/>
      <c r="I7" s="2"/>
    </row>
    <row r="8" customFormat="false" ht="15" hidden="false" customHeight="false" outlineLevel="0" collapsed="false">
      <c r="A8" s="6" t="s">
        <v>354</v>
      </c>
      <c r="B8" s="42" t="n">
        <f aca="false">Inputs!$B$100</f>
        <v>0.1</v>
      </c>
      <c r="C8" s="20" t="n">
        <v>1</v>
      </c>
      <c r="D8" s="20" t="n">
        <v>1</v>
      </c>
      <c r="E8" s="20" t="n">
        <v>1</v>
      </c>
      <c r="F8" s="20" t="n">
        <v>1</v>
      </c>
      <c r="G8" s="20" t="n">
        <v>1</v>
      </c>
      <c r="H8" s="2"/>
      <c r="I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23" t="s">
        <v>355</v>
      </c>
      <c r="B10" s="24"/>
      <c r="C10" s="24"/>
      <c r="D10" s="24"/>
      <c r="E10" s="24"/>
      <c r="F10" s="24"/>
      <c r="G10" s="24"/>
      <c r="H10" s="24"/>
      <c r="I10" s="24"/>
    </row>
    <row r="11" customFormat="false" ht="15" hidden="false" customHeight="false" outlineLevel="0" collapsed="false">
      <c r="A11" s="6" t="s">
        <v>356</v>
      </c>
      <c r="B11" s="33" t="n">
        <f aca="false">Costs!$D$38</f>
        <v>566931.75</v>
      </c>
      <c r="C11" s="33" t="n">
        <v>0</v>
      </c>
      <c r="D11" s="33" t="n">
        <v>0</v>
      </c>
      <c r="E11" s="33" t="n">
        <v>0</v>
      </c>
      <c r="F11" s="33" t="n">
        <v>0</v>
      </c>
      <c r="G11" s="33" t="n">
        <v>0</v>
      </c>
      <c r="H11" s="2"/>
      <c r="I11" s="33" t="n">
        <f aca="false">SUMPRODUCT(B11:G11,B5:G5)</f>
        <v>566931.75</v>
      </c>
    </row>
    <row r="12" customFormat="false" ht="15" hidden="false" customHeight="false" outlineLevel="0" collapsed="false">
      <c r="A12" s="6" t="s">
        <v>357</v>
      </c>
      <c r="B12" s="33" t="n">
        <f aca="false">Costs!$D$52*B6</f>
        <v>69248.62525</v>
      </c>
      <c r="C12" s="33" t="n">
        <f aca="false">Costs!$D$52*C6</f>
        <v>276994.501</v>
      </c>
      <c r="D12" s="33" t="n">
        <f aca="false">Costs!$D$52*D6</f>
        <v>276994.501</v>
      </c>
      <c r="E12" s="33" t="n">
        <f aca="false">Costs!$D$52*E6</f>
        <v>276994.501</v>
      </c>
      <c r="F12" s="33" t="n">
        <f aca="false">Costs!$D$52*F6</f>
        <v>276994.501</v>
      </c>
      <c r="G12" s="33" t="n">
        <f aca="false">Costs!$D$52*G6</f>
        <v>276994.501</v>
      </c>
      <c r="H12" s="2"/>
      <c r="I12" s="33" t="n">
        <f aca="false">SUMPRODUCT(B12:G12,B5:G5)</f>
        <v>935457.801737462</v>
      </c>
    </row>
    <row r="13" customFormat="false" ht="15" hidden="false" customHeight="false" outlineLevel="0" collapsed="false">
      <c r="A13" s="14" t="s">
        <v>358</v>
      </c>
      <c r="B13" s="34" t="n">
        <f aca="false">B11+B12</f>
        <v>636180.37525</v>
      </c>
      <c r="C13" s="34" t="n">
        <f aca="false">C11+C12</f>
        <v>276994.501</v>
      </c>
      <c r="D13" s="34" t="n">
        <f aca="false">D11+D12</f>
        <v>276994.501</v>
      </c>
      <c r="E13" s="34" t="n">
        <f aca="false">E11+E12</f>
        <v>276994.501</v>
      </c>
      <c r="F13" s="34" t="n">
        <f aca="false">F11+F12</f>
        <v>276994.501</v>
      </c>
      <c r="G13" s="34" t="n">
        <f aca="false">G11+G12</f>
        <v>276994.501</v>
      </c>
      <c r="H13" s="2"/>
      <c r="I13" s="34" t="n">
        <f aca="false">SUMPRODUCT(B13:G13,B5:G5)</f>
        <v>1502389.55173746</v>
      </c>
    </row>
    <row r="14" customFormat="false" ht="15" hidden="false" customHeight="false" outlineLevel="0" collapsed="false">
      <c r="A14" s="6" t="s">
        <v>359</v>
      </c>
      <c r="B14" s="33" t="n">
        <f aca="false">'AAC Benefits'!$C$14*B7</f>
        <v>85161.4782259231</v>
      </c>
      <c r="C14" s="33" t="n">
        <f aca="false">'AAC Benefits'!$C$14*C7</f>
        <v>851614.782259231</v>
      </c>
      <c r="D14" s="33" t="n">
        <f aca="false">'AAC Benefits'!$C$14*D7</f>
        <v>851614.782259231</v>
      </c>
      <c r="E14" s="33" t="n">
        <f aca="false">'AAC Benefits'!$C$14*E7</f>
        <v>851614.782259231</v>
      </c>
      <c r="F14" s="33" t="n">
        <f aca="false">'AAC Benefits'!$C$14*F7</f>
        <v>851614.782259231</v>
      </c>
      <c r="G14" s="33" t="n">
        <f aca="false">'AAC Benefits'!$C$14*G7</f>
        <v>851614.782259231</v>
      </c>
      <c r="H14" s="2"/>
      <c r="I14" s="33" t="n">
        <f aca="false">SUMPRODUCT(B14:G14,B5:G5)</f>
        <v>2748306.54631274</v>
      </c>
    </row>
    <row r="15" customFormat="false" ht="15" hidden="false" customHeight="false" outlineLevel="0" collapsed="false">
      <c r="A15" s="6" t="s">
        <v>360</v>
      </c>
      <c r="B15" s="33" t="n">
        <f aca="false">'AAC Benefits'!$C$15*B7</f>
        <v>69721.4782259231</v>
      </c>
      <c r="C15" s="33" t="n">
        <f aca="false">'AAC Benefits'!$C$15*C7</f>
        <v>697214.782259231</v>
      </c>
      <c r="D15" s="33" t="n">
        <f aca="false">'AAC Benefits'!$C$15*D7</f>
        <v>697214.782259231</v>
      </c>
      <c r="E15" s="33" t="n">
        <f aca="false">'AAC Benefits'!$C$15*E7</f>
        <v>697214.782259231</v>
      </c>
      <c r="F15" s="33" t="n">
        <f aca="false">'AAC Benefits'!$C$15*F7</f>
        <v>697214.782259231</v>
      </c>
      <c r="G15" s="33" t="n">
        <f aca="false">'AAC Benefits'!$C$15*G7</f>
        <v>697214.782259231</v>
      </c>
      <c r="H15" s="2"/>
      <c r="I15" s="33" t="n">
        <f aca="false">SUMPRODUCT(B15:G15,B5:G5)</f>
        <v>2250031.34067931</v>
      </c>
    </row>
    <row r="16" customFormat="false" ht="15" hidden="false" customHeight="false" outlineLevel="0" collapsed="false">
      <c r="A16" s="6" t="s">
        <v>361</v>
      </c>
      <c r="B16" s="33" t="n">
        <f aca="false">Inputs!$B$93</f>
        <v>12000</v>
      </c>
      <c r="C16" s="33" t="n">
        <f aca="false">Inputs!$B$93</f>
        <v>12000</v>
      </c>
      <c r="D16" s="33" t="n">
        <f aca="false">Inputs!$B$93</f>
        <v>12000</v>
      </c>
      <c r="E16" s="33" t="n">
        <f aca="false">Inputs!$B$93</f>
        <v>12000</v>
      </c>
      <c r="F16" s="33" t="n">
        <f aca="false">Inputs!$B$93</f>
        <v>12000</v>
      </c>
      <c r="G16" s="33" t="n">
        <f aca="false">Inputs!$B$93</f>
        <v>12000</v>
      </c>
      <c r="H16" s="2"/>
      <c r="I16" s="33" t="n">
        <f aca="false">SUMPRODUCT(B16:G16,B5:G5)</f>
        <v>49526.0522513028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3" t="s">
        <v>362</v>
      </c>
      <c r="B18" s="24"/>
      <c r="C18" s="24"/>
      <c r="D18" s="24"/>
      <c r="E18" s="24"/>
      <c r="F18" s="24"/>
      <c r="G18" s="24"/>
      <c r="H18" s="24"/>
      <c r="I18" s="24"/>
    </row>
    <row r="19" customFormat="false" ht="15" hidden="false" customHeight="false" outlineLevel="0" collapsed="false">
      <c r="A19" s="6" t="s">
        <v>363</v>
      </c>
      <c r="B19" s="33" t="n">
        <f aca="false">Costs!$D$38*(1+Inputs!$B$104*Inputs!$B$103)</f>
        <v>708664.6875</v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0</v>
      </c>
      <c r="H19" s="2"/>
      <c r="I19" s="33" t="n">
        <f aca="false">SUMPRODUCT(B19:G19,B5:G5)</f>
        <v>708664.6875</v>
      </c>
    </row>
    <row r="20" customFormat="false" ht="15" hidden="false" customHeight="false" outlineLevel="0" collapsed="false">
      <c r="A20" s="6" t="s">
        <v>364</v>
      </c>
      <c r="B20" s="33" t="n">
        <f aca="false">Costs!$D$52*(1+Inputs!$B$105*Inputs!$B$103)*B6</f>
        <v>90023.212825</v>
      </c>
      <c r="C20" s="33" t="n">
        <f aca="false">Costs!$D$52*(1+Inputs!$B$105*Inputs!$B$103)*C6</f>
        <v>360092.8513</v>
      </c>
      <c r="D20" s="33" t="n">
        <f aca="false">Costs!$D$52*(1+Inputs!$B$105*Inputs!$B$103)*D6</f>
        <v>360092.8513</v>
      </c>
      <c r="E20" s="33" t="n">
        <f aca="false">Costs!$D$52*(1+Inputs!$B$105*Inputs!$B$103)*E6</f>
        <v>360092.8513</v>
      </c>
      <c r="F20" s="33" t="n">
        <f aca="false">Costs!$D$52*(1+Inputs!$B$105*Inputs!$B$103)*F6</f>
        <v>360092.8513</v>
      </c>
      <c r="G20" s="33" t="n">
        <f aca="false">Costs!$D$52*(1+Inputs!$B$105*Inputs!$B$103)*G6</f>
        <v>360092.8513</v>
      </c>
      <c r="H20" s="2"/>
      <c r="I20" s="33" t="n">
        <f aca="false">SUMPRODUCT(B20:G20,B5:G5)</f>
        <v>1216095.1422587</v>
      </c>
    </row>
    <row r="21" customFormat="false" ht="15" hidden="false" customHeight="false" outlineLevel="0" collapsed="false">
      <c r="A21" s="14" t="s">
        <v>365</v>
      </c>
      <c r="B21" s="34" t="n">
        <f aca="false">B19+B20</f>
        <v>798687.900325</v>
      </c>
      <c r="C21" s="34" t="n">
        <f aca="false">C19+C20</f>
        <v>360092.8513</v>
      </c>
      <c r="D21" s="34" t="n">
        <f aca="false">D19+D20</f>
        <v>360092.8513</v>
      </c>
      <c r="E21" s="34" t="n">
        <f aca="false">E19+E20</f>
        <v>360092.8513</v>
      </c>
      <c r="F21" s="34" t="n">
        <f aca="false">F19+F20</f>
        <v>360092.8513</v>
      </c>
      <c r="G21" s="34" t="n">
        <f aca="false">G19+G20</f>
        <v>360092.8513</v>
      </c>
      <c r="H21" s="2"/>
      <c r="I21" s="34" t="n">
        <f aca="false">SUMPRODUCT(B21:G21,B5:G5)</f>
        <v>1924759.8297587</v>
      </c>
    </row>
    <row r="22" customFormat="false" ht="15" hidden="false" customHeight="false" outlineLevel="0" collapsed="false">
      <c r="A22" s="14" t="s">
        <v>366</v>
      </c>
      <c r="B22" s="34" t="n">
        <f aca="false">B21-B13</f>
        <v>162507.525075</v>
      </c>
      <c r="C22" s="34" t="n">
        <f aca="false">C21-C13</f>
        <v>83098.3503000001</v>
      </c>
      <c r="D22" s="34" t="n">
        <f aca="false">D21-D13</f>
        <v>83098.3503000001</v>
      </c>
      <c r="E22" s="34" t="n">
        <f aca="false">E21-E13</f>
        <v>83098.3503000001</v>
      </c>
      <c r="F22" s="34" t="n">
        <f aca="false">F21-F13</f>
        <v>83098.3503000001</v>
      </c>
      <c r="G22" s="34" t="n">
        <f aca="false">G21-G13</f>
        <v>83098.3503000001</v>
      </c>
      <c r="H22" s="2"/>
      <c r="I22" s="34" t="n">
        <f aca="false">SUMPRODUCT(B22:G22,B5:G5)</f>
        <v>422370.278021239</v>
      </c>
    </row>
    <row r="23" customFormat="false" ht="15" hidden="false" customHeight="false" outlineLevel="0" collapsed="false">
      <c r="A23" s="6" t="s">
        <v>367</v>
      </c>
      <c r="B23" s="33" t="n">
        <f aca="false">B22</f>
        <v>162507.525075</v>
      </c>
      <c r="C23" s="33" t="n">
        <f aca="false">B23+C22</f>
        <v>245605.875375</v>
      </c>
      <c r="D23" s="33" t="n">
        <f aca="false">C23+D22</f>
        <v>328704.225675</v>
      </c>
      <c r="E23" s="33" t="n">
        <f aca="false">D23+E22</f>
        <v>411802.575975</v>
      </c>
      <c r="F23" s="33" t="n">
        <f aca="false">E23+F22</f>
        <v>494900.926275</v>
      </c>
      <c r="G23" s="33" t="n">
        <f aca="false">F23+G22</f>
        <v>577999.276575</v>
      </c>
      <c r="H23" s="2"/>
      <c r="I23" s="2"/>
    </row>
    <row r="24" customFormat="false" ht="15" hidden="false" customHeight="false" outlineLevel="0" collapsed="false">
      <c r="A24" s="14" t="s">
        <v>368</v>
      </c>
      <c r="B24" s="34" t="n">
        <f aca="false">B14-B21-B16</f>
        <v>-725526.422099077</v>
      </c>
      <c r="C24" s="34" t="n">
        <f aca="false">C14-C21-C16</f>
        <v>479521.930959231</v>
      </c>
      <c r="D24" s="34" t="n">
        <f aca="false">D14-D21-D16</f>
        <v>479521.930959231</v>
      </c>
      <c r="E24" s="34" t="n">
        <f aca="false">E14-E21-E16</f>
        <v>479521.930959231</v>
      </c>
      <c r="F24" s="34" t="n">
        <f aca="false">F14-F21-F16</f>
        <v>479521.930959231</v>
      </c>
      <c r="G24" s="34" t="n">
        <f aca="false">G14-G21-G16</f>
        <v>479521.930959231</v>
      </c>
      <c r="H24" s="2"/>
      <c r="I24" s="34" t="n">
        <f aca="false">SUMPRODUCT(B24:G24,B5:G5)</f>
        <v>774020.664302732</v>
      </c>
    </row>
    <row r="25" customFormat="false" ht="15" hidden="false" customHeight="false" outlineLevel="0" collapsed="false">
      <c r="A25" s="6" t="s">
        <v>369</v>
      </c>
      <c r="B25" s="33" t="n">
        <f aca="false">B24</f>
        <v>-725526.422099077</v>
      </c>
      <c r="C25" s="33" t="n">
        <f aca="false">B25+C24</f>
        <v>-246004.491139846</v>
      </c>
      <c r="D25" s="33" t="n">
        <f aca="false">C25+D24</f>
        <v>233517.439819386</v>
      </c>
      <c r="E25" s="33" t="n">
        <f aca="false">D25+E24</f>
        <v>713039.370778617</v>
      </c>
      <c r="F25" s="33" t="n">
        <f aca="false">E25+F24</f>
        <v>1192561.30173785</v>
      </c>
      <c r="G25" s="33" t="n">
        <f aca="false">F25+G24</f>
        <v>1672083.23269708</v>
      </c>
      <c r="H25" s="2"/>
      <c r="I25" s="2"/>
    </row>
    <row r="26" customFormat="false" ht="15" hidden="false" customHeight="false" outlineLevel="0" collapsed="false">
      <c r="A26" s="6" t="s">
        <v>20</v>
      </c>
      <c r="B26" s="2"/>
      <c r="C26" s="2"/>
      <c r="D26" s="2"/>
      <c r="E26" s="2"/>
      <c r="F26" s="2"/>
      <c r="G26" s="2"/>
      <c r="H26" s="2"/>
      <c r="I26" s="34" t="n">
        <f aca="false">SUM(B21:G21)</f>
        <v>2599152.156825</v>
      </c>
    </row>
    <row r="27" customFormat="false" ht="15" hidden="false" customHeight="false" outlineLevel="0" collapsed="false">
      <c r="A27" s="6" t="s">
        <v>23</v>
      </c>
      <c r="B27" s="2"/>
      <c r="C27" s="2"/>
      <c r="D27" s="2"/>
      <c r="E27" s="2"/>
      <c r="F27" s="2"/>
      <c r="G27" s="2"/>
      <c r="H27" s="2"/>
      <c r="I27" s="43" t="n">
        <f aca="false">IFERROR(SUM(B22:G22)/SUM(B21:G21),0)</f>
        <v>0.222379930723662</v>
      </c>
    </row>
    <row r="28" customFormat="false" ht="15" hidden="false" customHeight="false" outlineLevel="0" collapsed="false">
      <c r="A28" s="6" t="s">
        <v>24</v>
      </c>
      <c r="B28" s="2"/>
      <c r="C28" s="2"/>
      <c r="D28" s="2"/>
      <c r="E28" s="2"/>
      <c r="F28" s="2"/>
      <c r="G28" s="2"/>
      <c r="H28" s="2"/>
      <c r="I28" s="43" t="str">
        <f aca="false">IFERROR(IRR(B22:G22),"n/a - costs recovered upfront")</f>
        <v>n/a - costs recovered upfront</v>
      </c>
    </row>
    <row r="29" customFormat="false" ht="15" hidden="false" customHeight="false" outlineLevel="0" collapsed="false">
      <c r="A29" s="6" t="s">
        <v>26</v>
      </c>
      <c r="B29" s="2"/>
      <c r="C29" s="2"/>
      <c r="D29" s="2"/>
      <c r="E29" s="2"/>
      <c r="F29" s="2"/>
      <c r="G29" s="2"/>
      <c r="H29" s="2"/>
      <c r="I29" s="44" t="str">
        <f aca="false">IF(COUNTIF(B23:G23,"&lt;0")&gt;5,"Beyond Year 5",IF(COUNTIF(B23:G23,"&lt;0")=0,"Year 0","Year "&amp;COUNTIF(B23:G23,"&lt;0")))</f>
        <v>Year 0</v>
      </c>
    </row>
    <row r="30" customFormat="false" ht="15" hidden="false" customHeight="false" outlineLevel="0" collapsed="false">
      <c r="A30" s="6" t="s">
        <v>31</v>
      </c>
      <c r="B30" s="2"/>
      <c r="C30" s="2"/>
      <c r="D30" s="2"/>
      <c r="E30" s="2"/>
      <c r="F30" s="2"/>
      <c r="G30" s="2"/>
      <c r="H30" s="2"/>
      <c r="I30" s="44" t="str">
        <f aca="false">IF(COUNTIF(B25:G25,"&lt;0")&gt;5,"Beyond Year 5",IF(COUNTIF(B25:G25,"&lt;0")=0,"Year 0","Year "&amp;COUNTIF(B25:G25,"&lt;0")))</f>
        <v>Year 2</v>
      </c>
    </row>
    <row r="31" customFormat="false" ht="15" hidden="false" customHeight="false" outlineLevel="0" collapsed="false">
      <c r="A31" s="6" t="s">
        <v>370</v>
      </c>
      <c r="B31" s="2"/>
      <c r="C31" s="2"/>
      <c r="D31" s="2"/>
      <c r="E31" s="2"/>
      <c r="F31" s="2"/>
      <c r="G31" s="2"/>
      <c r="H31" s="2"/>
      <c r="I31" s="45" t="n">
        <f aca="false">IFERROR(I24/I21,0)</f>
        <v>0.402138829133694</v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3" t="s">
        <v>371</v>
      </c>
      <c r="B33" s="24"/>
      <c r="C33" s="24"/>
      <c r="D33" s="24"/>
      <c r="E33" s="24"/>
      <c r="F33" s="24"/>
      <c r="G33" s="24"/>
      <c r="H33" s="24"/>
      <c r="I33" s="24"/>
    </row>
    <row r="34" customFormat="false" ht="15" hidden="false" customHeight="false" outlineLevel="0" collapsed="false">
      <c r="A34" s="6" t="s">
        <v>372</v>
      </c>
      <c r="B34" s="33" t="n">
        <f aca="false">Costs!$D$38*Inputs!$B$110</f>
        <v>85039.7625</v>
      </c>
      <c r="C34" s="33" t="n">
        <v>0</v>
      </c>
      <c r="D34" s="33" t="n">
        <v>0</v>
      </c>
      <c r="E34" s="33" t="n">
        <v>0</v>
      </c>
      <c r="F34" s="33" t="n">
        <v>0</v>
      </c>
      <c r="G34" s="33" t="n">
        <v>0</v>
      </c>
      <c r="H34" s="2"/>
      <c r="I34" s="33" t="n">
        <f aca="false">SUMPRODUCT(B34:G34,B5:G5)</f>
        <v>85039.7625</v>
      </c>
    </row>
    <row r="35" customFormat="false" ht="15" hidden="false" customHeight="false" outlineLevel="0" collapsed="false">
      <c r="A35" s="6" t="s">
        <v>373</v>
      </c>
      <c r="B35" s="33" t="n">
        <f aca="false">(Costs!$B$7*Inputs!$B$106+Costs!$B$8*Inputs!$B$107+Inputs!$B$7*Inputs!$B$108+Inputs!$B$109)*12*Inputs!$B$103*B8</f>
        <v>50064</v>
      </c>
      <c r="C35" s="33" t="n">
        <f aca="false">(Costs!$B$7*Inputs!$B$106+Costs!$B$8*Inputs!$B$107+Inputs!$B$7*Inputs!$B$108+Inputs!$B$109)*12*Inputs!$B$103*C8</f>
        <v>500640</v>
      </c>
      <c r="D35" s="33" t="n">
        <f aca="false">(Costs!$B$7*Inputs!$B$106+Costs!$B$8*Inputs!$B$107+Inputs!$B$7*Inputs!$B$108+Inputs!$B$109)*12*Inputs!$B$103*D8</f>
        <v>500640</v>
      </c>
      <c r="E35" s="33" t="n">
        <f aca="false">(Costs!$B$7*Inputs!$B$106+Costs!$B$8*Inputs!$B$107+Inputs!$B$7*Inputs!$B$108+Inputs!$B$109)*12*Inputs!$B$103*E8</f>
        <v>500640</v>
      </c>
      <c r="F35" s="33" t="n">
        <f aca="false">(Costs!$B$7*Inputs!$B$106+Costs!$B$8*Inputs!$B$107+Inputs!$B$7*Inputs!$B$108+Inputs!$B$109)*12*Inputs!$B$103*F8</f>
        <v>500640</v>
      </c>
      <c r="G35" s="33" t="n">
        <f aca="false">(Costs!$B$7*Inputs!$B$106+Costs!$B$8*Inputs!$B$107+Inputs!$B$7*Inputs!$B$108+Inputs!$B$109)*12*Inputs!$B$103*G8</f>
        <v>500640</v>
      </c>
      <c r="H35" s="2"/>
      <c r="I35" s="33" t="n">
        <f aca="false">SUMPRODUCT(B35:G35,B5:G5)</f>
        <v>1615650.89992435</v>
      </c>
    </row>
    <row r="36" customFormat="false" ht="15" hidden="false" customHeight="false" outlineLevel="0" collapsed="false">
      <c r="A36" s="14" t="s">
        <v>365</v>
      </c>
      <c r="B36" s="34" t="n">
        <f aca="false">B34+B35</f>
        <v>135103.7625</v>
      </c>
      <c r="C36" s="34" t="n">
        <f aca="false">C34+C35</f>
        <v>500640</v>
      </c>
      <c r="D36" s="34" t="n">
        <f aca="false">D34+D35</f>
        <v>500640</v>
      </c>
      <c r="E36" s="34" t="n">
        <f aca="false">E34+E35</f>
        <v>500640</v>
      </c>
      <c r="F36" s="34" t="n">
        <f aca="false">F34+F35</f>
        <v>500640</v>
      </c>
      <c r="G36" s="34" t="n">
        <f aca="false">G34+G35</f>
        <v>500640</v>
      </c>
      <c r="H36" s="2"/>
      <c r="I36" s="34" t="n">
        <f aca="false">SUMPRODUCT(B36:G36,B5:G5)</f>
        <v>1700690.66242435</v>
      </c>
    </row>
    <row r="37" customFormat="false" ht="15" hidden="false" customHeight="false" outlineLevel="0" collapsed="false">
      <c r="A37" s="14" t="s">
        <v>366</v>
      </c>
      <c r="B37" s="34" t="n">
        <f aca="false">B36-B13</f>
        <v>-501076.61275</v>
      </c>
      <c r="C37" s="34" t="n">
        <f aca="false">C36-C13</f>
        <v>223645.499</v>
      </c>
      <c r="D37" s="34" t="n">
        <f aca="false">D36-D13</f>
        <v>223645.499</v>
      </c>
      <c r="E37" s="34" t="n">
        <f aca="false">E36-E13</f>
        <v>223645.499</v>
      </c>
      <c r="F37" s="34" t="n">
        <f aca="false">F36-F13</f>
        <v>223645.499</v>
      </c>
      <c r="G37" s="34" t="n">
        <f aca="false">G36-G13</f>
        <v>223645.499</v>
      </c>
      <c r="H37" s="2"/>
      <c r="I37" s="34" t="n">
        <f aca="false">SUMPRODUCT(B37:G37,B5:G5)</f>
        <v>198301.11068689</v>
      </c>
    </row>
    <row r="38" customFormat="false" ht="15" hidden="false" customHeight="false" outlineLevel="0" collapsed="false">
      <c r="A38" s="6" t="s">
        <v>367</v>
      </c>
      <c r="B38" s="33" t="n">
        <f aca="false">B37</f>
        <v>-501076.61275</v>
      </c>
      <c r="C38" s="33" t="n">
        <f aca="false">B38+C37</f>
        <v>-277431.11375</v>
      </c>
      <c r="D38" s="33" t="n">
        <f aca="false">C38+D37</f>
        <v>-53785.6147500001</v>
      </c>
      <c r="E38" s="33" t="n">
        <f aca="false">D38+E37</f>
        <v>169859.88425</v>
      </c>
      <c r="F38" s="33" t="n">
        <f aca="false">E38+F37</f>
        <v>393505.38325</v>
      </c>
      <c r="G38" s="33" t="n">
        <f aca="false">F38+G37</f>
        <v>617150.88225</v>
      </c>
      <c r="H38" s="2"/>
      <c r="I38" s="2"/>
    </row>
    <row r="39" customFormat="false" ht="15" hidden="false" customHeight="false" outlineLevel="0" collapsed="false">
      <c r="A39" s="14" t="s">
        <v>368</v>
      </c>
      <c r="B39" s="34" t="n">
        <f aca="false">B14-B36-B16</f>
        <v>-61942.2842740769</v>
      </c>
      <c r="C39" s="34" t="n">
        <f aca="false">C14-C36-C16</f>
        <v>338974.782259231</v>
      </c>
      <c r="D39" s="34" t="n">
        <f aca="false">D14-D36-D16</f>
        <v>338974.782259231</v>
      </c>
      <c r="E39" s="34" t="n">
        <f aca="false">E14-E36-E16</f>
        <v>338974.782259231</v>
      </c>
      <c r="F39" s="34" t="n">
        <f aca="false">F14-F36-F16</f>
        <v>338974.782259231</v>
      </c>
      <c r="G39" s="34" t="n">
        <f aca="false">G14-G36-G16</f>
        <v>338974.782259231</v>
      </c>
      <c r="H39" s="2"/>
      <c r="I39" s="34" t="n">
        <f aca="false">SUMPRODUCT(B39:G39,B5:G5)</f>
        <v>998089.831637081</v>
      </c>
    </row>
    <row r="40" customFormat="false" ht="15" hidden="false" customHeight="false" outlineLevel="0" collapsed="false">
      <c r="A40" s="6" t="s">
        <v>369</v>
      </c>
      <c r="B40" s="33" t="n">
        <f aca="false">B39</f>
        <v>-61942.2842740769</v>
      </c>
      <c r="C40" s="33" t="n">
        <f aca="false">B40+C39</f>
        <v>277032.497985154</v>
      </c>
      <c r="D40" s="33" t="n">
        <f aca="false">C40+D39</f>
        <v>616007.280244386</v>
      </c>
      <c r="E40" s="33" t="n">
        <f aca="false">D40+E39</f>
        <v>954982.062503617</v>
      </c>
      <c r="F40" s="33" t="n">
        <f aca="false">E40+F39</f>
        <v>1293956.84476285</v>
      </c>
      <c r="G40" s="33" t="n">
        <f aca="false">F40+G39</f>
        <v>1632931.62702208</v>
      </c>
      <c r="H40" s="2"/>
      <c r="I40" s="2"/>
    </row>
    <row r="41" customFormat="false" ht="15" hidden="false" customHeight="false" outlineLevel="0" collapsed="false">
      <c r="A41" s="6" t="s">
        <v>20</v>
      </c>
      <c r="B41" s="2"/>
      <c r="C41" s="2"/>
      <c r="D41" s="2"/>
      <c r="E41" s="2"/>
      <c r="F41" s="2"/>
      <c r="G41" s="2"/>
      <c r="H41" s="2"/>
      <c r="I41" s="34" t="n">
        <f aca="false">SUM(B36:G36)</f>
        <v>2638303.7625</v>
      </c>
    </row>
    <row r="42" customFormat="false" ht="15" hidden="false" customHeight="false" outlineLevel="0" collapsed="false">
      <c r="A42" s="6" t="s">
        <v>23</v>
      </c>
      <c r="B42" s="2"/>
      <c r="C42" s="2"/>
      <c r="D42" s="2"/>
      <c r="E42" s="2"/>
      <c r="F42" s="2"/>
      <c r="G42" s="2"/>
      <c r="H42" s="2"/>
      <c r="I42" s="43" t="n">
        <f aca="false">IFERROR(SUM(B37:G37)/SUM(B36:G36),0)</f>
        <v>0.233919570226137</v>
      </c>
    </row>
    <row r="43" customFormat="false" ht="15" hidden="false" customHeight="false" outlineLevel="0" collapsed="false">
      <c r="A43" s="6" t="s">
        <v>24</v>
      </c>
      <c r="B43" s="2"/>
      <c r="C43" s="2"/>
      <c r="D43" s="2"/>
      <c r="E43" s="2"/>
      <c r="F43" s="2"/>
      <c r="G43" s="2"/>
      <c r="H43" s="2"/>
      <c r="I43" s="43" t="n">
        <f aca="false">IFERROR(IRR(B37:G37),"n/a - costs recovered upfront")</f>
        <v>0.344885055372937</v>
      </c>
    </row>
    <row r="44" customFormat="false" ht="15" hidden="false" customHeight="false" outlineLevel="0" collapsed="false">
      <c r="A44" s="6" t="s">
        <v>26</v>
      </c>
      <c r="B44" s="2"/>
      <c r="C44" s="2"/>
      <c r="D44" s="2"/>
      <c r="E44" s="2"/>
      <c r="F44" s="2"/>
      <c r="G44" s="2"/>
      <c r="H44" s="2"/>
      <c r="I44" s="44" t="str">
        <f aca="false">IF(COUNTIF(B38:G38,"&lt;0")&gt;5,"Beyond Year 5",IF(COUNTIF(B38:G38,"&lt;0")=0,"Year 0","Year "&amp;COUNTIF(B38:G38,"&lt;0")))</f>
        <v>Year 3</v>
      </c>
    </row>
    <row r="45" customFormat="false" ht="15" hidden="false" customHeight="false" outlineLevel="0" collapsed="false">
      <c r="A45" s="6" t="s">
        <v>31</v>
      </c>
      <c r="B45" s="2"/>
      <c r="C45" s="2"/>
      <c r="D45" s="2"/>
      <c r="E45" s="2"/>
      <c r="F45" s="2"/>
      <c r="G45" s="2"/>
      <c r="H45" s="2"/>
      <c r="I45" s="44" t="str">
        <f aca="false">IF(COUNTIF(B40:G40,"&lt;0")&gt;5,"Beyond Year 5",IF(COUNTIF(B40:G40,"&lt;0")=0,"Year 0","Year "&amp;COUNTIF(B40:G40,"&lt;0")))</f>
        <v>Year 1</v>
      </c>
    </row>
    <row r="46" customFormat="false" ht="15" hidden="false" customHeight="false" outlineLevel="0" collapsed="false">
      <c r="A46" s="6" t="s">
        <v>370</v>
      </c>
      <c r="B46" s="2"/>
      <c r="C46" s="2"/>
      <c r="D46" s="2"/>
      <c r="E46" s="2"/>
      <c r="F46" s="2"/>
      <c r="G46" s="2"/>
      <c r="H46" s="2"/>
      <c r="I46" s="45" t="n">
        <f aca="false">IFERROR(I39/I36,0)</f>
        <v>0.586873235497333</v>
      </c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3" t="s">
        <v>374</v>
      </c>
      <c r="B48" s="24"/>
      <c r="C48" s="24"/>
      <c r="D48" s="24"/>
      <c r="E48" s="24"/>
      <c r="F48" s="24"/>
      <c r="G48" s="24"/>
      <c r="H48" s="24"/>
      <c r="I48" s="24"/>
    </row>
    <row r="49" customFormat="false" ht="15" hidden="false" customHeight="false" outlineLevel="0" collapsed="false">
      <c r="A49" s="6" t="s">
        <v>375</v>
      </c>
      <c r="B49" s="33" t="n">
        <f aca="false">Costs!$D$38*(1+Inputs!$B$111*Inputs!$B$103)</f>
        <v>566931.75</v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2"/>
      <c r="I49" s="33" t="n">
        <f aca="false">SUMPRODUCT(B49:G49,B5:G5)</f>
        <v>566931.75</v>
      </c>
    </row>
    <row r="50" customFormat="false" ht="15" hidden="false" customHeight="false" outlineLevel="0" collapsed="false">
      <c r="A50" s="6" t="s">
        <v>364</v>
      </c>
      <c r="B50" s="33" t="n">
        <f aca="false">Costs!$D$52*(1+Inputs!$B$112*Inputs!$B$103)*B6</f>
        <v>72711.0565125</v>
      </c>
      <c r="C50" s="33" t="n">
        <f aca="false">Costs!$D$52*(1+Inputs!$B$112*Inputs!$B$103)*C6</f>
        <v>290844.22605</v>
      </c>
      <c r="D50" s="33" t="n">
        <f aca="false">Costs!$D$52*(1+Inputs!$B$112*Inputs!$B$103)*D6</f>
        <v>290844.22605</v>
      </c>
      <c r="E50" s="33" t="n">
        <f aca="false">Costs!$D$52*(1+Inputs!$B$112*Inputs!$B$103)*E6</f>
        <v>290844.22605</v>
      </c>
      <c r="F50" s="33" t="n">
        <f aca="false">Costs!$D$52*(1+Inputs!$B$112*Inputs!$B$103)*F6</f>
        <v>290844.22605</v>
      </c>
      <c r="G50" s="33" t="n">
        <f aca="false">Costs!$D$52*(1+Inputs!$B$112*Inputs!$B$103)*G6</f>
        <v>290844.22605</v>
      </c>
      <c r="H50" s="2"/>
      <c r="I50" s="33" t="n">
        <f aca="false">SUMPRODUCT(B50:G50,B5:G5)</f>
        <v>982230.691824335</v>
      </c>
    </row>
    <row r="51" customFormat="false" ht="15" hidden="false" customHeight="false" outlineLevel="0" collapsed="false">
      <c r="A51" s="6" t="s">
        <v>376</v>
      </c>
      <c r="B51" s="33" t="n">
        <f aca="false">B15*Inputs!$B$113*Inputs!$B$103</f>
        <v>13944.2956451846</v>
      </c>
      <c r="C51" s="33" t="n">
        <f aca="false">C15*Inputs!$B$113*Inputs!$B$103</f>
        <v>139442.956451846</v>
      </c>
      <c r="D51" s="33" t="n">
        <f aca="false">D15*Inputs!$B$113*Inputs!$B$103</f>
        <v>139442.956451846</v>
      </c>
      <c r="E51" s="33" t="n">
        <f aca="false">E15*Inputs!$B$113*Inputs!$B$103</f>
        <v>139442.956451846</v>
      </c>
      <c r="F51" s="33" t="n">
        <f aca="false">F15*Inputs!$B$113*Inputs!$B$103</f>
        <v>139442.956451846</v>
      </c>
      <c r="G51" s="33" t="n">
        <f aca="false">G15*Inputs!$B$113*Inputs!$B$103</f>
        <v>139442.956451846</v>
      </c>
      <c r="H51" s="2"/>
      <c r="I51" s="33" t="n">
        <f aca="false">SUMPRODUCT(B51:G51,B5:G5)</f>
        <v>450006.268135861</v>
      </c>
    </row>
    <row r="52" customFormat="false" ht="15" hidden="false" customHeight="false" outlineLevel="0" collapsed="false">
      <c r="A52" s="14" t="s">
        <v>365</v>
      </c>
      <c r="B52" s="34" t="n">
        <f aca="false">B49+B50+B51</f>
        <v>653587.102157685</v>
      </c>
      <c r="C52" s="34" t="n">
        <f aca="false">C49+C50+C51</f>
        <v>430287.182501846</v>
      </c>
      <c r="D52" s="34" t="n">
        <f aca="false">D49+D50+D51</f>
        <v>430287.182501846</v>
      </c>
      <c r="E52" s="34" t="n">
        <f aca="false">E49+E50+E51</f>
        <v>430287.182501846</v>
      </c>
      <c r="F52" s="34" t="n">
        <f aca="false">F49+F50+F51</f>
        <v>430287.182501846</v>
      </c>
      <c r="G52" s="34" t="n">
        <f aca="false">G49+G50+G51</f>
        <v>430287.182501846</v>
      </c>
      <c r="H52" s="2"/>
      <c r="I52" s="34" t="n">
        <f aca="false">SUMPRODUCT(B52:G52,B5:G5)</f>
        <v>1999168.7099602</v>
      </c>
    </row>
    <row r="53" customFormat="false" ht="15" hidden="false" customHeight="false" outlineLevel="0" collapsed="false">
      <c r="A53" s="14" t="s">
        <v>366</v>
      </c>
      <c r="B53" s="34" t="n">
        <f aca="false">B52-B13</f>
        <v>17406.7269076846</v>
      </c>
      <c r="C53" s="34" t="n">
        <f aca="false">C52-C13</f>
        <v>153292.681501846</v>
      </c>
      <c r="D53" s="34" t="n">
        <f aca="false">D52-D13</f>
        <v>153292.681501846</v>
      </c>
      <c r="E53" s="34" t="n">
        <f aca="false">E52-E13</f>
        <v>153292.681501846</v>
      </c>
      <c r="F53" s="34" t="n">
        <f aca="false">F52-F13</f>
        <v>153292.681501846</v>
      </c>
      <c r="G53" s="34" t="n">
        <f aca="false">G52-G13</f>
        <v>153292.681501846</v>
      </c>
      <c r="H53" s="2"/>
      <c r="I53" s="34" t="n">
        <f aca="false">SUMPRODUCT(B53:G53,B5:G5)</f>
        <v>496779.158222734</v>
      </c>
    </row>
    <row r="54" customFormat="false" ht="15" hidden="false" customHeight="false" outlineLevel="0" collapsed="false">
      <c r="A54" s="6" t="s">
        <v>367</v>
      </c>
      <c r="B54" s="33" t="n">
        <f aca="false">B53</f>
        <v>17406.7269076846</v>
      </c>
      <c r="C54" s="33" t="n">
        <f aca="false">B54+C53</f>
        <v>170699.408409531</v>
      </c>
      <c r="D54" s="33" t="n">
        <f aca="false">C54+D53</f>
        <v>323992.089911377</v>
      </c>
      <c r="E54" s="33" t="n">
        <f aca="false">D54+E53</f>
        <v>477284.771413223</v>
      </c>
      <c r="F54" s="33" t="n">
        <f aca="false">E54+F53</f>
        <v>630577.45291507</v>
      </c>
      <c r="G54" s="33" t="n">
        <f aca="false">F54+G53</f>
        <v>783870.134416916</v>
      </c>
      <c r="H54" s="2"/>
      <c r="I54" s="2"/>
    </row>
    <row r="55" customFormat="false" ht="15" hidden="false" customHeight="false" outlineLevel="0" collapsed="false">
      <c r="A55" s="14" t="s">
        <v>368</v>
      </c>
      <c r="B55" s="34" t="n">
        <f aca="false">B14-B52-B16</f>
        <v>-580425.623931762</v>
      </c>
      <c r="C55" s="34" t="n">
        <f aca="false">C14-C52-C16</f>
        <v>409327.599757385</v>
      </c>
      <c r="D55" s="34" t="n">
        <f aca="false">D14-D52-D16</f>
        <v>409327.599757385</v>
      </c>
      <c r="E55" s="34" t="n">
        <f aca="false">E14-E52-E16</f>
        <v>409327.599757385</v>
      </c>
      <c r="F55" s="34" t="n">
        <f aca="false">F14-F52-F16</f>
        <v>409327.599757385</v>
      </c>
      <c r="G55" s="34" t="n">
        <f aca="false">G14-G52-G16</f>
        <v>409327.599757385</v>
      </c>
      <c r="H55" s="2"/>
      <c r="I55" s="34" t="n">
        <f aca="false">SUMPRODUCT(B55:G55,B5:G5)</f>
        <v>699611.784101236</v>
      </c>
    </row>
    <row r="56" customFormat="false" ht="15" hidden="false" customHeight="false" outlineLevel="0" collapsed="false">
      <c r="A56" s="6" t="s">
        <v>369</v>
      </c>
      <c r="B56" s="33" t="n">
        <f aca="false">B55</f>
        <v>-580425.623931762</v>
      </c>
      <c r="C56" s="33" t="n">
        <f aca="false">B56+C55</f>
        <v>-171098.024174377</v>
      </c>
      <c r="D56" s="33" t="n">
        <f aca="false">C56+D55</f>
        <v>238229.575583008</v>
      </c>
      <c r="E56" s="33" t="n">
        <f aca="false">D56+E55</f>
        <v>647557.175340393</v>
      </c>
      <c r="F56" s="33" t="n">
        <f aca="false">E56+F55</f>
        <v>1056884.77509778</v>
      </c>
      <c r="G56" s="33" t="n">
        <f aca="false">F56+G55</f>
        <v>1466212.37485516</v>
      </c>
      <c r="H56" s="2"/>
      <c r="I56" s="2"/>
    </row>
    <row r="57" customFormat="false" ht="15" hidden="false" customHeight="false" outlineLevel="0" collapsed="false">
      <c r="A57" s="6" t="s">
        <v>20</v>
      </c>
      <c r="B57" s="2"/>
      <c r="C57" s="2"/>
      <c r="D57" s="2"/>
      <c r="E57" s="2"/>
      <c r="F57" s="2"/>
      <c r="G57" s="2"/>
      <c r="H57" s="2"/>
      <c r="I57" s="34" t="n">
        <f aca="false">SUM(B52:G52)</f>
        <v>2805023.01466692</v>
      </c>
    </row>
    <row r="58" customFormat="false" ht="15" hidden="false" customHeight="false" outlineLevel="0" collapsed="false">
      <c r="A58" s="6" t="s">
        <v>23</v>
      </c>
      <c r="B58" s="2"/>
      <c r="C58" s="2"/>
      <c r="D58" s="2"/>
      <c r="E58" s="2"/>
      <c r="F58" s="2"/>
      <c r="G58" s="2"/>
      <c r="H58" s="2"/>
      <c r="I58" s="43" t="n">
        <f aca="false">IFERROR(SUM(B53:G53)/SUM(B52:G52),0)</f>
        <v>0.279452300504564</v>
      </c>
    </row>
    <row r="59" customFormat="false" ht="15" hidden="false" customHeight="false" outlineLevel="0" collapsed="false">
      <c r="A59" s="6" t="s">
        <v>24</v>
      </c>
      <c r="B59" s="2"/>
      <c r="C59" s="2"/>
      <c r="D59" s="2"/>
      <c r="E59" s="2"/>
      <c r="F59" s="2"/>
      <c r="G59" s="2"/>
      <c r="H59" s="2"/>
      <c r="I59" s="43" t="str">
        <f aca="false">IFERROR(IRR(B53:G53),"n/a - costs recovered upfront")</f>
        <v>n/a - costs recovered upfront</v>
      </c>
    </row>
    <row r="60" customFormat="false" ht="15" hidden="false" customHeight="false" outlineLevel="0" collapsed="false">
      <c r="A60" s="6" t="s">
        <v>26</v>
      </c>
      <c r="B60" s="2"/>
      <c r="C60" s="2"/>
      <c r="D60" s="2"/>
      <c r="E60" s="2"/>
      <c r="F60" s="2"/>
      <c r="G60" s="2"/>
      <c r="H60" s="2"/>
      <c r="I60" s="44" t="str">
        <f aca="false">IF(COUNTIF(B54:G54,"&lt;0")&gt;5,"Beyond Year 5",IF(COUNTIF(B54:G54,"&lt;0")=0,"Year 0","Year "&amp;COUNTIF(B54:G54,"&lt;0")))</f>
        <v>Year 0</v>
      </c>
    </row>
    <row r="61" customFormat="false" ht="15" hidden="false" customHeight="false" outlineLevel="0" collapsed="false">
      <c r="A61" s="6" t="s">
        <v>31</v>
      </c>
      <c r="B61" s="2"/>
      <c r="C61" s="2"/>
      <c r="D61" s="2"/>
      <c r="E61" s="2"/>
      <c r="F61" s="2"/>
      <c r="G61" s="2"/>
      <c r="H61" s="2"/>
      <c r="I61" s="44" t="str">
        <f aca="false">IF(COUNTIF(B56:G56,"&lt;0")&gt;5,"Beyond Year 5",IF(COUNTIF(B56:G56,"&lt;0")=0,"Year 0","Year "&amp;COUNTIF(B56:G56,"&lt;0")))</f>
        <v>Year 2</v>
      </c>
    </row>
    <row r="62" customFormat="false" ht="15" hidden="false" customHeight="false" outlineLevel="0" collapsed="false">
      <c r="A62" s="6" t="s">
        <v>370</v>
      </c>
      <c r="B62" s="2"/>
      <c r="C62" s="2"/>
      <c r="D62" s="2"/>
      <c r="E62" s="2"/>
      <c r="F62" s="2"/>
      <c r="G62" s="2"/>
      <c r="H62" s="2"/>
      <c r="I62" s="45" t="n">
        <f aca="false">IFERROR(I55/I52,0)</f>
        <v>0.34995134758545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6" min="2" style="0" width="14"/>
  </cols>
  <sheetData>
    <row r="1" customFormat="false" ht="17.35" hidden="false" customHeight="false" outlineLevel="0" collapsed="false">
      <c r="A1" s="1" t="s">
        <v>377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45" hidden="false" customHeight="true" outlineLevel="0" collapsed="false">
      <c r="A3" s="46" t="s">
        <v>378</v>
      </c>
      <c r="B3" s="47" t="s">
        <v>35</v>
      </c>
      <c r="C3" s="47" t="s">
        <v>379</v>
      </c>
      <c r="D3" s="47" t="s">
        <v>380</v>
      </c>
      <c r="E3" s="47" t="s">
        <v>381</v>
      </c>
      <c r="F3" s="47" t="s">
        <v>382</v>
      </c>
      <c r="G3" s="47" t="s">
        <v>383</v>
      </c>
      <c r="H3" s="47" t="s">
        <v>384</v>
      </c>
      <c r="I3" s="47" t="s">
        <v>385</v>
      </c>
      <c r="J3" s="47" t="s">
        <v>386</v>
      </c>
      <c r="K3" s="47" t="s">
        <v>387</v>
      </c>
      <c r="L3" s="47" t="s">
        <v>388</v>
      </c>
      <c r="M3" s="47" t="s">
        <v>389</v>
      </c>
      <c r="N3" s="47" t="s">
        <v>390</v>
      </c>
      <c r="O3" s="47" t="s">
        <v>391</v>
      </c>
      <c r="P3" s="47" t="s">
        <v>392</v>
      </c>
      <c r="Q3" s="47" t="s">
        <v>393</v>
      </c>
      <c r="R3" s="47" t="s">
        <v>394</v>
      </c>
      <c r="S3" s="47" t="s">
        <v>395</v>
      </c>
      <c r="T3" s="47" t="s">
        <v>396</v>
      </c>
      <c r="U3" s="47" t="s">
        <v>397</v>
      </c>
      <c r="V3" s="47" t="s">
        <v>398</v>
      </c>
      <c r="W3" s="47" t="s">
        <v>399</v>
      </c>
      <c r="X3" s="47" t="s">
        <v>400</v>
      </c>
      <c r="Y3" s="47" t="s">
        <v>401</v>
      </c>
      <c r="Z3" s="47" t="s">
        <v>402</v>
      </c>
    </row>
    <row r="4" customFormat="false" ht="15" hidden="false" customHeight="false" outlineLevel="0" collapsed="false">
      <c r="A4" s="6" t="s">
        <v>403</v>
      </c>
      <c r="B4" s="7" t="n">
        <f aca="false">Inputs!$B$7</f>
        <v>8</v>
      </c>
      <c r="C4" s="7" t="n">
        <f aca="false">Sensitivity!$C$5</f>
        <v>4</v>
      </c>
      <c r="D4" s="7" t="n">
        <f aca="false">Sensitivity!$D$5</f>
        <v>10</v>
      </c>
      <c r="E4" s="7" t="n">
        <f aca="false">Inputs!$B$7</f>
        <v>8</v>
      </c>
      <c r="F4" s="7" t="n">
        <f aca="false">Inputs!$B$7</f>
        <v>8</v>
      </c>
      <c r="G4" s="7" t="n">
        <f aca="false">Inputs!$B$7</f>
        <v>8</v>
      </c>
      <c r="H4" s="7" t="n">
        <f aca="false">Inputs!$B$7</f>
        <v>8</v>
      </c>
      <c r="I4" s="7" t="n">
        <f aca="false">Inputs!$B$7</f>
        <v>8</v>
      </c>
      <c r="J4" s="7" t="n">
        <f aca="false">Inputs!$B$7</f>
        <v>8</v>
      </c>
      <c r="K4" s="7" t="n">
        <f aca="false">Inputs!$B$7</f>
        <v>8</v>
      </c>
      <c r="L4" s="7" t="n">
        <f aca="false">Inputs!$B$7</f>
        <v>8</v>
      </c>
      <c r="M4" s="7" t="n">
        <f aca="false">Inputs!$B$7</f>
        <v>8</v>
      </c>
      <c r="N4" s="7" t="n">
        <f aca="false">Inputs!$B$7</f>
        <v>8</v>
      </c>
      <c r="O4" s="7" t="n">
        <f aca="false">Inputs!$B$7</f>
        <v>8</v>
      </c>
      <c r="P4" s="7" t="n">
        <f aca="false">Inputs!$B$7</f>
        <v>8</v>
      </c>
      <c r="Q4" s="7" t="n">
        <f aca="false">Inputs!$B$7</f>
        <v>8</v>
      </c>
      <c r="R4" s="7" t="n">
        <f aca="false">Inputs!$B$7</f>
        <v>8</v>
      </c>
      <c r="S4" s="7" t="n">
        <f aca="false">Inputs!$B$7</f>
        <v>8</v>
      </c>
      <c r="T4" s="7" t="n">
        <f aca="false">Inputs!$B$7</f>
        <v>8</v>
      </c>
      <c r="U4" s="7" t="n">
        <f aca="false">Inputs!$B$7</f>
        <v>8</v>
      </c>
      <c r="V4" s="7" t="n">
        <f aca="false">Inputs!$B$7</f>
        <v>8</v>
      </c>
      <c r="W4" s="7" t="n">
        <f aca="false">Inputs!$B$7</f>
        <v>8</v>
      </c>
      <c r="X4" s="7" t="n">
        <f aca="false">Inputs!$B$7</f>
        <v>8</v>
      </c>
      <c r="Y4" s="7" t="n">
        <f aca="false">Sensitivity!$E$5</f>
        <v>5</v>
      </c>
      <c r="Z4" s="7" t="n">
        <f aca="false">Sensitivity!$F$5</f>
        <v>10</v>
      </c>
    </row>
    <row r="5" customFormat="false" ht="15" hidden="false" customHeight="false" outlineLevel="0" collapsed="false">
      <c r="A5" s="6" t="s">
        <v>404</v>
      </c>
      <c r="B5" s="48" t="n">
        <f aca="false">Inputs!$B$30</f>
        <v>1</v>
      </c>
      <c r="C5" s="48" t="n">
        <f aca="false">Inputs!$B$30</f>
        <v>1</v>
      </c>
      <c r="D5" s="48" t="n">
        <f aca="false">Inputs!$B$30</f>
        <v>1</v>
      </c>
      <c r="E5" s="48" t="n">
        <f aca="false">Sensitivity!$C$6</f>
        <v>0.8</v>
      </c>
      <c r="F5" s="48" t="n">
        <f aca="false">Sensitivity!$D$6</f>
        <v>1.3</v>
      </c>
      <c r="G5" s="48" t="n">
        <f aca="false">Inputs!$B$30</f>
        <v>1</v>
      </c>
      <c r="H5" s="48" t="n">
        <f aca="false">Inputs!$B$30</f>
        <v>1</v>
      </c>
      <c r="I5" s="48" t="n">
        <f aca="false">Inputs!$B$30</f>
        <v>1</v>
      </c>
      <c r="J5" s="48" t="n">
        <f aca="false">Inputs!$B$30</f>
        <v>1</v>
      </c>
      <c r="K5" s="48" t="n">
        <f aca="false">Inputs!$B$30</f>
        <v>1</v>
      </c>
      <c r="L5" s="48" t="n">
        <f aca="false">Inputs!$B$30</f>
        <v>1</v>
      </c>
      <c r="M5" s="48" t="n">
        <f aca="false">Inputs!$B$30</f>
        <v>1</v>
      </c>
      <c r="N5" s="48" t="n">
        <f aca="false">Inputs!$B$30</f>
        <v>1</v>
      </c>
      <c r="O5" s="48" t="n">
        <f aca="false">Inputs!$B$30</f>
        <v>1</v>
      </c>
      <c r="P5" s="48" t="n">
        <f aca="false">Inputs!$B$30</f>
        <v>1</v>
      </c>
      <c r="Q5" s="48" t="n">
        <f aca="false">Inputs!$B$30</f>
        <v>1</v>
      </c>
      <c r="R5" s="48" t="n">
        <f aca="false">Inputs!$B$30</f>
        <v>1</v>
      </c>
      <c r="S5" s="48" t="n">
        <f aca="false">Inputs!$B$30</f>
        <v>1</v>
      </c>
      <c r="T5" s="48" t="n">
        <f aca="false">Inputs!$B$30</f>
        <v>1</v>
      </c>
      <c r="U5" s="48" t="n">
        <f aca="false">Inputs!$B$30</f>
        <v>1</v>
      </c>
      <c r="V5" s="48" t="n">
        <f aca="false">Inputs!$B$30</f>
        <v>1</v>
      </c>
      <c r="W5" s="48" t="n">
        <f aca="false">Inputs!$B$30</f>
        <v>1</v>
      </c>
      <c r="X5" s="48" t="n">
        <f aca="false">Inputs!$B$30</f>
        <v>1</v>
      </c>
      <c r="Y5" s="48" t="n">
        <f aca="false">Sensitivity!$E$6</f>
        <v>1.2</v>
      </c>
      <c r="Z5" s="48" t="n">
        <f aca="false">Sensitivity!$F$6</f>
        <v>0.9</v>
      </c>
    </row>
    <row r="6" customFormat="false" ht="15" hidden="false" customHeight="false" outlineLevel="0" collapsed="false">
      <c r="A6" s="6" t="s">
        <v>405</v>
      </c>
      <c r="B6" s="48" t="n">
        <f aca="false">Inputs!$B$50</f>
        <v>1</v>
      </c>
      <c r="C6" s="48" t="n">
        <f aca="false">Inputs!$B$50</f>
        <v>1</v>
      </c>
      <c r="D6" s="48" t="n">
        <f aca="false">Inputs!$B$50</f>
        <v>1</v>
      </c>
      <c r="E6" s="48" t="n">
        <f aca="false">Inputs!$B$50</f>
        <v>1</v>
      </c>
      <c r="F6" s="48" t="n">
        <f aca="false">Inputs!$B$50</f>
        <v>1</v>
      </c>
      <c r="G6" s="48" t="n">
        <f aca="false">Sensitivity!$C$7</f>
        <v>0.85</v>
      </c>
      <c r="H6" s="48" t="n">
        <f aca="false">Sensitivity!$D$7</f>
        <v>1.25</v>
      </c>
      <c r="I6" s="48" t="n">
        <f aca="false">Inputs!$B$50</f>
        <v>1</v>
      </c>
      <c r="J6" s="48" t="n">
        <f aca="false">Inputs!$B$50</f>
        <v>1</v>
      </c>
      <c r="K6" s="48" t="n">
        <f aca="false">Inputs!$B$50</f>
        <v>1</v>
      </c>
      <c r="L6" s="48" t="n">
        <f aca="false">Inputs!$B$50</f>
        <v>1</v>
      </c>
      <c r="M6" s="48" t="n">
        <f aca="false">Inputs!$B$50</f>
        <v>1</v>
      </c>
      <c r="N6" s="48" t="n">
        <f aca="false">Inputs!$B$50</f>
        <v>1</v>
      </c>
      <c r="O6" s="48" t="n">
        <f aca="false">Inputs!$B$50</f>
        <v>1</v>
      </c>
      <c r="P6" s="48" t="n">
        <f aca="false">Inputs!$B$50</f>
        <v>1</v>
      </c>
      <c r="Q6" s="48" t="n">
        <f aca="false">Inputs!$B$50</f>
        <v>1</v>
      </c>
      <c r="R6" s="48" t="n">
        <f aca="false">Inputs!$B$50</f>
        <v>1</v>
      </c>
      <c r="S6" s="48" t="n">
        <f aca="false">Inputs!$B$50</f>
        <v>1</v>
      </c>
      <c r="T6" s="48" t="n">
        <f aca="false">Inputs!$B$50</f>
        <v>1</v>
      </c>
      <c r="U6" s="48" t="n">
        <f aca="false">Inputs!$B$50</f>
        <v>1</v>
      </c>
      <c r="V6" s="48" t="n">
        <f aca="false">Inputs!$B$50</f>
        <v>1</v>
      </c>
      <c r="W6" s="48" t="n">
        <f aca="false">Inputs!$B$50</f>
        <v>1</v>
      </c>
      <c r="X6" s="48" t="n">
        <f aca="false">Inputs!$B$50</f>
        <v>1</v>
      </c>
      <c r="Y6" s="48" t="n">
        <f aca="false">Sensitivity!$E$7</f>
        <v>1.15</v>
      </c>
      <c r="Z6" s="48" t="n">
        <f aca="false">Sensitivity!$F$7</f>
        <v>0.95</v>
      </c>
    </row>
    <row r="7" customFormat="false" ht="15" hidden="false" customHeight="false" outlineLevel="0" collapsed="false">
      <c r="A7" s="6" t="s">
        <v>406</v>
      </c>
      <c r="B7" s="48" t="n">
        <f aca="false">Inputs!$B$73</f>
        <v>1</v>
      </c>
      <c r="C7" s="48" t="n">
        <f aca="false">Inputs!$B$73</f>
        <v>1</v>
      </c>
      <c r="D7" s="48" t="n">
        <f aca="false">Inputs!$B$73</f>
        <v>1</v>
      </c>
      <c r="E7" s="48" t="n">
        <f aca="false">Inputs!$B$73</f>
        <v>1</v>
      </c>
      <c r="F7" s="48" t="n">
        <f aca="false">Inputs!$B$73</f>
        <v>1</v>
      </c>
      <c r="G7" s="48" t="n">
        <f aca="false">Inputs!$B$73</f>
        <v>1</v>
      </c>
      <c r="H7" s="48" t="n">
        <f aca="false">Inputs!$B$73</f>
        <v>1</v>
      </c>
      <c r="I7" s="48" t="n">
        <f aca="false">Sensitivity!$C$8</f>
        <v>0.85</v>
      </c>
      <c r="J7" s="48" t="n">
        <f aca="false">Sensitivity!$D$8</f>
        <v>1.25</v>
      </c>
      <c r="K7" s="48" t="n">
        <f aca="false">Inputs!$B$73</f>
        <v>1</v>
      </c>
      <c r="L7" s="48" t="n">
        <f aca="false">Inputs!$B$73</f>
        <v>1</v>
      </c>
      <c r="M7" s="48" t="n">
        <f aca="false">Inputs!$B$73</f>
        <v>1</v>
      </c>
      <c r="N7" s="48" t="n">
        <f aca="false">Inputs!$B$73</f>
        <v>1</v>
      </c>
      <c r="O7" s="48" t="n">
        <f aca="false">Inputs!$B$73</f>
        <v>1</v>
      </c>
      <c r="P7" s="48" t="n">
        <f aca="false">Inputs!$B$73</f>
        <v>1</v>
      </c>
      <c r="Q7" s="48" t="n">
        <f aca="false">Inputs!$B$73</f>
        <v>1</v>
      </c>
      <c r="R7" s="48" t="n">
        <f aca="false">Inputs!$B$73</f>
        <v>1</v>
      </c>
      <c r="S7" s="48" t="n">
        <f aca="false">Inputs!$B$73</f>
        <v>1</v>
      </c>
      <c r="T7" s="48" t="n">
        <f aca="false">Inputs!$B$73</f>
        <v>1</v>
      </c>
      <c r="U7" s="48" t="n">
        <f aca="false">Inputs!$B$73</f>
        <v>1</v>
      </c>
      <c r="V7" s="48" t="n">
        <f aca="false">Inputs!$B$73</f>
        <v>1</v>
      </c>
      <c r="W7" s="48" t="n">
        <f aca="false">Inputs!$B$73</f>
        <v>1</v>
      </c>
      <c r="X7" s="48" t="n">
        <f aca="false">Inputs!$B$73</f>
        <v>1</v>
      </c>
      <c r="Y7" s="48" t="n">
        <f aca="false">Sensitivity!$E$8</f>
        <v>1.15</v>
      </c>
      <c r="Z7" s="48" t="n">
        <f aca="false">Sensitivity!$F$8</f>
        <v>0.95</v>
      </c>
    </row>
    <row r="8" customFormat="false" ht="15" hidden="false" customHeight="false" outlineLevel="0" collapsed="false">
      <c r="A8" s="6" t="s">
        <v>407</v>
      </c>
      <c r="B8" s="49" t="n">
        <f aca="false">Inputs!$B$79</f>
        <v>0.85</v>
      </c>
      <c r="C8" s="49" t="n">
        <f aca="false">Inputs!$B$79</f>
        <v>0.85</v>
      </c>
      <c r="D8" s="49" t="n">
        <f aca="false">Inputs!$B$79</f>
        <v>0.85</v>
      </c>
      <c r="E8" s="49" t="n">
        <f aca="false">Inputs!$B$79</f>
        <v>0.85</v>
      </c>
      <c r="F8" s="49" t="n">
        <f aca="false">Inputs!$B$79</f>
        <v>0.85</v>
      </c>
      <c r="G8" s="49" t="n">
        <f aca="false">Inputs!$B$79</f>
        <v>0.85</v>
      </c>
      <c r="H8" s="49" t="n">
        <f aca="false">Inputs!$B$79</f>
        <v>0.85</v>
      </c>
      <c r="I8" s="49" t="n">
        <f aca="false">Inputs!$B$79</f>
        <v>0.85</v>
      </c>
      <c r="J8" s="49" t="n">
        <f aca="false">Inputs!$B$79</f>
        <v>0.85</v>
      </c>
      <c r="K8" s="49" t="n">
        <f aca="false">Sensitivity!$C$9</f>
        <v>0.65</v>
      </c>
      <c r="L8" s="49" t="n">
        <f aca="false">Sensitivity!$D$9</f>
        <v>1.1</v>
      </c>
      <c r="M8" s="49" t="n">
        <f aca="false">Inputs!$B$79</f>
        <v>0.85</v>
      </c>
      <c r="N8" s="49" t="n">
        <f aca="false">Inputs!$B$79</f>
        <v>0.85</v>
      </c>
      <c r="O8" s="49" t="n">
        <f aca="false">Inputs!$B$79</f>
        <v>0.85</v>
      </c>
      <c r="P8" s="49" t="n">
        <f aca="false">Inputs!$B$79</f>
        <v>0.85</v>
      </c>
      <c r="Q8" s="49" t="n">
        <f aca="false">Inputs!$B$79</f>
        <v>0.85</v>
      </c>
      <c r="R8" s="49" t="n">
        <f aca="false">Inputs!$B$79</f>
        <v>0.85</v>
      </c>
      <c r="S8" s="49" t="n">
        <f aca="false">Inputs!$B$79</f>
        <v>0.85</v>
      </c>
      <c r="T8" s="49" t="n">
        <f aca="false">Inputs!$B$79</f>
        <v>0.85</v>
      </c>
      <c r="U8" s="49" t="n">
        <f aca="false">Inputs!$B$79</f>
        <v>0.85</v>
      </c>
      <c r="V8" s="49" t="n">
        <f aca="false">Inputs!$B$79</f>
        <v>0.85</v>
      </c>
      <c r="W8" s="49" t="n">
        <f aca="false">Inputs!$B$79</f>
        <v>0.85</v>
      </c>
      <c r="X8" s="49" t="n">
        <f aca="false">Inputs!$B$79</f>
        <v>0.85</v>
      </c>
      <c r="Y8" s="49" t="n">
        <f aca="false">Sensitivity!$E$9</f>
        <v>0.75</v>
      </c>
      <c r="Z8" s="49" t="n">
        <f aca="false">Sensitivity!$F$9</f>
        <v>1</v>
      </c>
    </row>
    <row r="9" customFormat="false" ht="15" hidden="false" customHeight="false" outlineLevel="0" collapsed="false">
      <c r="A9" s="6" t="s">
        <v>408</v>
      </c>
      <c r="B9" s="50" t="n">
        <f aca="false">Inputs!$B$80</f>
        <v>0.12</v>
      </c>
      <c r="C9" s="50" t="n">
        <f aca="false">Inputs!$B$80</f>
        <v>0.12</v>
      </c>
      <c r="D9" s="50" t="n">
        <f aca="false">Inputs!$B$80</f>
        <v>0.12</v>
      </c>
      <c r="E9" s="50" t="n">
        <f aca="false">Inputs!$B$80</f>
        <v>0.12</v>
      </c>
      <c r="F9" s="50" t="n">
        <f aca="false">Inputs!$B$80</f>
        <v>0.12</v>
      </c>
      <c r="G9" s="50" t="n">
        <f aca="false">Inputs!$B$80</f>
        <v>0.12</v>
      </c>
      <c r="H9" s="50" t="n">
        <f aca="false">Inputs!$B$80</f>
        <v>0.12</v>
      </c>
      <c r="I9" s="50" t="n">
        <f aca="false">Inputs!$B$80</f>
        <v>0.12</v>
      </c>
      <c r="J9" s="50" t="n">
        <f aca="false">Inputs!$B$80</f>
        <v>0.12</v>
      </c>
      <c r="K9" s="50" t="n">
        <f aca="false">Inputs!$B$80</f>
        <v>0.12</v>
      </c>
      <c r="L9" s="50" t="n">
        <f aca="false">Inputs!$B$80</f>
        <v>0.12</v>
      </c>
      <c r="M9" s="50" t="n">
        <f aca="false">Sensitivity!$C$10</f>
        <v>0.06</v>
      </c>
      <c r="N9" s="50" t="n">
        <f aca="false">Sensitivity!$D$10</f>
        <v>0.18</v>
      </c>
      <c r="O9" s="50" t="n">
        <f aca="false">Inputs!$B$80</f>
        <v>0.12</v>
      </c>
      <c r="P9" s="50" t="n">
        <f aca="false">Inputs!$B$80</f>
        <v>0.12</v>
      </c>
      <c r="Q9" s="50" t="n">
        <f aca="false">Inputs!$B$80</f>
        <v>0.12</v>
      </c>
      <c r="R9" s="50" t="n">
        <f aca="false">Inputs!$B$80</f>
        <v>0.12</v>
      </c>
      <c r="S9" s="50" t="n">
        <f aca="false">Inputs!$B$80</f>
        <v>0.12</v>
      </c>
      <c r="T9" s="50" t="n">
        <f aca="false">Inputs!$B$80</f>
        <v>0.12</v>
      </c>
      <c r="U9" s="50" t="n">
        <f aca="false">Inputs!$B$80</f>
        <v>0.12</v>
      </c>
      <c r="V9" s="50" t="n">
        <f aca="false">Inputs!$B$80</f>
        <v>0.12</v>
      </c>
      <c r="W9" s="50" t="n">
        <f aca="false">Inputs!$B$80</f>
        <v>0.12</v>
      </c>
      <c r="X9" s="50" t="n">
        <f aca="false">Inputs!$B$80</f>
        <v>0.12</v>
      </c>
      <c r="Y9" s="50" t="n">
        <f aca="false">Sensitivity!$E$10</f>
        <v>0.08</v>
      </c>
      <c r="Z9" s="50" t="n">
        <f aca="false">Sensitivity!$F$10</f>
        <v>0.15</v>
      </c>
    </row>
    <row r="10" customFormat="false" ht="15" hidden="false" customHeight="false" outlineLevel="0" collapsed="false">
      <c r="A10" s="6" t="s">
        <v>409</v>
      </c>
      <c r="B10" s="9" t="n">
        <f aca="false">Inputs!$B$86</f>
        <v>3500</v>
      </c>
      <c r="C10" s="9" t="n">
        <f aca="false">Inputs!$B$86</f>
        <v>3500</v>
      </c>
      <c r="D10" s="9" t="n">
        <f aca="false">Inputs!$B$86</f>
        <v>3500</v>
      </c>
      <c r="E10" s="9" t="n">
        <f aca="false">Inputs!$B$86</f>
        <v>3500</v>
      </c>
      <c r="F10" s="9" t="n">
        <f aca="false">Inputs!$B$86</f>
        <v>3500</v>
      </c>
      <c r="G10" s="9" t="n">
        <f aca="false">Inputs!$B$86</f>
        <v>3500</v>
      </c>
      <c r="H10" s="9" t="n">
        <f aca="false">Inputs!$B$86</f>
        <v>3500</v>
      </c>
      <c r="I10" s="9" t="n">
        <f aca="false">Inputs!$B$86</f>
        <v>3500</v>
      </c>
      <c r="J10" s="9" t="n">
        <f aca="false">Inputs!$B$86</f>
        <v>3500</v>
      </c>
      <c r="K10" s="9" t="n">
        <f aca="false">Inputs!$B$86</f>
        <v>3500</v>
      </c>
      <c r="L10" s="9" t="n">
        <f aca="false">Inputs!$B$86</f>
        <v>3500</v>
      </c>
      <c r="M10" s="9" t="n">
        <f aca="false">Inputs!$B$86</f>
        <v>3500</v>
      </c>
      <c r="N10" s="9" t="n">
        <f aca="false">Inputs!$B$86</f>
        <v>3500</v>
      </c>
      <c r="O10" s="9" t="n">
        <f aca="false">Sensitivity!$C$11</f>
        <v>2800</v>
      </c>
      <c r="P10" s="9" t="n">
        <f aca="false">Sensitivity!$D$11</f>
        <v>4200</v>
      </c>
      <c r="Q10" s="9" t="n">
        <f aca="false">Inputs!$B$86</f>
        <v>3500</v>
      </c>
      <c r="R10" s="9" t="n">
        <f aca="false">Inputs!$B$86</f>
        <v>3500</v>
      </c>
      <c r="S10" s="9" t="n">
        <f aca="false">Inputs!$B$86</f>
        <v>3500</v>
      </c>
      <c r="T10" s="9" t="n">
        <f aca="false">Inputs!$B$86</f>
        <v>3500</v>
      </c>
      <c r="U10" s="9" t="n">
        <f aca="false">Inputs!$B$86</f>
        <v>3500</v>
      </c>
      <c r="V10" s="9" t="n">
        <f aca="false">Inputs!$B$86</f>
        <v>3500</v>
      </c>
      <c r="W10" s="9" t="n">
        <f aca="false">Inputs!$B$86</f>
        <v>3500</v>
      </c>
      <c r="X10" s="9" t="n">
        <f aca="false">Inputs!$B$86</f>
        <v>3500</v>
      </c>
      <c r="Y10" s="9" t="n">
        <f aca="false">Sensitivity!$E$11</f>
        <v>3000</v>
      </c>
      <c r="Z10" s="9" t="n">
        <f aca="false">Sensitivity!$F$11</f>
        <v>4000</v>
      </c>
    </row>
    <row r="11" customFormat="false" ht="15" hidden="false" customHeight="false" outlineLevel="0" collapsed="false">
      <c r="A11" s="6" t="s">
        <v>410</v>
      </c>
      <c r="B11" s="50" t="n">
        <f aca="false">Inputs!$B$83</f>
        <v>0.03</v>
      </c>
      <c r="C11" s="50" t="n">
        <f aca="false">Inputs!$B$83</f>
        <v>0.03</v>
      </c>
      <c r="D11" s="50" t="n">
        <f aca="false">Inputs!$B$83</f>
        <v>0.03</v>
      </c>
      <c r="E11" s="50" t="n">
        <f aca="false">Inputs!$B$83</f>
        <v>0.03</v>
      </c>
      <c r="F11" s="50" t="n">
        <f aca="false">Inputs!$B$83</f>
        <v>0.03</v>
      </c>
      <c r="G11" s="50" t="n">
        <f aca="false">Inputs!$B$83</f>
        <v>0.03</v>
      </c>
      <c r="H11" s="50" t="n">
        <f aca="false">Inputs!$B$83</f>
        <v>0.03</v>
      </c>
      <c r="I11" s="50" t="n">
        <f aca="false">Inputs!$B$83</f>
        <v>0.03</v>
      </c>
      <c r="J11" s="50" t="n">
        <f aca="false">Inputs!$B$83</f>
        <v>0.03</v>
      </c>
      <c r="K11" s="50" t="n">
        <f aca="false">Inputs!$B$83</f>
        <v>0.03</v>
      </c>
      <c r="L11" s="50" t="n">
        <f aca="false">Inputs!$B$83</f>
        <v>0.03</v>
      </c>
      <c r="M11" s="50" t="n">
        <f aca="false">Inputs!$B$83</f>
        <v>0.03</v>
      </c>
      <c r="N11" s="50" t="n">
        <f aca="false">Inputs!$B$83</f>
        <v>0.03</v>
      </c>
      <c r="O11" s="50" t="n">
        <f aca="false">Inputs!$B$83</f>
        <v>0.03</v>
      </c>
      <c r="P11" s="50" t="n">
        <f aca="false">Inputs!$B$83</f>
        <v>0.03</v>
      </c>
      <c r="Q11" s="50" t="n">
        <f aca="false">Sensitivity!$C$12</f>
        <v>0.01</v>
      </c>
      <c r="R11" s="50" t="n">
        <f aca="false">Sensitivity!$D$12</f>
        <v>0.05</v>
      </c>
      <c r="S11" s="50" t="n">
        <f aca="false">Inputs!$B$83</f>
        <v>0.03</v>
      </c>
      <c r="T11" s="50" t="n">
        <f aca="false">Inputs!$B$83</f>
        <v>0.03</v>
      </c>
      <c r="U11" s="50" t="n">
        <f aca="false">Inputs!$B$83</f>
        <v>0.03</v>
      </c>
      <c r="V11" s="50" t="n">
        <f aca="false">Inputs!$B$83</f>
        <v>0.03</v>
      </c>
      <c r="W11" s="50" t="n">
        <f aca="false">Inputs!$B$83</f>
        <v>0.03</v>
      </c>
      <c r="X11" s="50" t="n">
        <f aca="false">Inputs!$B$83</f>
        <v>0.03</v>
      </c>
      <c r="Y11" s="50" t="n">
        <f aca="false">Sensitivity!$E$12</f>
        <v>0.015</v>
      </c>
      <c r="Z11" s="50" t="n">
        <f aca="false">Sensitivity!$F$12</f>
        <v>0.04</v>
      </c>
    </row>
    <row r="12" customFormat="false" ht="15" hidden="false" customHeight="false" outlineLevel="0" collapsed="false">
      <c r="A12" s="6" t="s">
        <v>411</v>
      </c>
      <c r="B12" s="51" t="n">
        <f aca="false">Inputs!$B$84</f>
        <v>1.2</v>
      </c>
      <c r="C12" s="51" t="n">
        <f aca="false">Inputs!$B$84</f>
        <v>1.2</v>
      </c>
      <c r="D12" s="51" t="n">
        <f aca="false">Inputs!$B$84</f>
        <v>1.2</v>
      </c>
      <c r="E12" s="51" t="n">
        <f aca="false">Inputs!$B$84</f>
        <v>1.2</v>
      </c>
      <c r="F12" s="51" t="n">
        <f aca="false">Inputs!$B$84</f>
        <v>1.2</v>
      </c>
      <c r="G12" s="51" t="n">
        <f aca="false">Inputs!$B$84</f>
        <v>1.2</v>
      </c>
      <c r="H12" s="51" t="n">
        <f aca="false">Inputs!$B$84</f>
        <v>1.2</v>
      </c>
      <c r="I12" s="51" t="n">
        <f aca="false">Inputs!$B$84</f>
        <v>1.2</v>
      </c>
      <c r="J12" s="51" t="n">
        <f aca="false">Inputs!$B$84</f>
        <v>1.2</v>
      </c>
      <c r="K12" s="51" t="n">
        <f aca="false">Inputs!$B$84</f>
        <v>1.2</v>
      </c>
      <c r="L12" s="51" t="n">
        <f aca="false">Inputs!$B$84</f>
        <v>1.2</v>
      </c>
      <c r="M12" s="51" t="n">
        <f aca="false">Inputs!$B$84</f>
        <v>1.2</v>
      </c>
      <c r="N12" s="51" t="n">
        <f aca="false">Inputs!$B$84</f>
        <v>1.2</v>
      </c>
      <c r="O12" s="51" t="n">
        <f aca="false">Inputs!$B$84</f>
        <v>1.2</v>
      </c>
      <c r="P12" s="51" t="n">
        <f aca="false">Inputs!$B$84</f>
        <v>1.2</v>
      </c>
      <c r="Q12" s="51" t="n">
        <f aca="false">Inputs!$B$84</f>
        <v>1.2</v>
      </c>
      <c r="R12" s="51" t="n">
        <f aca="false">Inputs!$B$84</f>
        <v>1.2</v>
      </c>
      <c r="S12" s="51" t="n">
        <f aca="false">Sensitivity!$C$13</f>
        <v>0.8</v>
      </c>
      <c r="T12" s="51" t="n">
        <f aca="false">Sensitivity!$D$13</f>
        <v>1.6</v>
      </c>
      <c r="U12" s="51" t="n">
        <f aca="false">Inputs!$B$84</f>
        <v>1.2</v>
      </c>
      <c r="V12" s="51" t="n">
        <f aca="false">Inputs!$B$84</f>
        <v>1.2</v>
      </c>
      <c r="W12" s="51" t="n">
        <f aca="false">Inputs!$B$84</f>
        <v>1.2</v>
      </c>
      <c r="X12" s="51" t="n">
        <f aca="false">Inputs!$B$84</f>
        <v>1.2</v>
      </c>
      <c r="Y12" s="51" t="n">
        <f aca="false">Sensitivity!$E$13</f>
        <v>1</v>
      </c>
      <c r="Z12" s="51" t="n">
        <f aca="false">Sensitivity!$F$13</f>
        <v>1.4</v>
      </c>
    </row>
    <row r="13" customFormat="false" ht="15" hidden="false" customHeight="false" outlineLevel="0" collapsed="false">
      <c r="A13" s="6" t="s">
        <v>248</v>
      </c>
      <c r="B13" s="50" t="n">
        <f aca="false">Inputs!$B$96</f>
        <v>0.18</v>
      </c>
      <c r="C13" s="50" t="n">
        <f aca="false">Inputs!$B$96</f>
        <v>0.18</v>
      </c>
      <c r="D13" s="50" t="n">
        <f aca="false">Inputs!$B$96</f>
        <v>0.18</v>
      </c>
      <c r="E13" s="50" t="n">
        <f aca="false">Inputs!$B$96</f>
        <v>0.18</v>
      </c>
      <c r="F13" s="50" t="n">
        <f aca="false">Inputs!$B$96</f>
        <v>0.18</v>
      </c>
      <c r="G13" s="50" t="n">
        <f aca="false">Inputs!$B$96</f>
        <v>0.18</v>
      </c>
      <c r="H13" s="50" t="n">
        <f aca="false">Inputs!$B$96</f>
        <v>0.18</v>
      </c>
      <c r="I13" s="50" t="n">
        <f aca="false">Inputs!$B$96</f>
        <v>0.18</v>
      </c>
      <c r="J13" s="50" t="n">
        <f aca="false">Inputs!$B$96</f>
        <v>0.18</v>
      </c>
      <c r="K13" s="50" t="n">
        <f aca="false">Inputs!$B$96</f>
        <v>0.18</v>
      </c>
      <c r="L13" s="50" t="n">
        <f aca="false">Inputs!$B$96</f>
        <v>0.18</v>
      </c>
      <c r="M13" s="50" t="n">
        <f aca="false">Inputs!$B$96</f>
        <v>0.18</v>
      </c>
      <c r="N13" s="50" t="n">
        <f aca="false">Inputs!$B$96</f>
        <v>0.18</v>
      </c>
      <c r="O13" s="50" t="n">
        <f aca="false">Inputs!$B$96</f>
        <v>0.18</v>
      </c>
      <c r="P13" s="50" t="n">
        <f aca="false">Inputs!$B$96</f>
        <v>0.18</v>
      </c>
      <c r="Q13" s="50" t="n">
        <f aca="false">Inputs!$B$96</f>
        <v>0.18</v>
      </c>
      <c r="R13" s="50" t="n">
        <f aca="false">Inputs!$B$96</f>
        <v>0.18</v>
      </c>
      <c r="S13" s="50" t="n">
        <f aca="false">Inputs!$B$96</f>
        <v>0.18</v>
      </c>
      <c r="T13" s="50" t="n">
        <f aca="false">Inputs!$B$96</f>
        <v>0.18</v>
      </c>
      <c r="U13" s="50" t="n">
        <f aca="false">Sensitivity!$C$14</f>
        <v>0.14</v>
      </c>
      <c r="V13" s="50" t="n">
        <f aca="false">Sensitivity!$D$14</f>
        <v>0.24</v>
      </c>
      <c r="W13" s="50" t="n">
        <f aca="false">Inputs!$B$96</f>
        <v>0.18</v>
      </c>
      <c r="X13" s="50" t="n">
        <f aca="false">Inputs!$B$96</f>
        <v>0.18</v>
      </c>
      <c r="Y13" s="50" t="n">
        <f aca="false">Sensitivity!$E$14</f>
        <v>0.22</v>
      </c>
      <c r="Z13" s="50" t="n">
        <f aca="false">Sensitivity!$F$14</f>
        <v>0.15</v>
      </c>
    </row>
    <row r="14" customFormat="false" ht="15" hidden="false" customHeight="false" outlineLevel="0" collapsed="false">
      <c r="A14" s="6" t="s">
        <v>412</v>
      </c>
      <c r="B14" s="48" t="n">
        <f aca="false">Inputs!$B$103</f>
        <v>1</v>
      </c>
      <c r="C14" s="48" t="n">
        <f aca="false">Inputs!$B$103</f>
        <v>1</v>
      </c>
      <c r="D14" s="48" t="n">
        <f aca="false">Inputs!$B$103</f>
        <v>1</v>
      </c>
      <c r="E14" s="48" t="n">
        <f aca="false">Inputs!$B$103</f>
        <v>1</v>
      </c>
      <c r="F14" s="48" t="n">
        <f aca="false">Inputs!$B$103</f>
        <v>1</v>
      </c>
      <c r="G14" s="48" t="n">
        <f aca="false">Inputs!$B$103</f>
        <v>1</v>
      </c>
      <c r="H14" s="48" t="n">
        <f aca="false">Inputs!$B$103</f>
        <v>1</v>
      </c>
      <c r="I14" s="48" t="n">
        <f aca="false">Inputs!$B$103</f>
        <v>1</v>
      </c>
      <c r="J14" s="48" t="n">
        <f aca="false">Inputs!$B$103</f>
        <v>1</v>
      </c>
      <c r="K14" s="48" t="n">
        <f aca="false">Inputs!$B$103</f>
        <v>1</v>
      </c>
      <c r="L14" s="48" t="n">
        <f aca="false">Inputs!$B$103</f>
        <v>1</v>
      </c>
      <c r="M14" s="48" t="n">
        <f aca="false">Inputs!$B$103</f>
        <v>1</v>
      </c>
      <c r="N14" s="48" t="n">
        <f aca="false">Inputs!$B$103</f>
        <v>1</v>
      </c>
      <c r="O14" s="48" t="n">
        <f aca="false">Inputs!$B$103</f>
        <v>1</v>
      </c>
      <c r="P14" s="48" t="n">
        <f aca="false">Inputs!$B$103</f>
        <v>1</v>
      </c>
      <c r="Q14" s="48" t="n">
        <f aca="false">Inputs!$B$103</f>
        <v>1</v>
      </c>
      <c r="R14" s="48" t="n">
        <f aca="false">Inputs!$B$103</f>
        <v>1</v>
      </c>
      <c r="S14" s="48" t="n">
        <f aca="false">Inputs!$B$103</f>
        <v>1</v>
      </c>
      <c r="T14" s="48" t="n">
        <f aca="false">Inputs!$B$103</f>
        <v>1</v>
      </c>
      <c r="U14" s="48" t="n">
        <f aca="false">Inputs!$B$103</f>
        <v>1</v>
      </c>
      <c r="V14" s="48" t="n">
        <f aca="false">Inputs!$B$103</f>
        <v>1</v>
      </c>
      <c r="W14" s="48" t="n">
        <f aca="false">Sensitivity!$C$15</f>
        <v>0.8</v>
      </c>
      <c r="X14" s="48" t="n">
        <f aca="false">Sensitivity!$D$15</f>
        <v>1.2</v>
      </c>
      <c r="Y14" s="48" t="n">
        <f aca="false">Sensitivity!$E$15</f>
        <v>1</v>
      </c>
      <c r="Z14" s="48" t="n">
        <f aca="false">Sensitivity!$F$15</f>
        <v>1</v>
      </c>
    </row>
    <row r="15" customFormat="false" ht="15" hidden="false" customHeight="false" outlineLevel="0" collapsed="false">
      <c r="A15" s="6" t="s">
        <v>413</v>
      </c>
      <c r="B15" s="41" t="n">
        <f aca="false">(1-(1+B13)^-Inputs!$B$97)/B13</f>
        <v>3.1271710209419</v>
      </c>
      <c r="C15" s="41" t="n">
        <f aca="false">(1-(1+C13)^-Inputs!$B$97)/C13</f>
        <v>3.1271710209419</v>
      </c>
      <c r="D15" s="41" t="n">
        <f aca="false">(1-(1+D13)^-Inputs!$B$97)/D13</f>
        <v>3.1271710209419</v>
      </c>
      <c r="E15" s="41" t="n">
        <f aca="false">(1-(1+E13)^-Inputs!$B$97)/E13</f>
        <v>3.1271710209419</v>
      </c>
      <c r="F15" s="41" t="n">
        <f aca="false">(1-(1+F13)^-Inputs!$B$97)/F13</f>
        <v>3.1271710209419</v>
      </c>
      <c r="G15" s="41" t="n">
        <f aca="false">(1-(1+G13)^-Inputs!$B$97)/G13</f>
        <v>3.1271710209419</v>
      </c>
      <c r="H15" s="41" t="n">
        <f aca="false">(1-(1+H13)^-Inputs!$B$97)/H13</f>
        <v>3.1271710209419</v>
      </c>
      <c r="I15" s="41" t="n">
        <f aca="false">(1-(1+I13)^-Inputs!$B$97)/I13</f>
        <v>3.1271710209419</v>
      </c>
      <c r="J15" s="41" t="n">
        <f aca="false">(1-(1+J13)^-Inputs!$B$97)/J13</f>
        <v>3.1271710209419</v>
      </c>
      <c r="K15" s="41" t="n">
        <f aca="false">(1-(1+K13)^-Inputs!$B$97)/K13</f>
        <v>3.1271710209419</v>
      </c>
      <c r="L15" s="41" t="n">
        <f aca="false">(1-(1+L13)^-Inputs!$B$97)/L13</f>
        <v>3.1271710209419</v>
      </c>
      <c r="M15" s="41" t="n">
        <f aca="false">(1-(1+M13)^-Inputs!$B$97)/M13</f>
        <v>3.1271710209419</v>
      </c>
      <c r="N15" s="41" t="n">
        <f aca="false">(1-(1+N13)^-Inputs!$B$97)/N13</f>
        <v>3.1271710209419</v>
      </c>
      <c r="O15" s="41" t="n">
        <f aca="false">(1-(1+O13)^-Inputs!$B$97)/O13</f>
        <v>3.1271710209419</v>
      </c>
      <c r="P15" s="41" t="n">
        <f aca="false">(1-(1+P13)^-Inputs!$B$97)/P13</f>
        <v>3.1271710209419</v>
      </c>
      <c r="Q15" s="41" t="n">
        <f aca="false">(1-(1+Q13)^-Inputs!$B$97)/Q13</f>
        <v>3.1271710209419</v>
      </c>
      <c r="R15" s="41" t="n">
        <f aca="false">(1-(1+R13)^-Inputs!$B$97)/R13</f>
        <v>3.1271710209419</v>
      </c>
      <c r="S15" s="41" t="n">
        <f aca="false">(1-(1+S13)^-Inputs!$B$97)/S13</f>
        <v>3.1271710209419</v>
      </c>
      <c r="T15" s="41" t="n">
        <f aca="false">(1-(1+T13)^-Inputs!$B$97)/T13</f>
        <v>3.1271710209419</v>
      </c>
      <c r="U15" s="41" t="n">
        <f aca="false">(1-(1+U13)^-Inputs!$B$97)/U13</f>
        <v>3.43308096885846</v>
      </c>
      <c r="V15" s="41" t="n">
        <f aca="false">(1-(1+V13)^-Inputs!$B$97)/V13</f>
        <v>2.74538441604503</v>
      </c>
      <c r="W15" s="41" t="n">
        <f aca="false">(1-(1+W13)^-Inputs!$B$97)/W13</f>
        <v>3.1271710209419</v>
      </c>
      <c r="X15" s="41" t="n">
        <f aca="false">(1-(1+X13)^-Inputs!$B$97)/X13</f>
        <v>3.1271710209419</v>
      </c>
      <c r="Y15" s="41" t="n">
        <f aca="false">(1-(1+Y13)^-Inputs!$B$97)/Y13</f>
        <v>2.86363976154804</v>
      </c>
      <c r="Z15" s="41" t="n">
        <f aca="false">(1-(1+Z13)^-Inputs!$B$97)/Z13</f>
        <v>3.3521550980114</v>
      </c>
    </row>
    <row r="16" customFormat="false" ht="15" hidden="false" customHeight="false" outlineLevel="0" collapsed="false">
      <c r="A16" s="6" t="s">
        <v>56</v>
      </c>
      <c r="B16" s="18" t="n">
        <f aca="false">B4*Inputs!$B$9</f>
        <v>16</v>
      </c>
      <c r="C16" s="18" t="n">
        <f aca="false">C4*Inputs!$B$9</f>
        <v>8</v>
      </c>
      <c r="D16" s="18" t="n">
        <f aca="false">D4*Inputs!$B$9</f>
        <v>20</v>
      </c>
      <c r="E16" s="18" t="n">
        <f aca="false">E4*Inputs!$B$9</f>
        <v>16</v>
      </c>
      <c r="F16" s="18" t="n">
        <f aca="false">F4*Inputs!$B$9</f>
        <v>16</v>
      </c>
      <c r="G16" s="18" t="n">
        <f aca="false">G4*Inputs!$B$9</f>
        <v>16</v>
      </c>
      <c r="H16" s="18" t="n">
        <f aca="false">H4*Inputs!$B$9</f>
        <v>16</v>
      </c>
      <c r="I16" s="18" t="n">
        <f aca="false">I4*Inputs!$B$9</f>
        <v>16</v>
      </c>
      <c r="J16" s="18" t="n">
        <f aca="false">J4*Inputs!$B$9</f>
        <v>16</v>
      </c>
      <c r="K16" s="18" t="n">
        <f aca="false">K4*Inputs!$B$9</f>
        <v>16</v>
      </c>
      <c r="L16" s="18" t="n">
        <f aca="false">L4*Inputs!$B$9</f>
        <v>16</v>
      </c>
      <c r="M16" s="18" t="n">
        <f aca="false">M4*Inputs!$B$9</f>
        <v>16</v>
      </c>
      <c r="N16" s="18" t="n">
        <f aca="false">N4*Inputs!$B$9</f>
        <v>16</v>
      </c>
      <c r="O16" s="18" t="n">
        <f aca="false">O4*Inputs!$B$9</f>
        <v>16</v>
      </c>
      <c r="P16" s="18" t="n">
        <f aca="false">P4*Inputs!$B$9</f>
        <v>16</v>
      </c>
      <c r="Q16" s="18" t="n">
        <f aca="false">Q4*Inputs!$B$9</f>
        <v>16</v>
      </c>
      <c r="R16" s="18" t="n">
        <f aca="false">R4*Inputs!$B$9</f>
        <v>16</v>
      </c>
      <c r="S16" s="18" t="n">
        <f aca="false">S4*Inputs!$B$9</f>
        <v>16</v>
      </c>
      <c r="T16" s="18" t="n">
        <f aca="false">T4*Inputs!$B$9</f>
        <v>16</v>
      </c>
      <c r="U16" s="18" t="n">
        <f aca="false">U4*Inputs!$B$9</f>
        <v>16</v>
      </c>
      <c r="V16" s="18" t="n">
        <f aca="false">V4*Inputs!$B$9</f>
        <v>16</v>
      </c>
      <c r="W16" s="18" t="n">
        <f aca="false">W4*Inputs!$B$9</f>
        <v>16</v>
      </c>
      <c r="X16" s="18" t="n">
        <f aca="false">X4*Inputs!$B$9</f>
        <v>16</v>
      </c>
      <c r="Y16" s="18" t="n">
        <f aca="false">Y4*Inputs!$B$9</f>
        <v>10</v>
      </c>
      <c r="Z16" s="18" t="n">
        <f aca="false">Z4*Inputs!$B$9</f>
        <v>20</v>
      </c>
    </row>
    <row r="17" customFormat="false" ht="15" hidden="false" customHeight="false" outlineLevel="0" collapsed="false">
      <c r="A17" s="6" t="s">
        <v>57</v>
      </c>
      <c r="B17" s="18" t="n">
        <f aca="false">B4*Inputs!$B$10</f>
        <v>24</v>
      </c>
      <c r="C17" s="18" t="n">
        <f aca="false">C4*Inputs!$B$10</f>
        <v>12</v>
      </c>
      <c r="D17" s="18" t="n">
        <f aca="false">D4*Inputs!$B$10</f>
        <v>30</v>
      </c>
      <c r="E17" s="18" t="n">
        <f aca="false">E4*Inputs!$B$10</f>
        <v>24</v>
      </c>
      <c r="F17" s="18" t="n">
        <f aca="false">F4*Inputs!$B$10</f>
        <v>24</v>
      </c>
      <c r="G17" s="18" t="n">
        <f aca="false">G4*Inputs!$B$10</f>
        <v>24</v>
      </c>
      <c r="H17" s="18" t="n">
        <f aca="false">H4*Inputs!$B$10</f>
        <v>24</v>
      </c>
      <c r="I17" s="18" t="n">
        <f aca="false">I4*Inputs!$B$10</f>
        <v>24</v>
      </c>
      <c r="J17" s="18" t="n">
        <f aca="false">J4*Inputs!$B$10</f>
        <v>24</v>
      </c>
      <c r="K17" s="18" t="n">
        <f aca="false">K4*Inputs!$B$10</f>
        <v>24</v>
      </c>
      <c r="L17" s="18" t="n">
        <f aca="false">L4*Inputs!$B$10</f>
        <v>24</v>
      </c>
      <c r="M17" s="18" t="n">
        <f aca="false">M4*Inputs!$B$10</f>
        <v>24</v>
      </c>
      <c r="N17" s="18" t="n">
        <f aca="false">N4*Inputs!$B$10</f>
        <v>24</v>
      </c>
      <c r="O17" s="18" t="n">
        <f aca="false">O4*Inputs!$B$10</f>
        <v>24</v>
      </c>
      <c r="P17" s="18" t="n">
        <f aca="false">P4*Inputs!$B$10</f>
        <v>24</v>
      </c>
      <c r="Q17" s="18" t="n">
        <f aca="false">Q4*Inputs!$B$10</f>
        <v>24</v>
      </c>
      <c r="R17" s="18" t="n">
        <f aca="false">R4*Inputs!$B$10</f>
        <v>24</v>
      </c>
      <c r="S17" s="18" t="n">
        <f aca="false">S4*Inputs!$B$10</f>
        <v>24</v>
      </c>
      <c r="T17" s="18" t="n">
        <f aca="false">T4*Inputs!$B$10</f>
        <v>24</v>
      </c>
      <c r="U17" s="18" t="n">
        <f aca="false">U4*Inputs!$B$10</f>
        <v>24</v>
      </c>
      <c r="V17" s="18" t="n">
        <f aca="false">V4*Inputs!$B$10</f>
        <v>24</v>
      </c>
      <c r="W17" s="18" t="n">
        <f aca="false">W4*Inputs!$B$10</f>
        <v>24</v>
      </c>
      <c r="X17" s="18" t="n">
        <f aca="false">X4*Inputs!$B$10</f>
        <v>24</v>
      </c>
      <c r="Y17" s="18" t="n">
        <f aca="false">Y4*Inputs!$B$10</f>
        <v>15</v>
      </c>
      <c r="Z17" s="18" t="n">
        <f aca="false">Z4*Inputs!$B$10</f>
        <v>30</v>
      </c>
    </row>
    <row r="18" customFormat="false" ht="15" hidden="false" customHeight="false" outlineLevel="0" collapsed="false">
      <c r="A18" s="6" t="s">
        <v>58</v>
      </c>
      <c r="B18" s="18" t="n">
        <f aca="false">B4+1</f>
        <v>9</v>
      </c>
      <c r="C18" s="18" t="n">
        <f aca="false">C4+1</f>
        <v>5</v>
      </c>
      <c r="D18" s="18" t="n">
        <f aca="false">D4+1</f>
        <v>11</v>
      </c>
      <c r="E18" s="18" t="n">
        <f aca="false">E4+1</f>
        <v>9</v>
      </c>
      <c r="F18" s="18" t="n">
        <f aca="false">F4+1</f>
        <v>9</v>
      </c>
      <c r="G18" s="18" t="n">
        <f aca="false">G4+1</f>
        <v>9</v>
      </c>
      <c r="H18" s="18" t="n">
        <f aca="false">H4+1</f>
        <v>9</v>
      </c>
      <c r="I18" s="18" t="n">
        <f aca="false">I4+1</f>
        <v>9</v>
      </c>
      <c r="J18" s="18" t="n">
        <f aca="false">J4+1</f>
        <v>9</v>
      </c>
      <c r="K18" s="18" t="n">
        <f aca="false">K4+1</f>
        <v>9</v>
      </c>
      <c r="L18" s="18" t="n">
        <f aca="false">L4+1</f>
        <v>9</v>
      </c>
      <c r="M18" s="18" t="n">
        <f aca="false">M4+1</f>
        <v>9</v>
      </c>
      <c r="N18" s="18" t="n">
        <f aca="false">N4+1</f>
        <v>9</v>
      </c>
      <c r="O18" s="18" t="n">
        <f aca="false">O4+1</f>
        <v>9</v>
      </c>
      <c r="P18" s="18" t="n">
        <f aca="false">P4+1</f>
        <v>9</v>
      </c>
      <c r="Q18" s="18" t="n">
        <f aca="false">Q4+1</f>
        <v>9</v>
      </c>
      <c r="R18" s="18" t="n">
        <f aca="false">R4+1</f>
        <v>9</v>
      </c>
      <c r="S18" s="18" t="n">
        <f aca="false">S4+1</f>
        <v>9</v>
      </c>
      <c r="T18" s="18" t="n">
        <f aca="false">T4+1</f>
        <v>9</v>
      </c>
      <c r="U18" s="18" t="n">
        <f aca="false">U4+1</f>
        <v>9</v>
      </c>
      <c r="V18" s="18" t="n">
        <f aca="false">V4+1</f>
        <v>9</v>
      </c>
      <c r="W18" s="18" t="n">
        <f aca="false">W4+1</f>
        <v>9</v>
      </c>
      <c r="X18" s="18" t="n">
        <f aca="false">X4+1</f>
        <v>9</v>
      </c>
      <c r="Y18" s="18" t="n">
        <f aca="false">Y4+1</f>
        <v>6</v>
      </c>
      <c r="Z18" s="18" t="n">
        <f aca="false">Z4+1</f>
        <v>11</v>
      </c>
    </row>
    <row r="19" customFormat="false" ht="15" hidden="false" customHeight="false" outlineLevel="0" collapsed="false">
      <c r="A19" s="6" t="s">
        <v>59</v>
      </c>
      <c r="B19" s="18" t="n">
        <f aca="false">ROUND(B4*Inputs!$B$12,0)</f>
        <v>5</v>
      </c>
      <c r="C19" s="18" t="n">
        <f aca="false">ROUND(C4*Inputs!$B$12,0)</f>
        <v>2</v>
      </c>
      <c r="D19" s="18" t="n">
        <f aca="false">ROUND(D4*Inputs!$B$12,0)</f>
        <v>6</v>
      </c>
      <c r="E19" s="18" t="n">
        <f aca="false">ROUND(E4*Inputs!$B$12,0)</f>
        <v>5</v>
      </c>
      <c r="F19" s="18" t="n">
        <f aca="false">ROUND(F4*Inputs!$B$12,0)</f>
        <v>5</v>
      </c>
      <c r="G19" s="18" t="n">
        <f aca="false">ROUND(G4*Inputs!$B$12,0)</f>
        <v>5</v>
      </c>
      <c r="H19" s="18" t="n">
        <f aca="false">ROUND(H4*Inputs!$B$12,0)</f>
        <v>5</v>
      </c>
      <c r="I19" s="18" t="n">
        <f aca="false">ROUND(I4*Inputs!$B$12,0)</f>
        <v>5</v>
      </c>
      <c r="J19" s="18" t="n">
        <f aca="false">ROUND(J4*Inputs!$B$12,0)</f>
        <v>5</v>
      </c>
      <c r="K19" s="18" t="n">
        <f aca="false">ROUND(K4*Inputs!$B$12,0)</f>
        <v>5</v>
      </c>
      <c r="L19" s="18" t="n">
        <f aca="false">ROUND(L4*Inputs!$B$12,0)</f>
        <v>5</v>
      </c>
      <c r="M19" s="18" t="n">
        <f aca="false">ROUND(M4*Inputs!$B$12,0)</f>
        <v>5</v>
      </c>
      <c r="N19" s="18" t="n">
        <f aca="false">ROUND(N4*Inputs!$B$12,0)</f>
        <v>5</v>
      </c>
      <c r="O19" s="18" t="n">
        <f aca="false">ROUND(O4*Inputs!$B$12,0)</f>
        <v>5</v>
      </c>
      <c r="P19" s="18" t="n">
        <f aca="false">ROUND(P4*Inputs!$B$12,0)</f>
        <v>5</v>
      </c>
      <c r="Q19" s="18" t="n">
        <f aca="false">ROUND(Q4*Inputs!$B$12,0)</f>
        <v>5</v>
      </c>
      <c r="R19" s="18" t="n">
        <f aca="false">ROUND(R4*Inputs!$B$12,0)</f>
        <v>5</v>
      </c>
      <c r="S19" s="18" t="n">
        <f aca="false">ROUND(S4*Inputs!$B$12,0)</f>
        <v>5</v>
      </c>
      <c r="T19" s="18" t="n">
        <f aca="false">ROUND(T4*Inputs!$B$12,0)</f>
        <v>5</v>
      </c>
      <c r="U19" s="18" t="n">
        <f aca="false">ROUND(U4*Inputs!$B$12,0)</f>
        <v>5</v>
      </c>
      <c r="V19" s="18" t="n">
        <f aca="false">ROUND(V4*Inputs!$B$12,0)</f>
        <v>5</v>
      </c>
      <c r="W19" s="18" t="n">
        <f aca="false">ROUND(W4*Inputs!$B$12,0)</f>
        <v>5</v>
      </c>
      <c r="X19" s="18" t="n">
        <f aca="false">ROUND(X4*Inputs!$B$12,0)</f>
        <v>5</v>
      </c>
      <c r="Y19" s="18" t="n">
        <f aca="false">ROUND(Y4*Inputs!$B$12,0)</f>
        <v>3</v>
      </c>
      <c r="Z19" s="18" t="n">
        <f aca="false">ROUND(Z4*Inputs!$B$12,0)</f>
        <v>6</v>
      </c>
    </row>
    <row r="20" customFormat="false" ht="15" hidden="false" customHeight="false" outlineLevel="0" collapsed="false">
      <c r="A20" s="6" t="s">
        <v>283</v>
      </c>
      <c r="B20" s="18" t="n">
        <f aca="false">IF(B4&gt;Inputs!$B$13,2,1)</f>
        <v>2</v>
      </c>
      <c r="C20" s="18" t="n">
        <f aca="false">IF(C4&gt;Inputs!$B$13,2,1)</f>
        <v>1</v>
      </c>
      <c r="D20" s="18" t="n">
        <f aca="false">IF(D4&gt;Inputs!$B$13,2,1)</f>
        <v>2</v>
      </c>
      <c r="E20" s="18" t="n">
        <f aca="false">IF(E4&gt;Inputs!$B$13,2,1)</f>
        <v>2</v>
      </c>
      <c r="F20" s="18" t="n">
        <f aca="false">IF(F4&gt;Inputs!$B$13,2,1)</f>
        <v>2</v>
      </c>
      <c r="G20" s="18" t="n">
        <f aca="false">IF(G4&gt;Inputs!$B$13,2,1)</f>
        <v>2</v>
      </c>
      <c r="H20" s="18" t="n">
        <f aca="false">IF(H4&gt;Inputs!$B$13,2,1)</f>
        <v>2</v>
      </c>
      <c r="I20" s="18" t="n">
        <f aca="false">IF(I4&gt;Inputs!$B$13,2,1)</f>
        <v>2</v>
      </c>
      <c r="J20" s="18" t="n">
        <f aca="false">IF(J4&gt;Inputs!$B$13,2,1)</f>
        <v>2</v>
      </c>
      <c r="K20" s="18" t="n">
        <f aca="false">IF(K4&gt;Inputs!$B$13,2,1)</f>
        <v>2</v>
      </c>
      <c r="L20" s="18" t="n">
        <f aca="false">IF(L4&gt;Inputs!$B$13,2,1)</f>
        <v>2</v>
      </c>
      <c r="M20" s="18" t="n">
        <f aca="false">IF(M4&gt;Inputs!$B$13,2,1)</f>
        <v>2</v>
      </c>
      <c r="N20" s="18" t="n">
        <f aca="false">IF(N4&gt;Inputs!$B$13,2,1)</f>
        <v>2</v>
      </c>
      <c r="O20" s="18" t="n">
        <f aca="false">IF(O4&gt;Inputs!$B$13,2,1)</f>
        <v>2</v>
      </c>
      <c r="P20" s="18" t="n">
        <f aca="false">IF(P4&gt;Inputs!$B$13,2,1)</f>
        <v>2</v>
      </c>
      <c r="Q20" s="18" t="n">
        <f aca="false">IF(Q4&gt;Inputs!$B$13,2,1)</f>
        <v>2</v>
      </c>
      <c r="R20" s="18" t="n">
        <f aca="false">IF(R4&gt;Inputs!$B$13,2,1)</f>
        <v>2</v>
      </c>
      <c r="S20" s="18" t="n">
        <f aca="false">IF(S4&gt;Inputs!$B$13,2,1)</f>
        <v>2</v>
      </c>
      <c r="T20" s="18" t="n">
        <f aca="false">IF(T4&gt;Inputs!$B$13,2,1)</f>
        <v>2</v>
      </c>
      <c r="U20" s="18" t="n">
        <f aca="false">IF(U4&gt;Inputs!$B$13,2,1)</f>
        <v>2</v>
      </c>
      <c r="V20" s="18" t="n">
        <f aca="false">IF(V4&gt;Inputs!$B$13,2,1)</f>
        <v>2</v>
      </c>
      <c r="W20" s="18" t="n">
        <f aca="false">IF(W4&gt;Inputs!$B$13,2,1)</f>
        <v>2</v>
      </c>
      <c r="X20" s="18" t="n">
        <f aca="false">IF(X4&gt;Inputs!$B$13,2,1)</f>
        <v>2</v>
      </c>
      <c r="Y20" s="18" t="n">
        <f aca="false">IF(Y4&gt;Inputs!$B$13,2,1)</f>
        <v>1</v>
      </c>
      <c r="Z20" s="18" t="n">
        <f aca="false">IF(Z4&gt;Inputs!$B$13,2,1)</f>
        <v>2</v>
      </c>
    </row>
    <row r="21" customFormat="false" ht="15" hidden="false" customHeight="false" outlineLevel="0" collapsed="false">
      <c r="A21" s="6" t="s">
        <v>414</v>
      </c>
      <c r="B21" s="18" t="n">
        <f aca="false">B16+B17+B18</f>
        <v>49</v>
      </c>
      <c r="C21" s="18" t="n">
        <f aca="false">C16+C17+C18</f>
        <v>25</v>
      </c>
      <c r="D21" s="18" t="n">
        <f aca="false">D16+D17+D18</f>
        <v>61</v>
      </c>
      <c r="E21" s="18" t="n">
        <f aca="false">E16+E17+E18</f>
        <v>49</v>
      </c>
      <c r="F21" s="18" t="n">
        <f aca="false">F16+F17+F18</f>
        <v>49</v>
      </c>
      <c r="G21" s="18" t="n">
        <f aca="false">G16+G17+G18</f>
        <v>49</v>
      </c>
      <c r="H21" s="18" t="n">
        <f aca="false">H16+H17+H18</f>
        <v>49</v>
      </c>
      <c r="I21" s="18" t="n">
        <f aca="false">I16+I17+I18</f>
        <v>49</v>
      </c>
      <c r="J21" s="18" t="n">
        <f aca="false">J16+J17+J18</f>
        <v>49</v>
      </c>
      <c r="K21" s="18" t="n">
        <f aca="false">K16+K17+K18</f>
        <v>49</v>
      </c>
      <c r="L21" s="18" t="n">
        <f aca="false">L16+L17+L18</f>
        <v>49</v>
      </c>
      <c r="M21" s="18" t="n">
        <f aca="false">M16+M17+M18</f>
        <v>49</v>
      </c>
      <c r="N21" s="18" t="n">
        <f aca="false">N16+N17+N18</f>
        <v>49</v>
      </c>
      <c r="O21" s="18" t="n">
        <f aca="false">O16+O17+O18</f>
        <v>49</v>
      </c>
      <c r="P21" s="18" t="n">
        <f aca="false">P16+P17+P18</f>
        <v>49</v>
      </c>
      <c r="Q21" s="18" t="n">
        <f aca="false">Q16+Q17+Q18</f>
        <v>49</v>
      </c>
      <c r="R21" s="18" t="n">
        <f aca="false">R16+R17+R18</f>
        <v>49</v>
      </c>
      <c r="S21" s="18" t="n">
        <f aca="false">S16+S17+S18</f>
        <v>49</v>
      </c>
      <c r="T21" s="18" t="n">
        <f aca="false">T16+T17+T18</f>
        <v>49</v>
      </c>
      <c r="U21" s="18" t="n">
        <f aca="false">U16+U17+U18</f>
        <v>49</v>
      </c>
      <c r="V21" s="18" t="n">
        <f aca="false">V16+V17+V18</f>
        <v>49</v>
      </c>
      <c r="W21" s="18" t="n">
        <f aca="false">W16+W17+W18</f>
        <v>49</v>
      </c>
      <c r="X21" s="18" t="n">
        <f aca="false">X16+X17+X18</f>
        <v>49</v>
      </c>
      <c r="Y21" s="18" t="n">
        <f aca="false">Y16+Y17+Y18</f>
        <v>31</v>
      </c>
      <c r="Z21" s="18" t="n">
        <f aca="false">Z16+Z17+Z18</f>
        <v>61</v>
      </c>
    </row>
    <row r="22" customFormat="false" ht="15" hidden="false" customHeight="false" outlineLevel="0" collapsed="false">
      <c r="A22" s="6" t="s">
        <v>66</v>
      </c>
      <c r="B22" s="18" t="n">
        <f aca="false">B4+Inputs!$B$11</f>
        <v>10</v>
      </c>
      <c r="C22" s="18" t="n">
        <f aca="false">C4+Inputs!$B$11</f>
        <v>6</v>
      </c>
      <c r="D22" s="18" t="n">
        <f aca="false">D4+Inputs!$B$11</f>
        <v>12</v>
      </c>
      <c r="E22" s="18" t="n">
        <f aca="false">E4+Inputs!$B$11</f>
        <v>10</v>
      </c>
      <c r="F22" s="18" t="n">
        <f aca="false">F4+Inputs!$B$11</f>
        <v>10</v>
      </c>
      <c r="G22" s="18" t="n">
        <f aca="false">G4+Inputs!$B$11</f>
        <v>10</v>
      </c>
      <c r="H22" s="18" t="n">
        <f aca="false">H4+Inputs!$B$11</f>
        <v>10</v>
      </c>
      <c r="I22" s="18" t="n">
        <f aca="false">I4+Inputs!$B$11</f>
        <v>10</v>
      </c>
      <c r="J22" s="18" t="n">
        <f aca="false">J4+Inputs!$B$11</f>
        <v>10</v>
      </c>
      <c r="K22" s="18" t="n">
        <f aca="false">K4+Inputs!$B$11</f>
        <v>10</v>
      </c>
      <c r="L22" s="18" t="n">
        <f aca="false">L4+Inputs!$B$11</f>
        <v>10</v>
      </c>
      <c r="M22" s="18" t="n">
        <f aca="false">M4+Inputs!$B$11</f>
        <v>10</v>
      </c>
      <c r="N22" s="18" t="n">
        <f aca="false">N4+Inputs!$B$11</f>
        <v>10</v>
      </c>
      <c r="O22" s="18" t="n">
        <f aca="false">O4+Inputs!$B$11</f>
        <v>10</v>
      </c>
      <c r="P22" s="18" t="n">
        <f aca="false">P4+Inputs!$B$11</f>
        <v>10</v>
      </c>
      <c r="Q22" s="18" t="n">
        <f aca="false">Q4+Inputs!$B$11</f>
        <v>10</v>
      </c>
      <c r="R22" s="18" t="n">
        <f aca="false">R4+Inputs!$B$11</f>
        <v>10</v>
      </c>
      <c r="S22" s="18" t="n">
        <f aca="false">S4+Inputs!$B$11</f>
        <v>10</v>
      </c>
      <c r="T22" s="18" t="n">
        <f aca="false">T4+Inputs!$B$11</f>
        <v>10</v>
      </c>
      <c r="U22" s="18" t="n">
        <f aca="false">U4+Inputs!$B$11</f>
        <v>10</v>
      </c>
      <c r="V22" s="18" t="n">
        <f aca="false">V4+Inputs!$B$11</f>
        <v>10</v>
      </c>
      <c r="W22" s="18" t="n">
        <f aca="false">W4+Inputs!$B$11</f>
        <v>10</v>
      </c>
      <c r="X22" s="18" t="n">
        <f aca="false">X4+Inputs!$B$11</f>
        <v>10</v>
      </c>
      <c r="Y22" s="18" t="n">
        <f aca="false">Y4+Inputs!$B$11</f>
        <v>7</v>
      </c>
      <c r="Z22" s="18" t="n">
        <f aca="false">Z4+Inputs!$B$11</f>
        <v>12</v>
      </c>
    </row>
    <row r="23" customFormat="false" ht="15" hidden="false" customHeight="false" outlineLevel="0" collapsed="false">
      <c r="A23" s="6" t="s">
        <v>292</v>
      </c>
      <c r="B23" s="33" t="n">
        <f aca="false">B16*(Inputs!$B$16+Inputs!$B$17)+B18*(Inputs!$B$18+Inputs!$B$19*Inputs!$B$20)+B17*(Inputs!$B$21+Inputs!$B$22)+Inputs!$B$23+B19*Inputs!$B$24+B20*Inputs!$B$25+B22*Inputs!$B$26+Inputs!$B$27</f>
        <v>136350</v>
      </c>
      <c r="C23" s="33" t="n">
        <f aca="false">C16*(Inputs!$B$16+Inputs!$B$17)+C18*(Inputs!$B$18+Inputs!$B$19*Inputs!$B$20)+C17*(Inputs!$B$21+Inputs!$B$22)+Inputs!$B$23+C19*Inputs!$B$24+C20*Inputs!$B$25+C22*Inputs!$B$26+Inputs!$B$27</f>
        <v>74650</v>
      </c>
      <c r="D23" s="33" t="n">
        <f aca="false">D16*(Inputs!$B$16+Inputs!$B$17)+D18*(Inputs!$B$18+Inputs!$B$19*Inputs!$B$20)+D17*(Inputs!$B$21+Inputs!$B$22)+Inputs!$B$23+D19*Inputs!$B$24+D20*Inputs!$B$25+D22*Inputs!$B$26+Inputs!$B$27</f>
        <v>157450</v>
      </c>
      <c r="E23" s="33" t="n">
        <f aca="false">E16*(Inputs!$B$16+Inputs!$B$17)+E18*(Inputs!$B$18+Inputs!$B$19*Inputs!$B$20)+E17*(Inputs!$B$21+Inputs!$B$22)+Inputs!$B$23+E19*Inputs!$B$24+E20*Inputs!$B$25+E22*Inputs!$B$26+Inputs!$B$27</f>
        <v>136350</v>
      </c>
      <c r="F23" s="33" t="n">
        <f aca="false">F16*(Inputs!$B$16+Inputs!$B$17)+F18*(Inputs!$B$18+Inputs!$B$19*Inputs!$B$20)+F17*(Inputs!$B$21+Inputs!$B$22)+Inputs!$B$23+F19*Inputs!$B$24+F20*Inputs!$B$25+F22*Inputs!$B$26+Inputs!$B$27</f>
        <v>136350</v>
      </c>
      <c r="G23" s="33" t="n">
        <f aca="false">G16*(Inputs!$B$16+Inputs!$B$17)+G18*(Inputs!$B$18+Inputs!$B$19*Inputs!$B$20)+G17*(Inputs!$B$21+Inputs!$B$22)+Inputs!$B$23+G19*Inputs!$B$24+G20*Inputs!$B$25+G22*Inputs!$B$26+Inputs!$B$27</f>
        <v>136350</v>
      </c>
      <c r="H23" s="33" t="n">
        <f aca="false">H16*(Inputs!$B$16+Inputs!$B$17)+H18*(Inputs!$B$18+Inputs!$B$19*Inputs!$B$20)+H17*(Inputs!$B$21+Inputs!$B$22)+Inputs!$B$23+H19*Inputs!$B$24+H20*Inputs!$B$25+H22*Inputs!$B$26+Inputs!$B$27</f>
        <v>136350</v>
      </c>
      <c r="I23" s="33" t="n">
        <f aca="false">I16*(Inputs!$B$16+Inputs!$B$17)+I18*(Inputs!$B$18+Inputs!$B$19*Inputs!$B$20)+I17*(Inputs!$B$21+Inputs!$B$22)+Inputs!$B$23+I19*Inputs!$B$24+I20*Inputs!$B$25+I22*Inputs!$B$26+Inputs!$B$27</f>
        <v>136350</v>
      </c>
      <c r="J23" s="33" t="n">
        <f aca="false">J16*(Inputs!$B$16+Inputs!$B$17)+J18*(Inputs!$B$18+Inputs!$B$19*Inputs!$B$20)+J17*(Inputs!$B$21+Inputs!$B$22)+Inputs!$B$23+J19*Inputs!$B$24+J20*Inputs!$B$25+J22*Inputs!$B$26+Inputs!$B$27</f>
        <v>136350</v>
      </c>
      <c r="K23" s="33" t="n">
        <f aca="false">K16*(Inputs!$B$16+Inputs!$B$17)+K18*(Inputs!$B$18+Inputs!$B$19*Inputs!$B$20)+K17*(Inputs!$B$21+Inputs!$B$22)+Inputs!$B$23+K19*Inputs!$B$24+K20*Inputs!$B$25+K22*Inputs!$B$26+Inputs!$B$27</f>
        <v>136350</v>
      </c>
      <c r="L23" s="33" t="n">
        <f aca="false">L16*(Inputs!$B$16+Inputs!$B$17)+L18*(Inputs!$B$18+Inputs!$B$19*Inputs!$B$20)+L17*(Inputs!$B$21+Inputs!$B$22)+Inputs!$B$23+L19*Inputs!$B$24+L20*Inputs!$B$25+L22*Inputs!$B$26+Inputs!$B$27</f>
        <v>136350</v>
      </c>
      <c r="M23" s="33" t="n">
        <f aca="false">M16*(Inputs!$B$16+Inputs!$B$17)+M18*(Inputs!$B$18+Inputs!$B$19*Inputs!$B$20)+M17*(Inputs!$B$21+Inputs!$B$22)+Inputs!$B$23+M19*Inputs!$B$24+M20*Inputs!$B$25+M22*Inputs!$B$26+Inputs!$B$27</f>
        <v>136350</v>
      </c>
      <c r="N23" s="33" t="n">
        <f aca="false">N16*(Inputs!$B$16+Inputs!$B$17)+N18*(Inputs!$B$18+Inputs!$B$19*Inputs!$B$20)+N17*(Inputs!$B$21+Inputs!$B$22)+Inputs!$B$23+N19*Inputs!$B$24+N20*Inputs!$B$25+N22*Inputs!$B$26+Inputs!$B$27</f>
        <v>136350</v>
      </c>
      <c r="O23" s="33" t="n">
        <f aca="false">O16*(Inputs!$B$16+Inputs!$B$17)+O18*(Inputs!$B$18+Inputs!$B$19*Inputs!$B$20)+O17*(Inputs!$B$21+Inputs!$B$22)+Inputs!$B$23+O19*Inputs!$B$24+O20*Inputs!$B$25+O22*Inputs!$B$26+Inputs!$B$27</f>
        <v>136350</v>
      </c>
      <c r="P23" s="33" t="n">
        <f aca="false">P16*(Inputs!$B$16+Inputs!$B$17)+P18*(Inputs!$B$18+Inputs!$B$19*Inputs!$B$20)+P17*(Inputs!$B$21+Inputs!$B$22)+Inputs!$B$23+P19*Inputs!$B$24+P20*Inputs!$B$25+P22*Inputs!$B$26+Inputs!$B$27</f>
        <v>136350</v>
      </c>
      <c r="Q23" s="33" t="n">
        <f aca="false">Q16*(Inputs!$B$16+Inputs!$B$17)+Q18*(Inputs!$B$18+Inputs!$B$19*Inputs!$B$20)+Q17*(Inputs!$B$21+Inputs!$B$22)+Inputs!$B$23+Q19*Inputs!$B$24+Q20*Inputs!$B$25+Q22*Inputs!$B$26+Inputs!$B$27</f>
        <v>136350</v>
      </c>
      <c r="R23" s="33" t="n">
        <f aca="false">R16*(Inputs!$B$16+Inputs!$B$17)+R18*(Inputs!$B$18+Inputs!$B$19*Inputs!$B$20)+R17*(Inputs!$B$21+Inputs!$B$22)+Inputs!$B$23+R19*Inputs!$B$24+R20*Inputs!$B$25+R22*Inputs!$B$26+Inputs!$B$27</f>
        <v>136350</v>
      </c>
      <c r="S23" s="33" t="n">
        <f aca="false">S16*(Inputs!$B$16+Inputs!$B$17)+S18*(Inputs!$B$18+Inputs!$B$19*Inputs!$B$20)+S17*(Inputs!$B$21+Inputs!$B$22)+Inputs!$B$23+S19*Inputs!$B$24+S20*Inputs!$B$25+S22*Inputs!$B$26+Inputs!$B$27</f>
        <v>136350</v>
      </c>
      <c r="T23" s="33" t="n">
        <f aca="false">T16*(Inputs!$B$16+Inputs!$B$17)+T18*(Inputs!$B$18+Inputs!$B$19*Inputs!$B$20)+T17*(Inputs!$B$21+Inputs!$B$22)+Inputs!$B$23+T19*Inputs!$B$24+T20*Inputs!$B$25+T22*Inputs!$B$26+Inputs!$B$27</f>
        <v>136350</v>
      </c>
      <c r="U23" s="33" t="n">
        <f aca="false">U16*(Inputs!$B$16+Inputs!$B$17)+U18*(Inputs!$B$18+Inputs!$B$19*Inputs!$B$20)+U17*(Inputs!$B$21+Inputs!$B$22)+Inputs!$B$23+U19*Inputs!$B$24+U20*Inputs!$B$25+U22*Inputs!$B$26+Inputs!$B$27</f>
        <v>136350</v>
      </c>
      <c r="V23" s="33" t="n">
        <f aca="false">V16*(Inputs!$B$16+Inputs!$B$17)+V18*(Inputs!$B$18+Inputs!$B$19*Inputs!$B$20)+V17*(Inputs!$B$21+Inputs!$B$22)+Inputs!$B$23+V19*Inputs!$B$24+V20*Inputs!$B$25+V22*Inputs!$B$26+Inputs!$B$27</f>
        <v>136350</v>
      </c>
      <c r="W23" s="33" t="n">
        <f aca="false">W16*(Inputs!$B$16+Inputs!$B$17)+W18*(Inputs!$B$18+Inputs!$B$19*Inputs!$B$20)+W17*(Inputs!$B$21+Inputs!$B$22)+Inputs!$B$23+W19*Inputs!$B$24+W20*Inputs!$B$25+W22*Inputs!$B$26+Inputs!$B$27</f>
        <v>136350</v>
      </c>
      <c r="X23" s="33" t="n">
        <f aca="false">X16*(Inputs!$B$16+Inputs!$B$17)+X18*(Inputs!$B$18+Inputs!$B$19*Inputs!$B$20)+X17*(Inputs!$B$21+Inputs!$B$22)+Inputs!$B$23+X19*Inputs!$B$24+X20*Inputs!$B$25+X22*Inputs!$B$26+Inputs!$B$27</f>
        <v>136350</v>
      </c>
      <c r="Y23" s="33" t="n">
        <f aca="false">Y16*(Inputs!$B$16+Inputs!$B$17)+Y18*(Inputs!$B$18+Inputs!$B$19*Inputs!$B$20)+Y17*(Inputs!$B$21+Inputs!$B$22)+Inputs!$B$23+Y19*Inputs!$B$24+Y20*Inputs!$B$25+Y22*Inputs!$B$26+Inputs!$B$27</f>
        <v>87450</v>
      </c>
      <c r="Z23" s="33" t="n">
        <f aca="false">Z16*(Inputs!$B$16+Inputs!$B$17)+Z18*(Inputs!$B$18+Inputs!$B$19*Inputs!$B$20)+Z17*(Inputs!$B$21+Inputs!$B$22)+Inputs!$B$23+Z19*Inputs!$B$24+Z20*Inputs!$B$25+Z22*Inputs!$B$26+Inputs!$B$27</f>
        <v>157450</v>
      </c>
    </row>
    <row r="24" customFormat="false" ht="15" hidden="false" customHeight="false" outlineLevel="0" collapsed="false">
      <c r="A24" s="6" t="s">
        <v>415</v>
      </c>
      <c r="B24" s="33" t="n">
        <f aca="false">B23*B5*(1+Inputs!$B$28)</f>
        <v>184072.5</v>
      </c>
      <c r="C24" s="33" t="n">
        <f aca="false">C23*C5*(1+Inputs!$B$28)</f>
        <v>100777.5</v>
      </c>
      <c r="D24" s="33" t="n">
        <f aca="false">D23*D5*(1+Inputs!$B$28)</f>
        <v>212557.5</v>
      </c>
      <c r="E24" s="33" t="n">
        <f aca="false">E23*E5*(1+Inputs!$B$28)</f>
        <v>147258</v>
      </c>
      <c r="F24" s="33" t="n">
        <f aca="false">F23*F5*(1+Inputs!$B$28)</f>
        <v>239294.25</v>
      </c>
      <c r="G24" s="33" t="n">
        <f aca="false">G23*G5*(1+Inputs!$B$28)</f>
        <v>184072.5</v>
      </c>
      <c r="H24" s="33" t="n">
        <f aca="false">H23*H5*(1+Inputs!$B$28)</f>
        <v>184072.5</v>
      </c>
      <c r="I24" s="33" t="n">
        <f aca="false">I23*I5*(1+Inputs!$B$28)</f>
        <v>184072.5</v>
      </c>
      <c r="J24" s="33" t="n">
        <f aca="false">J23*J5*(1+Inputs!$B$28)</f>
        <v>184072.5</v>
      </c>
      <c r="K24" s="33" t="n">
        <f aca="false">K23*K5*(1+Inputs!$B$28)</f>
        <v>184072.5</v>
      </c>
      <c r="L24" s="33" t="n">
        <f aca="false">L23*L5*(1+Inputs!$B$28)</f>
        <v>184072.5</v>
      </c>
      <c r="M24" s="33" t="n">
        <f aca="false">M23*M5*(1+Inputs!$B$28)</f>
        <v>184072.5</v>
      </c>
      <c r="N24" s="33" t="n">
        <f aca="false">N23*N5*(1+Inputs!$B$28)</f>
        <v>184072.5</v>
      </c>
      <c r="O24" s="33" t="n">
        <f aca="false">O23*O5*(1+Inputs!$B$28)</f>
        <v>184072.5</v>
      </c>
      <c r="P24" s="33" t="n">
        <f aca="false">P23*P5*(1+Inputs!$B$28)</f>
        <v>184072.5</v>
      </c>
      <c r="Q24" s="33" t="n">
        <f aca="false">Q23*Q5*(1+Inputs!$B$28)</f>
        <v>184072.5</v>
      </c>
      <c r="R24" s="33" t="n">
        <f aca="false">R23*R5*(1+Inputs!$B$28)</f>
        <v>184072.5</v>
      </c>
      <c r="S24" s="33" t="n">
        <f aca="false">S23*S5*(1+Inputs!$B$28)</f>
        <v>184072.5</v>
      </c>
      <c r="T24" s="33" t="n">
        <f aca="false">T23*T5*(1+Inputs!$B$28)</f>
        <v>184072.5</v>
      </c>
      <c r="U24" s="33" t="n">
        <f aca="false">U23*U5*(1+Inputs!$B$28)</f>
        <v>184072.5</v>
      </c>
      <c r="V24" s="33" t="n">
        <f aca="false">V23*V5*(1+Inputs!$B$28)</f>
        <v>184072.5</v>
      </c>
      <c r="W24" s="33" t="n">
        <f aca="false">W23*W5*(1+Inputs!$B$28)</f>
        <v>184072.5</v>
      </c>
      <c r="X24" s="33" t="n">
        <f aca="false">X23*X5*(1+Inputs!$B$28)</f>
        <v>184072.5</v>
      </c>
      <c r="Y24" s="33" t="n">
        <f aca="false">Y23*Y5*(1+Inputs!$B$28)</f>
        <v>141669</v>
      </c>
      <c r="Z24" s="33" t="n">
        <f aca="false">Z23*Z5*(1+Inputs!$B$28)</f>
        <v>191301.75</v>
      </c>
    </row>
    <row r="25" customFormat="false" ht="15" hidden="false" customHeight="false" outlineLevel="0" collapsed="false">
      <c r="A25" s="6" t="s">
        <v>69</v>
      </c>
      <c r="B25" s="33" t="n">
        <f aca="false">(2*B16+2*B17+B18+B19)*Inputs!$B$29</f>
        <v>7520</v>
      </c>
      <c r="C25" s="33" t="n">
        <f aca="false">(2*C16+2*C17+C18+C19)*Inputs!$B$29</f>
        <v>3760</v>
      </c>
      <c r="D25" s="33" t="n">
        <f aca="false">(2*D16+2*D17+D18+D19)*Inputs!$B$29</f>
        <v>9360</v>
      </c>
      <c r="E25" s="33" t="n">
        <f aca="false">(2*E16+2*E17+E18+E19)*Inputs!$B$29</f>
        <v>7520</v>
      </c>
      <c r="F25" s="33" t="n">
        <f aca="false">(2*F16+2*F17+F18+F19)*Inputs!$B$29</f>
        <v>7520</v>
      </c>
      <c r="G25" s="33" t="n">
        <f aca="false">(2*G16+2*G17+G18+G19)*Inputs!$B$29</f>
        <v>7520</v>
      </c>
      <c r="H25" s="33" t="n">
        <f aca="false">(2*H16+2*H17+H18+H19)*Inputs!$B$29</f>
        <v>7520</v>
      </c>
      <c r="I25" s="33" t="n">
        <f aca="false">(2*I16+2*I17+I18+I19)*Inputs!$B$29</f>
        <v>7520</v>
      </c>
      <c r="J25" s="33" t="n">
        <f aca="false">(2*J16+2*J17+J18+J19)*Inputs!$B$29</f>
        <v>7520</v>
      </c>
      <c r="K25" s="33" t="n">
        <f aca="false">(2*K16+2*K17+K18+K19)*Inputs!$B$29</f>
        <v>7520</v>
      </c>
      <c r="L25" s="33" t="n">
        <f aca="false">(2*L16+2*L17+L18+L19)*Inputs!$B$29</f>
        <v>7520</v>
      </c>
      <c r="M25" s="33" t="n">
        <f aca="false">(2*M16+2*M17+M18+M19)*Inputs!$B$29</f>
        <v>7520</v>
      </c>
      <c r="N25" s="33" t="n">
        <f aca="false">(2*N16+2*N17+N18+N19)*Inputs!$B$29</f>
        <v>7520</v>
      </c>
      <c r="O25" s="33" t="n">
        <f aca="false">(2*O16+2*O17+O18+O19)*Inputs!$B$29</f>
        <v>7520</v>
      </c>
      <c r="P25" s="33" t="n">
        <f aca="false">(2*P16+2*P17+P18+P19)*Inputs!$B$29</f>
        <v>7520</v>
      </c>
      <c r="Q25" s="33" t="n">
        <f aca="false">(2*Q16+2*Q17+Q18+Q19)*Inputs!$B$29</f>
        <v>7520</v>
      </c>
      <c r="R25" s="33" t="n">
        <f aca="false">(2*R16+2*R17+R18+R19)*Inputs!$B$29</f>
        <v>7520</v>
      </c>
      <c r="S25" s="33" t="n">
        <f aca="false">(2*S16+2*S17+S18+S19)*Inputs!$B$29</f>
        <v>7520</v>
      </c>
      <c r="T25" s="33" t="n">
        <f aca="false">(2*T16+2*T17+T18+T19)*Inputs!$B$29</f>
        <v>7520</v>
      </c>
      <c r="U25" s="33" t="n">
        <f aca="false">(2*U16+2*U17+U18+U19)*Inputs!$B$29</f>
        <v>7520</v>
      </c>
      <c r="V25" s="33" t="n">
        <f aca="false">(2*V16+2*V17+V18+V19)*Inputs!$B$29</f>
        <v>7520</v>
      </c>
      <c r="W25" s="33" t="n">
        <f aca="false">(2*W16+2*W17+W18+W19)*Inputs!$B$29</f>
        <v>7520</v>
      </c>
      <c r="X25" s="33" t="n">
        <f aca="false">(2*X16+2*X17+X18+X19)*Inputs!$B$29</f>
        <v>7520</v>
      </c>
      <c r="Y25" s="33" t="n">
        <f aca="false">(2*Y16+2*Y17+Y18+Y19)*Inputs!$B$29</f>
        <v>4720</v>
      </c>
      <c r="Z25" s="33" t="n">
        <f aca="false">(2*Z16+2*Z17+Z18+Z19)*Inputs!$B$29</f>
        <v>9360</v>
      </c>
    </row>
    <row r="26" customFormat="false" ht="15" hidden="false" customHeight="false" outlineLevel="0" collapsed="false">
      <c r="A26" s="6" t="s">
        <v>416</v>
      </c>
      <c r="B26" s="33" t="n">
        <f aca="false">(Inputs!$E$44+B4*(Inputs!$B$46+Inputs!$B$47+Inputs!$B$48))*B6</f>
        <v>323800</v>
      </c>
      <c r="C26" s="33" t="n">
        <f aca="false">(Inputs!$E$44+C4*(Inputs!$B$46+Inputs!$B$47+Inputs!$B$48))*C6</f>
        <v>279800</v>
      </c>
      <c r="D26" s="33" t="n">
        <f aca="false">(Inputs!$E$44+D4*(Inputs!$B$46+Inputs!$B$47+Inputs!$B$48))*D6</f>
        <v>345800</v>
      </c>
      <c r="E26" s="33" t="n">
        <f aca="false">(Inputs!$E$44+E4*(Inputs!$B$46+Inputs!$B$47+Inputs!$B$48))*E6</f>
        <v>323800</v>
      </c>
      <c r="F26" s="33" t="n">
        <f aca="false">(Inputs!$E$44+F4*(Inputs!$B$46+Inputs!$B$47+Inputs!$B$48))*F6</f>
        <v>323800</v>
      </c>
      <c r="G26" s="33" t="n">
        <f aca="false">(Inputs!$E$44+G4*(Inputs!$B$46+Inputs!$B$47+Inputs!$B$48))*G6</f>
        <v>275230</v>
      </c>
      <c r="H26" s="33" t="n">
        <f aca="false">(Inputs!$E$44+H4*(Inputs!$B$46+Inputs!$B$47+Inputs!$B$48))*H6</f>
        <v>404750</v>
      </c>
      <c r="I26" s="33" t="n">
        <f aca="false">(Inputs!$E$44+I4*(Inputs!$B$46+Inputs!$B$47+Inputs!$B$48))*I6</f>
        <v>323800</v>
      </c>
      <c r="J26" s="33" t="n">
        <f aca="false">(Inputs!$E$44+J4*(Inputs!$B$46+Inputs!$B$47+Inputs!$B$48))*J6</f>
        <v>323800</v>
      </c>
      <c r="K26" s="33" t="n">
        <f aca="false">(Inputs!$E$44+K4*(Inputs!$B$46+Inputs!$B$47+Inputs!$B$48))*K6</f>
        <v>323800</v>
      </c>
      <c r="L26" s="33" t="n">
        <f aca="false">(Inputs!$E$44+L4*(Inputs!$B$46+Inputs!$B$47+Inputs!$B$48))*L6</f>
        <v>323800</v>
      </c>
      <c r="M26" s="33" t="n">
        <f aca="false">(Inputs!$E$44+M4*(Inputs!$B$46+Inputs!$B$47+Inputs!$B$48))*M6</f>
        <v>323800</v>
      </c>
      <c r="N26" s="33" t="n">
        <f aca="false">(Inputs!$E$44+N4*(Inputs!$B$46+Inputs!$B$47+Inputs!$B$48))*N6</f>
        <v>323800</v>
      </c>
      <c r="O26" s="33" t="n">
        <f aca="false">(Inputs!$E$44+O4*(Inputs!$B$46+Inputs!$B$47+Inputs!$B$48))*O6</f>
        <v>323800</v>
      </c>
      <c r="P26" s="33" t="n">
        <f aca="false">(Inputs!$E$44+P4*(Inputs!$B$46+Inputs!$B$47+Inputs!$B$48))*P6</f>
        <v>323800</v>
      </c>
      <c r="Q26" s="33" t="n">
        <f aca="false">(Inputs!$E$44+Q4*(Inputs!$B$46+Inputs!$B$47+Inputs!$B$48))*Q6</f>
        <v>323800</v>
      </c>
      <c r="R26" s="33" t="n">
        <f aca="false">(Inputs!$E$44+R4*(Inputs!$B$46+Inputs!$B$47+Inputs!$B$48))*R6</f>
        <v>323800</v>
      </c>
      <c r="S26" s="33" t="n">
        <f aca="false">(Inputs!$E$44+S4*(Inputs!$B$46+Inputs!$B$47+Inputs!$B$48))*S6</f>
        <v>323800</v>
      </c>
      <c r="T26" s="33" t="n">
        <f aca="false">(Inputs!$E$44+T4*(Inputs!$B$46+Inputs!$B$47+Inputs!$B$48))*T6</f>
        <v>323800</v>
      </c>
      <c r="U26" s="33" t="n">
        <f aca="false">(Inputs!$E$44+U4*(Inputs!$B$46+Inputs!$B$47+Inputs!$B$48))*U6</f>
        <v>323800</v>
      </c>
      <c r="V26" s="33" t="n">
        <f aca="false">(Inputs!$E$44+V4*(Inputs!$B$46+Inputs!$B$47+Inputs!$B$48))*V6</f>
        <v>323800</v>
      </c>
      <c r="W26" s="33" t="n">
        <f aca="false">(Inputs!$E$44+W4*(Inputs!$B$46+Inputs!$B$47+Inputs!$B$48))*W6</f>
        <v>323800</v>
      </c>
      <c r="X26" s="33" t="n">
        <f aca="false">(Inputs!$E$44+X4*(Inputs!$B$46+Inputs!$B$47+Inputs!$B$48))*X6</f>
        <v>323800</v>
      </c>
      <c r="Y26" s="33" t="n">
        <f aca="false">(Inputs!$E$44+Y4*(Inputs!$B$46+Inputs!$B$47+Inputs!$B$48))*Y6</f>
        <v>334420</v>
      </c>
      <c r="Z26" s="33" t="n">
        <f aca="false">(Inputs!$E$44+Z4*(Inputs!$B$46+Inputs!$B$47+Inputs!$B$48))*Z6</f>
        <v>328510</v>
      </c>
    </row>
    <row r="27" customFormat="false" ht="15" hidden="false" customHeight="false" outlineLevel="0" collapsed="false">
      <c r="A27" s="14" t="s">
        <v>417</v>
      </c>
      <c r="B27" s="34" t="n">
        <f aca="false">(B24+B25+B26)*(1+Inputs!$B$49)</f>
        <v>566931.75</v>
      </c>
      <c r="C27" s="34" t="n">
        <f aca="false">(C24+C25+C26)*(1+Inputs!$B$49)</f>
        <v>422771.25</v>
      </c>
      <c r="D27" s="34" t="n">
        <f aca="false">(D24+D25+D26)*(1+Inputs!$B$49)</f>
        <v>624489.25</v>
      </c>
      <c r="E27" s="34" t="n">
        <f aca="false">(E24+E25+E26)*(1+Inputs!$B$49)</f>
        <v>526435.8</v>
      </c>
      <c r="F27" s="34" t="n">
        <f aca="false">(F24+F25+F26)*(1+Inputs!$B$49)</f>
        <v>627675.675</v>
      </c>
      <c r="G27" s="34" t="n">
        <f aca="false">(G24+G25+G26)*(1+Inputs!$B$49)</f>
        <v>513504.75</v>
      </c>
      <c r="H27" s="34" t="n">
        <f aca="false">(H24+H25+H26)*(1+Inputs!$B$49)</f>
        <v>655976.75</v>
      </c>
      <c r="I27" s="34" t="n">
        <f aca="false">(I24+I25+I26)*(1+Inputs!$B$49)</f>
        <v>566931.75</v>
      </c>
      <c r="J27" s="34" t="n">
        <f aca="false">(J24+J25+J26)*(1+Inputs!$B$49)</f>
        <v>566931.75</v>
      </c>
      <c r="K27" s="34" t="n">
        <f aca="false">(K24+K25+K26)*(1+Inputs!$B$49)</f>
        <v>566931.75</v>
      </c>
      <c r="L27" s="34" t="n">
        <f aca="false">(L24+L25+L26)*(1+Inputs!$B$49)</f>
        <v>566931.75</v>
      </c>
      <c r="M27" s="34" t="n">
        <f aca="false">(M24+M25+M26)*(1+Inputs!$B$49)</f>
        <v>566931.75</v>
      </c>
      <c r="N27" s="34" t="n">
        <f aca="false">(N24+N25+N26)*(1+Inputs!$B$49)</f>
        <v>566931.75</v>
      </c>
      <c r="O27" s="34" t="n">
        <f aca="false">(O24+O25+O26)*(1+Inputs!$B$49)</f>
        <v>566931.75</v>
      </c>
      <c r="P27" s="34" t="n">
        <f aca="false">(P24+P25+P26)*(1+Inputs!$B$49)</f>
        <v>566931.75</v>
      </c>
      <c r="Q27" s="34" t="n">
        <f aca="false">(Q24+Q25+Q26)*(1+Inputs!$B$49)</f>
        <v>566931.75</v>
      </c>
      <c r="R27" s="34" t="n">
        <f aca="false">(R24+R25+R26)*(1+Inputs!$B$49)</f>
        <v>566931.75</v>
      </c>
      <c r="S27" s="34" t="n">
        <f aca="false">(S24+S25+S26)*(1+Inputs!$B$49)</f>
        <v>566931.75</v>
      </c>
      <c r="T27" s="34" t="n">
        <f aca="false">(T24+T25+T26)*(1+Inputs!$B$49)</f>
        <v>566931.75</v>
      </c>
      <c r="U27" s="34" t="n">
        <f aca="false">(U24+U25+U26)*(1+Inputs!$B$49)</f>
        <v>566931.75</v>
      </c>
      <c r="V27" s="34" t="n">
        <f aca="false">(V24+V25+V26)*(1+Inputs!$B$49)</f>
        <v>566931.75</v>
      </c>
      <c r="W27" s="34" t="n">
        <f aca="false">(W24+W25+W26)*(1+Inputs!$B$49)</f>
        <v>566931.75</v>
      </c>
      <c r="X27" s="34" t="n">
        <f aca="false">(X24+X25+X26)*(1+Inputs!$B$49)</f>
        <v>566931.75</v>
      </c>
      <c r="Y27" s="34" t="n">
        <f aca="false">(Y24+Y25+Y26)*(1+Inputs!$B$49)</f>
        <v>528889.9</v>
      </c>
      <c r="Z27" s="34" t="n">
        <f aca="false">(Z24+Z25+Z26)*(1+Inputs!$B$49)</f>
        <v>582088.925</v>
      </c>
    </row>
    <row r="28" customFormat="false" ht="15" hidden="false" customHeight="false" outlineLevel="0" collapsed="false">
      <c r="A28" s="14" t="s">
        <v>418</v>
      </c>
      <c r="B28" s="34" t="n">
        <f aca="false">(Inputs!$B$53+B21*Inputs!$B$54+B21*12*Inputs!$B$55+B19*12*Inputs!$B$56+Inputs!$B$57+B4*Inputs!$B$58*Inputs!$B$59+B4*Inputs!$B$60+Inputs!$E$67+B24*Inputs!$B$68+B17*Inputs!$B$69*Inputs!$B$70*Inputs!$B$71)*B7*(1+Inputs!$B$72)</f>
        <v>276994.501</v>
      </c>
      <c r="C28" s="34" t="n">
        <f aca="false">(Inputs!$B$53+C21*Inputs!$B$54+C21*12*Inputs!$B$55+C19*12*Inputs!$B$56+Inputs!$B$57+C4*Inputs!$B$58*Inputs!$B$59+C4*Inputs!$B$60+Inputs!$E$67+C24*Inputs!$B$68+C17*Inputs!$B$69*Inputs!$B$70*Inputs!$B$71)*C7*(1+Inputs!$B$72)</f>
        <v>193602.199</v>
      </c>
      <c r="D28" s="34" t="n">
        <f aca="false">(Inputs!$B$53+D21*Inputs!$B$54+D21*12*Inputs!$B$55+D19*12*Inputs!$B$56+Inputs!$B$57+D4*Inputs!$B$58*Inputs!$B$59+D4*Inputs!$B$60+Inputs!$E$67+D24*Inputs!$B$68+D17*Inputs!$B$69*Inputs!$B$70*Inputs!$B$71)*D7*(1+Inputs!$B$72)</f>
        <v>316136.767</v>
      </c>
      <c r="E28" s="34" t="n">
        <f aca="false">(Inputs!$B$53+E21*Inputs!$B$54+E21*12*Inputs!$B$55+E19*12*Inputs!$B$56+Inputs!$B$57+E4*Inputs!$B$58*Inputs!$B$59+E4*Inputs!$B$60+Inputs!$E$67+E24*Inputs!$B$68+E17*Inputs!$B$69*Inputs!$B$70*Inputs!$B$71)*E7*(1+Inputs!$B$72)</f>
        <v>272444.2288</v>
      </c>
      <c r="F28" s="34" t="n">
        <f aca="false">(Inputs!$B$53+F21*Inputs!$B$54+F21*12*Inputs!$B$55+F19*12*Inputs!$B$56+Inputs!$B$57+F4*Inputs!$B$58*Inputs!$B$59+F4*Inputs!$B$60+Inputs!$E$67+F24*Inputs!$B$68+F17*Inputs!$B$69*Inputs!$B$70*Inputs!$B$71)*F7*(1+Inputs!$B$72)</f>
        <v>283819.9093</v>
      </c>
      <c r="G28" s="34" t="n">
        <f aca="false">(Inputs!$B$53+G21*Inputs!$B$54+G21*12*Inputs!$B$55+G19*12*Inputs!$B$56+Inputs!$B$57+G4*Inputs!$B$58*Inputs!$B$59+G4*Inputs!$B$60+Inputs!$E$67+G24*Inputs!$B$68+G17*Inputs!$B$69*Inputs!$B$70*Inputs!$B$71)*G7*(1+Inputs!$B$72)</f>
        <v>276994.501</v>
      </c>
      <c r="H28" s="34" t="n">
        <f aca="false">(Inputs!$B$53+H21*Inputs!$B$54+H21*12*Inputs!$B$55+H19*12*Inputs!$B$56+Inputs!$B$57+H4*Inputs!$B$58*Inputs!$B$59+H4*Inputs!$B$60+Inputs!$E$67+H24*Inputs!$B$68+H17*Inputs!$B$69*Inputs!$B$70*Inputs!$B$71)*H7*(1+Inputs!$B$72)</f>
        <v>276994.501</v>
      </c>
      <c r="I28" s="34" t="n">
        <f aca="false">(Inputs!$B$53+I21*Inputs!$B$54+I21*12*Inputs!$B$55+I19*12*Inputs!$B$56+Inputs!$B$57+I4*Inputs!$B$58*Inputs!$B$59+I4*Inputs!$B$60+Inputs!$E$67+I24*Inputs!$B$68+I17*Inputs!$B$69*Inputs!$B$70*Inputs!$B$71)*I7*(1+Inputs!$B$72)</f>
        <v>235445.32585</v>
      </c>
      <c r="J28" s="34" t="n">
        <f aca="false">(Inputs!$B$53+J21*Inputs!$B$54+J21*12*Inputs!$B$55+J19*12*Inputs!$B$56+Inputs!$B$57+J4*Inputs!$B$58*Inputs!$B$59+J4*Inputs!$B$60+Inputs!$E$67+J24*Inputs!$B$68+J17*Inputs!$B$69*Inputs!$B$70*Inputs!$B$71)*J7*(1+Inputs!$B$72)</f>
        <v>346243.12625</v>
      </c>
      <c r="K28" s="34" t="n">
        <f aca="false">(Inputs!$B$53+K21*Inputs!$B$54+K21*12*Inputs!$B$55+K19*12*Inputs!$B$56+Inputs!$B$57+K4*Inputs!$B$58*Inputs!$B$59+K4*Inputs!$B$60+Inputs!$E$67+K24*Inputs!$B$68+K17*Inputs!$B$69*Inputs!$B$70*Inputs!$B$71)*K7*(1+Inputs!$B$72)</f>
        <v>276994.501</v>
      </c>
      <c r="L28" s="34" t="n">
        <f aca="false">(Inputs!$B$53+L21*Inputs!$B$54+L21*12*Inputs!$B$55+L19*12*Inputs!$B$56+Inputs!$B$57+L4*Inputs!$B$58*Inputs!$B$59+L4*Inputs!$B$60+Inputs!$E$67+L24*Inputs!$B$68+L17*Inputs!$B$69*Inputs!$B$70*Inputs!$B$71)*L7*(1+Inputs!$B$72)</f>
        <v>276994.501</v>
      </c>
      <c r="M28" s="34" t="n">
        <f aca="false">(Inputs!$B$53+M21*Inputs!$B$54+M21*12*Inputs!$B$55+M19*12*Inputs!$B$56+Inputs!$B$57+M4*Inputs!$B$58*Inputs!$B$59+M4*Inputs!$B$60+Inputs!$E$67+M24*Inputs!$B$68+M17*Inputs!$B$69*Inputs!$B$70*Inputs!$B$71)*M7*(1+Inputs!$B$72)</f>
        <v>276994.501</v>
      </c>
      <c r="N28" s="34" t="n">
        <f aca="false">(Inputs!$B$53+N21*Inputs!$B$54+N21*12*Inputs!$B$55+N19*12*Inputs!$B$56+Inputs!$B$57+N4*Inputs!$B$58*Inputs!$B$59+N4*Inputs!$B$60+Inputs!$E$67+N24*Inputs!$B$68+N17*Inputs!$B$69*Inputs!$B$70*Inputs!$B$71)*N7*(1+Inputs!$B$72)</f>
        <v>276994.501</v>
      </c>
      <c r="O28" s="34" t="n">
        <f aca="false">(Inputs!$B$53+O21*Inputs!$B$54+O21*12*Inputs!$B$55+O19*12*Inputs!$B$56+Inputs!$B$57+O4*Inputs!$B$58*Inputs!$B$59+O4*Inputs!$B$60+Inputs!$E$67+O24*Inputs!$B$68+O17*Inputs!$B$69*Inputs!$B$70*Inputs!$B$71)*O7*(1+Inputs!$B$72)</f>
        <v>276994.501</v>
      </c>
      <c r="P28" s="34" t="n">
        <f aca="false">(Inputs!$B$53+P21*Inputs!$B$54+P21*12*Inputs!$B$55+P19*12*Inputs!$B$56+Inputs!$B$57+P4*Inputs!$B$58*Inputs!$B$59+P4*Inputs!$B$60+Inputs!$E$67+P24*Inputs!$B$68+P17*Inputs!$B$69*Inputs!$B$70*Inputs!$B$71)*P7*(1+Inputs!$B$72)</f>
        <v>276994.501</v>
      </c>
      <c r="Q28" s="34" t="n">
        <f aca="false">(Inputs!$B$53+Q21*Inputs!$B$54+Q21*12*Inputs!$B$55+Q19*12*Inputs!$B$56+Inputs!$B$57+Q4*Inputs!$B$58*Inputs!$B$59+Q4*Inputs!$B$60+Inputs!$E$67+Q24*Inputs!$B$68+Q17*Inputs!$B$69*Inputs!$B$70*Inputs!$B$71)*Q7*(1+Inputs!$B$72)</f>
        <v>276994.501</v>
      </c>
      <c r="R28" s="34" t="n">
        <f aca="false">(Inputs!$B$53+R21*Inputs!$B$54+R21*12*Inputs!$B$55+R19*12*Inputs!$B$56+Inputs!$B$57+R4*Inputs!$B$58*Inputs!$B$59+R4*Inputs!$B$60+Inputs!$E$67+R24*Inputs!$B$68+R17*Inputs!$B$69*Inputs!$B$70*Inputs!$B$71)*R7*(1+Inputs!$B$72)</f>
        <v>276994.501</v>
      </c>
      <c r="S28" s="34" t="n">
        <f aca="false">(Inputs!$B$53+S21*Inputs!$B$54+S21*12*Inputs!$B$55+S19*12*Inputs!$B$56+Inputs!$B$57+S4*Inputs!$B$58*Inputs!$B$59+S4*Inputs!$B$60+Inputs!$E$67+S24*Inputs!$B$68+S17*Inputs!$B$69*Inputs!$B$70*Inputs!$B$71)*S7*(1+Inputs!$B$72)</f>
        <v>276994.501</v>
      </c>
      <c r="T28" s="34" t="n">
        <f aca="false">(Inputs!$B$53+T21*Inputs!$B$54+T21*12*Inputs!$B$55+T19*12*Inputs!$B$56+Inputs!$B$57+T4*Inputs!$B$58*Inputs!$B$59+T4*Inputs!$B$60+Inputs!$E$67+T24*Inputs!$B$68+T17*Inputs!$B$69*Inputs!$B$70*Inputs!$B$71)*T7*(1+Inputs!$B$72)</f>
        <v>276994.501</v>
      </c>
      <c r="U28" s="34" t="n">
        <f aca="false">(Inputs!$B$53+U21*Inputs!$B$54+U21*12*Inputs!$B$55+U19*12*Inputs!$B$56+Inputs!$B$57+U4*Inputs!$B$58*Inputs!$B$59+U4*Inputs!$B$60+Inputs!$E$67+U24*Inputs!$B$68+U17*Inputs!$B$69*Inputs!$B$70*Inputs!$B$71)*U7*(1+Inputs!$B$72)</f>
        <v>276994.501</v>
      </c>
      <c r="V28" s="34" t="n">
        <f aca="false">(Inputs!$B$53+V21*Inputs!$B$54+V21*12*Inputs!$B$55+V19*12*Inputs!$B$56+Inputs!$B$57+V4*Inputs!$B$58*Inputs!$B$59+V4*Inputs!$B$60+Inputs!$E$67+V24*Inputs!$B$68+V17*Inputs!$B$69*Inputs!$B$70*Inputs!$B$71)*V7*(1+Inputs!$B$72)</f>
        <v>276994.501</v>
      </c>
      <c r="W28" s="34" t="n">
        <f aca="false">(Inputs!$B$53+W21*Inputs!$B$54+W21*12*Inputs!$B$55+W19*12*Inputs!$B$56+Inputs!$B$57+W4*Inputs!$B$58*Inputs!$B$59+W4*Inputs!$B$60+Inputs!$E$67+W24*Inputs!$B$68+W17*Inputs!$B$69*Inputs!$B$70*Inputs!$B$71)*W7*(1+Inputs!$B$72)</f>
        <v>276994.501</v>
      </c>
      <c r="X28" s="34" t="n">
        <f aca="false">(Inputs!$B$53+X21*Inputs!$B$54+X21*12*Inputs!$B$55+X19*12*Inputs!$B$56+Inputs!$B$57+X4*Inputs!$B$58*Inputs!$B$59+X4*Inputs!$B$60+Inputs!$E$67+X24*Inputs!$B$68+X17*Inputs!$B$69*Inputs!$B$70*Inputs!$B$71)*X7*(1+Inputs!$B$72)</f>
        <v>276994.501</v>
      </c>
      <c r="Y28" s="34" t="n">
        <f aca="false">(Inputs!$B$53+Y21*Inputs!$B$54+Y21*12*Inputs!$B$55+Y19*12*Inputs!$B$56+Inputs!$B$57+Y4*Inputs!$B$58*Inputs!$B$59+Y4*Inputs!$B$60+Inputs!$E$67+Y24*Inputs!$B$68+Y17*Inputs!$B$69*Inputs!$B$70*Inputs!$B$71)*Y7*(1+Inputs!$B$72)</f>
        <v>250003.27066</v>
      </c>
      <c r="Z28" s="34" t="n">
        <f aca="false">(Inputs!$B$53+Z21*Inputs!$B$54+Z21*12*Inputs!$B$55+Z19*12*Inputs!$B$56+Inputs!$B$57+Z4*Inputs!$B$58*Inputs!$B$59+Z4*Inputs!$B$60+Inputs!$E$67+Z24*Inputs!$B$68+Z17*Inputs!$B$69*Inputs!$B$70*Inputs!$B$71)*Z7*(1+Inputs!$B$72)</f>
        <v>297834.078485</v>
      </c>
    </row>
    <row r="29" customFormat="false" ht="15" hidden="false" customHeight="false" outlineLevel="0" collapsed="false">
      <c r="A29" s="6" t="s">
        <v>419</v>
      </c>
      <c r="B29" s="33" t="n">
        <f aca="false">(B16*Inputs!$B$76*Inputs!$B$77*B9+B17*Inputs!$B$78*Inputs!$B$70*Inputs!$B$81)*B8</f>
        <v>116280</v>
      </c>
      <c r="C29" s="33" t="n">
        <f aca="false">(C16*Inputs!$B$76*Inputs!$B$77*C9+C17*Inputs!$B$78*Inputs!$B$70*Inputs!$B$81)*C8</f>
        <v>58140</v>
      </c>
      <c r="D29" s="33" t="n">
        <f aca="false">(D16*Inputs!$B$76*Inputs!$B$77*D9+D17*Inputs!$B$78*Inputs!$B$70*Inputs!$B$81)*D8</f>
        <v>145350</v>
      </c>
      <c r="E29" s="33" t="n">
        <f aca="false">(E16*Inputs!$B$76*Inputs!$B$77*E9+E17*Inputs!$B$78*Inputs!$B$70*Inputs!$B$81)*E8</f>
        <v>116280</v>
      </c>
      <c r="F29" s="33" t="n">
        <f aca="false">(F16*Inputs!$B$76*Inputs!$B$77*F9+F17*Inputs!$B$78*Inputs!$B$70*Inputs!$B$81)*F8</f>
        <v>116280</v>
      </c>
      <c r="G29" s="33" t="n">
        <f aca="false">(G16*Inputs!$B$76*Inputs!$B$77*G9+G17*Inputs!$B$78*Inputs!$B$70*Inputs!$B$81)*G8</f>
        <v>116280</v>
      </c>
      <c r="H29" s="33" t="n">
        <f aca="false">(H16*Inputs!$B$76*Inputs!$B$77*H9+H17*Inputs!$B$78*Inputs!$B$70*Inputs!$B$81)*H8</f>
        <v>116280</v>
      </c>
      <c r="I29" s="33" t="n">
        <f aca="false">(I16*Inputs!$B$76*Inputs!$B$77*I9+I17*Inputs!$B$78*Inputs!$B$70*Inputs!$B$81)*I8</f>
        <v>116280</v>
      </c>
      <c r="J29" s="33" t="n">
        <f aca="false">(J16*Inputs!$B$76*Inputs!$B$77*J9+J17*Inputs!$B$78*Inputs!$B$70*Inputs!$B$81)*J8</f>
        <v>116280</v>
      </c>
      <c r="K29" s="33" t="n">
        <f aca="false">(K16*Inputs!$B$76*Inputs!$B$77*K9+K17*Inputs!$B$78*Inputs!$B$70*Inputs!$B$81)*K8</f>
        <v>88920</v>
      </c>
      <c r="L29" s="33" t="n">
        <f aca="false">(L16*Inputs!$B$76*Inputs!$B$77*L9+L17*Inputs!$B$78*Inputs!$B$70*Inputs!$B$81)*L8</f>
        <v>150480</v>
      </c>
      <c r="M29" s="33" t="n">
        <f aca="false">(M16*Inputs!$B$76*Inputs!$B$77*M9+M17*Inputs!$B$78*Inputs!$B$70*Inputs!$B$81)*M8</f>
        <v>67320</v>
      </c>
      <c r="N29" s="33" t="n">
        <f aca="false">(N16*Inputs!$B$76*Inputs!$B$77*N9+N17*Inputs!$B$78*Inputs!$B$70*Inputs!$B$81)*N8</f>
        <v>165240</v>
      </c>
      <c r="O29" s="33" t="n">
        <f aca="false">(O16*Inputs!$B$76*Inputs!$B$77*O9+O17*Inputs!$B$78*Inputs!$B$70*Inputs!$B$81)*O8</f>
        <v>116280</v>
      </c>
      <c r="P29" s="33" t="n">
        <f aca="false">(P16*Inputs!$B$76*Inputs!$B$77*P9+P17*Inputs!$B$78*Inputs!$B$70*Inputs!$B$81)*P8</f>
        <v>116280</v>
      </c>
      <c r="Q29" s="33" t="n">
        <f aca="false">(Q16*Inputs!$B$76*Inputs!$B$77*Q9+Q17*Inputs!$B$78*Inputs!$B$70*Inputs!$B$81)*Q8</f>
        <v>116280</v>
      </c>
      <c r="R29" s="33" t="n">
        <f aca="false">(R16*Inputs!$B$76*Inputs!$B$77*R9+R17*Inputs!$B$78*Inputs!$B$70*Inputs!$B$81)*R8</f>
        <v>116280</v>
      </c>
      <c r="S29" s="33" t="n">
        <f aca="false">(S16*Inputs!$B$76*Inputs!$B$77*S9+S17*Inputs!$B$78*Inputs!$B$70*Inputs!$B$81)*S8</f>
        <v>116280</v>
      </c>
      <c r="T29" s="33" t="n">
        <f aca="false">(T16*Inputs!$B$76*Inputs!$B$77*T9+T17*Inputs!$B$78*Inputs!$B$70*Inputs!$B$81)*T8</f>
        <v>116280</v>
      </c>
      <c r="U29" s="33" t="n">
        <f aca="false">(U16*Inputs!$B$76*Inputs!$B$77*U9+U17*Inputs!$B$78*Inputs!$B$70*Inputs!$B$81)*U8</f>
        <v>116280</v>
      </c>
      <c r="V29" s="33" t="n">
        <f aca="false">(V16*Inputs!$B$76*Inputs!$B$77*V9+V17*Inputs!$B$78*Inputs!$B$70*Inputs!$B$81)*V8</f>
        <v>116280</v>
      </c>
      <c r="W29" s="33" t="n">
        <f aca="false">(W16*Inputs!$B$76*Inputs!$B$77*W9+W17*Inputs!$B$78*Inputs!$B$70*Inputs!$B$81)*W8</f>
        <v>116280</v>
      </c>
      <c r="X29" s="33" t="n">
        <f aca="false">(X16*Inputs!$B$76*Inputs!$B$77*X9+X17*Inputs!$B$78*Inputs!$B$70*Inputs!$B$81)*X8</f>
        <v>116280</v>
      </c>
      <c r="Y29" s="33" t="n">
        <f aca="false">(Y16*Inputs!$B$76*Inputs!$B$77*Y9+Y17*Inputs!$B$78*Inputs!$B$70*Inputs!$B$81)*Y8</f>
        <v>46125</v>
      </c>
      <c r="Z29" s="33" t="n">
        <f aca="false">(Z16*Inputs!$B$76*Inputs!$B$77*Z9+Z17*Inputs!$B$78*Inputs!$B$70*Inputs!$B$81)*Z8</f>
        <v>207000</v>
      </c>
    </row>
    <row r="30" customFormat="false" ht="15" hidden="false" customHeight="false" outlineLevel="0" collapsed="false">
      <c r="A30" s="6" t="s">
        <v>420</v>
      </c>
      <c r="B30" s="33" t="n">
        <f aca="false">B4*Inputs!$B$82*B11*B12*Inputs!$B$85/31.1035*B10*Inputs!$B$87</f>
        <v>550934.782259231</v>
      </c>
      <c r="C30" s="33" t="n">
        <f aca="false">C4*Inputs!$B$82*C11*C12*Inputs!$B$85/31.1035*C10*Inputs!$B$87</f>
        <v>275467.391129616</v>
      </c>
      <c r="D30" s="33" t="n">
        <f aca="false">D4*Inputs!$B$82*D11*D12*Inputs!$B$85/31.1035*D10*Inputs!$B$87</f>
        <v>688668.477824039</v>
      </c>
      <c r="E30" s="33" t="n">
        <f aca="false">E4*Inputs!$B$82*E11*E12*Inputs!$B$85/31.1035*E10*Inputs!$B$87</f>
        <v>550934.782259231</v>
      </c>
      <c r="F30" s="33" t="n">
        <f aca="false">F4*Inputs!$B$82*F11*F12*Inputs!$B$85/31.1035*F10*Inputs!$B$87</f>
        <v>550934.782259231</v>
      </c>
      <c r="G30" s="33" t="n">
        <f aca="false">G4*Inputs!$B$82*G11*G12*Inputs!$B$85/31.1035*G10*Inputs!$B$87</f>
        <v>550934.782259231</v>
      </c>
      <c r="H30" s="33" t="n">
        <f aca="false">H4*Inputs!$B$82*H11*H12*Inputs!$B$85/31.1035*H10*Inputs!$B$87</f>
        <v>550934.782259231</v>
      </c>
      <c r="I30" s="33" t="n">
        <f aca="false">I4*Inputs!$B$82*I11*I12*Inputs!$B$85/31.1035*I10*Inputs!$B$87</f>
        <v>550934.782259231</v>
      </c>
      <c r="J30" s="33" t="n">
        <f aca="false">J4*Inputs!$B$82*J11*J12*Inputs!$B$85/31.1035*J10*Inputs!$B$87</f>
        <v>550934.782259231</v>
      </c>
      <c r="K30" s="33" t="n">
        <f aca="false">K4*Inputs!$B$82*K11*K12*Inputs!$B$85/31.1035*K10*Inputs!$B$87</f>
        <v>550934.782259231</v>
      </c>
      <c r="L30" s="33" t="n">
        <f aca="false">L4*Inputs!$B$82*L11*L12*Inputs!$B$85/31.1035*L10*Inputs!$B$87</f>
        <v>550934.782259231</v>
      </c>
      <c r="M30" s="33" t="n">
        <f aca="false">M4*Inputs!$B$82*M11*M12*Inputs!$B$85/31.1035*M10*Inputs!$B$87</f>
        <v>550934.782259231</v>
      </c>
      <c r="N30" s="33" t="n">
        <f aca="false">N4*Inputs!$B$82*N11*N12*Inputs!$B$85/31.1035*N10*Inputs!$B$87</f>
        <v>550934.782259231</v>
      </c>
      <c r="O30" s="33" t="n">
        <f aca="false">O4*Inputs!$B$82*O11*O12*Inputs!$B$85/31.1035*O10*Inputs!$B$87</f>
        <v>440747.825807385</v>
      </c>
      <c r="P30" s="33" t="n">
        <f aca="false">P4*Inputs!$B$82*P11*P12*Inputs!$B$85/31.1035*P10*Inputs!$B$87</f>
        <v>661121.738711078</v>
      </c>
      <c r="Q30" s="33" t="n">
        <f aca="false">Q4*Inputs!$B$82*Q11*Q12*Inputs!$B$85/31.1035*Q10*Inputs!$B$87</f>
        <v>183644.927419744</v>
      </c>
      <c r="R30" s="33" t="n">
        <f aca="false">R4*Inputs!$B$82*R11*R12*Inputs!$B$85/31.1035*R10*Inputs!$B$87</f>
        <v>918224.637098719</v>
      </c>
      <c r="S30" s="33" t="n">
        <f aca="false">S4*Inputs!$B$82*S11*S12*Inputs!$B$85/31.1035*S10*Inputs!$B$87</f>
        <v>367289.854839488</v>
      </c>
      <c r="T30" s="33" t="n">
        <f aca="false">T4*Inputs!$B$82*T11*T12*Inputs!$B$85/31.1035*T10*Inputs!$B$87</f>
        <v>734579.709678975</v>
      </c>
      <c r="U30" s="33" t="n">
        <f aca="false">U4*Inputs!$B$82*U11*U12*Inputs!$B$85/31.1035*U10*Inputs!$B$87</f>
        <v>550934.782259231</v>
      </c>
      <c r="V30" s="33" t="n">
        <f aca="false">V4*Inputs!$B$82*V11*V12*Inputs!$B$85/31.1035*V10*Inputs!$B$87</f>
        <v>550934.782259231</v>
      </c>
      <c r="W30" s="33" t="n">
        <f aca="false">W4*Inputs!$B$82*W11*W12*Inputs!$B$85/31.1035*W10*Inputs!$B$87</f>
        <v>550934.782259231</v>
      </c>
      <c r="X30" s="33" t="n">
        <f aca="false">X4*Inputs!$B$82*X11*X12*Inputs!$B$85/31.1035*X10*Inputs!$B$87</f>
        <v>550934.782259231</v>
      </c>
      <c r="Y30" s="33" t="n">
        <f aca="false">Y4*Inputs!$B$82*Y11*Y12*Inputs!$B$85/31.1035*Y10*Inputs!$B$87</f>
        <v>122976.51389715</v>
      </c>
      <c r="Z30" s="33" t="n">
        <f aca="false">Z4*Inputs!$B$82*Z11*Z12*Inputs!$B$85/31.1035*Z10*Inputs!$B$87</f>
        <v>1224299.51613163</v>
      </c>
    </row>
    <row r="31" customFormat="false" ht="15" hidden="false" customHeight="false" outlineLevel="0" collapsed="false">
      <c r="A31" s="6" t="s">
        <v>421</v>
      </c>
      <c r="B31" s="33" t="n">
        <f aca="false">B16*Inputs!$B$77*Inputs!$B$88*Inputs!$B$89+B4*Inputs!$B$82*Inputs!$B$90*Inputs!$B$91+B16*Inputs!$B$92</f>
        <v>184400</v>
      </c>
      <c r="C31" s="33" t="n">
        <f aca="false">C16*Inputs!$B$77*Inputs!$B$88*Inputs!$B$89+C4*Inputs!$B$82*Inputs!$B$90*Inputs!$B$91+C16*Inputs!$B$92</f>
        <v>92200</v>
      </c>
      <c r="D31" s="33" t="n">
        <f aca="false">D16*Inputs!$B$77*Inputs!$B$88*Inputs!$B$89+D4*Inputs!$B$82*Inputs!$B$90*Inputs!$B$91+D16*Inputs!$B$92</f>
        <v>230500</v>
      </c>
      <c r="E31" s="33" t="n">
        <f aca="false">E16*Inputs!$B$77*Inputs!$B$88*Inputs!$B$89+E4*Inputs!$B$82*Inputs!$B$90*Inputs!$B$91+E16*Inputs!$B$92</f>
        <v>184400</v>
      </c>
      <c r="F31" s="33" t="n">
        <f aca="false">F16*Inputs!$B$77*Inputs!$B$88*Inputs!$B$89+F4*Inputs!$B$82*Inputs!$B$90*Inputs!$B$91+F16*Inputs!$B$92</f>
        <v>184400</v>
      </c>
      <c r="G31" s="33" t="n">
        <f aca="false">G16*Inputs!$B$77*Inputs!$B$88*Inputs!$B$89+G4*Inputs!$B$82*Inputs!$B$90*Inputs!$B$91+G16*Inputs!$B$92</f>
        <v>184400</v>
      </c>
      <c r="H31" s="33" t="n">
        <f aca="false">H16*Inputs!$B$77*Inputs!$B$88*Inputs!$B$89+H4*Inputs!$B$82*Inputs!$B$90*Inputs!$B$91+H16*Inputs!$B$92</f>
        <v>184400</v>
      </c>
      <c r="I31" s="33" t="n">
        <f aca="false">I16*Inputs!$B$77*Inputs!$B$88*Inputs!$B$89+I4*Inputs!$B$82*Inputs!$B$90*Inputs!$B$91+I16*Inputs!$B$92</f>
        <v>184400</v>
      </c>
      <c r="J31" s="33" t="n">
        <f aca="false">J16*Inputs!$B$77*Inputs!$B$88*Inputs!$B$89+J4*Inputs!$B$82*Inputs!$B$90*Inputs!$B$91+J16*Inputs!$B$92</f>
        <v>184400</v>
      </c>
      <c r="K31" s="33" t="n">
        <f aca="false">K16*Inputs!$B$77*Inputs!$B$88*Inputs!$B$89+K4*Inputs!$B$82*Inputs!$B$90*Inputs!$B$91+K16*Inputs!$B$92</f>
        <v>184400</v>
      </c>
      <c r="L31" s="33" t="n">
        <f aca="false">L16*Inputs!$B$77*Inputs!$B$88*Inputs!$B$89+L4*Inputs!$B$82*Inputs!$B$90*Inputs!$B$91+L16*Inputs!$B$92</f>
        <v>184400</v>
      </c>
      <c r="M31" s="33" t="n">
        <f aca="false">M16*Inputs!$B$77*Inputs!$B$88*Inputs!$B$89+M4*Inputs!$B$82*Inputs!$B$90*Inputs!$B$91+M16*Inputs!$B$92</f>
        <v>184400</v>
      </c>
      <c r="N31" s="33" t="n">
        <f aca="false">N16*Inputs!$B$77*Inputs!$B$88*Inputs!$B$89+N4*Inputs!$B$82*Inputs!$B$90*Inputs!$B$91+N16*Inputs!$B$92</f>
        <v>184400</v>
      </c>
      <c r="O31" s="33" t="n">
        <f aca="false">O16*Inputs!$B$77*Inputs!$B$88*Inputs!$B$89+O4*Inputs!$B$82*Inputs!$B$90*Inputs!$B$91+O16*Inputs!$B$92</f>
        <v>184400</v>
      </c>
      <c r="P31" s="33" t="n">
        <f aca="false">P16*Inputs!$B$77*Inputs!$B$88*Inputs!$B$89+P4*Inputs!$B$82*Inputs!$B$90*Inputs!$B$91+P16*Inputs!$B$92</f>
        <v>184400</v>
      </c>
      <c r="Q31" s="33" t="n">
        <f aca="false">Q16*Inputs!$B$77*Inputs!$B$88*Inputs!$B$89+Q4*Inputs!$B$82*Inputs!$B$90*Inputs!$B$91+Q16*Inputs!$B$92</f>
        <v>184400</v>
      </c>
      <c r="R31" s="33" t="n">
        <f aca="false">R16*Inputs!$B$77*Inputs!$B$88*Inputs!$B$89+R4*Inputs!$B$82*Inputs!$B$90*Inputs!$B$91+R16*Inputs!$B$92</f>
        <v>184400</v>
      </c>
      <c r="S31" s="33" t="n">
        <f aca="false">S16*Inputs!$B$77*Inputs!$B$88*Inputs!$B$89+S4*Inputs!$B$82*Inputs!$B$90*Inputs!$B$91+S16*Inputs!$B$92</f>
        <v>184400</v>
      </c>
      <c r="T31" s="33" t="n">
        <f aca="false">T16*Inputs!$B$77*Inputs!$B$88*Inputs!$B$89+T4*Inputs!$B$82*Inputs!$B$90*Inputs!$B$91+T16*Inputs!$B$92</f>
        <v>184400</v>
      </c>
      <c r="U31" s="33" t="n">
        <f aca="false">U16*Inputs!$B$77*Inputs!$B$88*Inputs!$B$89+U4*Inputs!$B$82*Inputs!$B$90*Inputs!$B$91+U16*Inputs!$B$92</f>
        <v>184400</v>
      </c>
      <c r="V31" s="33" t="n">
        <f aca="false">V16*Inputs!$B$77*Inputs!$B$88*Inputs!$B$89+V4*Inputs!$B$82*Inputs!$B$90*Inputs!$B$91+V16*Inputs!$B$92</f>
        <v>184400</v>
      </c>
      <c r="W31" s="33" t="n">
        <f aca="false">W16*Inputs!$B$77*Inputs!$B$88*Inputs!$B$89+W4*Inputs!$B$82*Inputs!$B$90*Inputs!$B$91+W16*Inputs!$B$92</f>
        <v>184400</v>
      </c>
      <c r="X31" s="33" t="n">
        <f aca="false">X16*Inputs!$B$77*Inputs!$B$88*Inputs!$B$89+X4*Inputs!$B$82*Inputs!$B$90*Inputs!$B$91+X16*Inputs!$B$92</f>
        <v>184400</v>
      </c>
      <c r="Y31" s="33" t="n">
        <f aca="false">Y16*Inputs!$B$77*Inputs!$B$88*Inputs!$B$89+Y4*Inputs!$B$82*Inputs!$B$90*Inputs!$B$91+Y16*Inputs!$B$92</f>
        <v>115250</v>
      </c>
      <c r="Z31" s="33" t="n">
        <f aca="false">Z16*Inputs!$B$77*Inputs!$B$88*Inputs!$B$89+Z4*Inputs!$B$82*Inputs!$B$90*Inputs!$B$91+Z16*Inputs!$B$92</f>
        <v>230500</v>
      </c>
    </row>
    <row r="32" customFormat="false" ht="15" hidden="false" customHeight="false" outlineLevel="0" collapsed="false">
      <c r="A32" s="14" t="s">
        <v>422</v>
      </c>
      <c r="B32" s="34" t="n">
        <f aca="false">B29+B30+B31</f>
        <v>851614.782259231</v>
      </c>
      <c r="C32" s="34" t="n">
        <f aca="false">C29+C30+C31</f>
        <v>425807.391129616</v>
      </c>
      <c r="D32" s="34" t="n">
        <f aca="false">D29+D30+D31</f>
        <v>1064518.47782404</v>
      </c>
      <c r="E32" s="34" t="n">
        <f aca="false">E29+E30+E31</f>
        <v>851614.782259231</v>
      </c>
      <c r="F32" s="34" t="n">
        <f aca="false">F29+F30+F31</f>
        <v>851614.782259231</v>
      </c>
      <c r="G32" s="34" t="n">
        <f aca="false">G29+G30+G31</f>
        <v>851614.782259231</v>
      </c>
      <c r="H32" s="34" t="n">
        <f aca="false">H29+H30+H31</f>
        <v>851614.782259231</v>
      </c>
      <c r="I32" s="34" t="n">
        <f aca="false">I29+I30+I31</f>
        <v>851614.782259231</v>
      </c>
      <c r="J32" s="34" t="n">
        <f aca="false">J29+J30+J31</f>
        <v>851614.782259231</v>
      </c>
      <c r="K32" s="34" t="n">
        <f aca="false">K29+K30+K31</f>
        <v>824254.782259231</v>
      </c>
      <c r="L32" s="34" t="n">
        <f aca="false">L29+L30+L31</f>
        <v>885814.782259231</v>
      </c>
      <c r="M32" s="34" t="n">
        <f aca="false">M29+M30+M31</f>
        <v>802654.782259231</v>
      </c>
      <c r="N32" s="34" t="n">
        <f aca="false">N29+N30+N31</f>
        <v>900574.782259231</v>
      </c>
      <c r="O32" s="34" t="n">
        <f aca="false">O29+O30+O31</f>
        <v>741427.825807385</v>
      </c>
      <c r="P32" s="34" t="n">
        <f aca="false">P29+P30+P31</f>
        <v>961801.738711078</v>
      </c>
      <c r="Q32" s="34" t="n">
        <f aca="false">Q29+Q30+Q31</f>
        <v>484324.927419744</v>
      </c>
      <c r="R32" s="34" t="n">
        <f aca="false">R29+R30+R31</f>
        <v>1218904.63709872</v>
      </c>
      <c r="S32" s="34" t="n">
        <f aca="false">S29+S30+S31</f>
        <v>667969.854839488</v>
      </c>
      <c r="T32" s="34" t="n">
        <f aca="false">T29+T30+T31</f>
        <v>1035259.70967898</v>
      </c>
      <c r="U32" s="34" t="n">
        <f aca="false">U29+U30+U31</f>
        <v>851614.782259231</v>
      </c>
      <c r="V32" s="34" t="n">
        <f aca="false">V29+V30+V31</f>
        <v>851614.782259231</v>
      </c>
      <c r="W32" s="34" t="n">
        <f aca="false">W29+W30+W31</f>
        <v>851614.782259231</v>
      </c>
      <c r="X32" s="34" t="n">
        <f aca="false">X29+X30+X31</f>
        <v>851614.782259231</v>
      </c>
      <c r="Y32" s="34" t="n">
        <f aca="false">Y29+Y30+Y31</f>
        <v>284351.51389715</v>
      </c>
      <c r="Z32" s="34" t="n">
        <f aca="false">Z29+Z30+Z31</f>
        <v>1661799.51613163</v>
      </c>
    </row>
    <row r="33" customFormat="false" ht="15" hidden="false" customHeight="false" outlineLevel="0" collapsed="false">
      <c r="A33" s="6" t="s">
        <v>423</v>
      </c>
      <c r="B33" s="33" t="n">
        <f aca="false">B29+B30+B4*Inputs!$B$82*Inputs!$B$90*Inputs!$B$91</f>
        <v>697214.782259231</v>
      </c>
      <c r="C33" s="33" t="n">
        <f aca="false">C29+C30+C4*Inputs!$B$82*Inputs!$B$90*Inputs!$B$91</f>
        <v>348607.391129616</v>
      </c>
      <c r="D33" s="33" t="n">
        <f aca="false">D29+D30+D4*Inputs!$B$82*Inputs!$B$90*Inputs!$B$91</f>
        <v>871518.477824039</v>
      </c>
      <c r="E33" s="33" t="n">
        <f aca="false">E29+E30+E4*Inputs!$B$82*Inputs!$B$90*Inputs!$B$91</f>
        <v>697214.782259231</v>
      </c>
      <c r="F33" s="33" t="n">
        <f aca="false">F29+F30+F4*Inputs!$B$82*Inputs!$B$90*Inputs!$B$91</f>
        <v>697214.782259231</v>
      </c>
      <c r="G33" s="33" t="n">
        <f aca="false">G29+G30+G4*Inputs!$B$82*Inputs!$B$90*Inputs!$B$91</f>
        <v>697214.782259231</v>
      </c>
      <c r="H33" s="33" t="n">
        <f aca="false">H29+H30+H4*Inputs!$B$82*Inputs!$B$90*Inputs!$B$91</f>
        <v>697214.782259231</v>
      </c>
      <c r="I33" s="33" t="n">
        <f aca="false">I29+I30+I4*Inputs!$B$82*Inputs!$B$90*Inputs!$B$91</f>
        <v>697214.782259231</v>
      </c>
      <c r="J33" s="33" t="n">
        <f aca="false">J29+J30+J4*Inputs!$B$82*Inputs!$B$90*Inputs!$B$91</f>
        <v>697214.782259231</v>
      </c>
      <c r="K33" s="33" t="n">
        <f aca="false">K29+K30+K4*Inputs!$B$82*Inputs!$B$90*Inputs!$B$91</f>
        <v>669854.782259231</v>
      </c>
      <c r="L33" s="33" t="n">
        <f aca="false">L29+L30+L4*Inputs!$B$82*Inputs!$B$90*Inputs!$B$91</f>
        <v>731414.782259231</v>
      </c>
      <c r="M33" s="33" t="n">
        <f aca="false">M29+M30+M4*Inputs!$B$82*Inputs!$B$90*Inputs!$B$91</f>
        <v>648254.782259231</v>
      </c>
      <c r="N33" s="33" t="n">
        <f aca="false">N29+N30+N4*Inputs!$B$82*Inputs!$B$90*Inputs!$B$91</f>
        <v>746174.782259231</v>
      </c>
      <c r="O33" s="33" t="n">
        <f aca="false">O29+O30+O4*Inputs!$B$82*Inputs!$B$90*Inputs!$B$91</f>
        <v>587027.825807385</v>
      </c>
      <c r="P33" s="33" t="n">
        <f aca="false">P29+P30+P4*Inputs!$B$82*Inputs!$B$90*Inputs!$B$91</f>
        <v>807401.738711078</v>
      </c>
      <c r="Q33" s="33" t="n">
        <f aca="false">Q29+Q30+Q4*Inputs!$B$82*Inputs!$B$90*Inputs!$B$91</f>
        <v>329924.927419744</v>
      </c>
      <c r="R33" s="33" t="n">
        <f aca="false">R29+R30+R4*Inputs!$B$82*Inputs!$B$90*Inputs!$B$91</f>
        <v>1064504.63709872</v>
      </c>
      <c r="S33" s="33" t="n">
        <f aca="false">S29+S30+S4*Inputs!$B$82*Inputs!$B$90*Inputs!$B$91</f>
        <v>513569.854839488</v>
      </c>
      <c r="T33" s="33" t="n">
        <f aca="false">T29+T30+T4*Inputs!$B$82*Inputs!$B$90*Inputs!$B$91</f>
        <v>880859.709678975</v>
      </c>
      <c r="U33" s="33" t="n">
        <f aca="false">U29+U30+U4*Inputs!$B$82*Inputs!$B$90*Inputs!$B$91</f>
        <v>697214.782259231</v>
      </c>
      <c r="V33" s="33" t="n">
        <f aca="false">V29+V30+V4*Inputs!$B$82*Inputs!$B$90*Inputs!$B$91</f>
        <v>697214.782259231</v>
      </c>
      <c r="W33" s="33" t="n">
        <f aca="false">W29+W30+W4*Inputs!$B$82*Inputs!$B$90*Inputs!$B$91</f>
        <v>697214.782259231</v>
      </c>
      <c r="X33" s="33" t="n">
        <f aca="false">X29+X30+X4*Inputs!$B$82*Inputs!$B$90*Inputs!$B$91</f>
        <v>697214.782259231</v>
      </c>
      <c r="Y33" s="33" t="n">
        <f aca="false">Y29+Y30+Y4*Inputs!$B$82*Inputs!$B$90*Inputs!$B$91</f>
        <v>187851.51389715</v>
      </c>
      <c r="Z33" s="33" t="n">
        <f aca="false">Z29+Z30+Z4*Inputs!$B$82*Inputs!$B$90*Inputs!$B$91</f>
        <v>1468799.51613163</v>
      </c>
    </row>
    <row r="34" customFormat="false" ht="15" hidden="false" customHeight="false" outlineLevel="0" collapsed="false">
      <c r="A34" s="6" t="s">
        <v>424</v>
      </c>
      <c r="B34" s="41" t="n">
        <f aca="false">Inputs!$B$98+B15</f>
        <v>3.3771710209419</v>
      </c>
      <c r="C34" s="41" t="n">
        <f aca="false">Inputs!$B$98+C15</f>
        <v>3.3771710209419</v>
      </c>
      <c r="D34" s="41" t="n">
        <f aca="false">Inputs!$B$98+D15</f>
        <v>3.3771710209419</v>
      </c>
      <c r="E34" s="41" t="n">
        <f aca="false">Inputs!$B$98+E15</f>
        <v>3.3771710209419</v>
      </c>
      <c r="F34" s="41" t="n">
        <f aca="false">Inputs!$B$98+F15</f>
        <v>3.3771710209419</v>
      </c>
      <c r="G34" s="41" t="n">
        <f aca="false">Inputs!$B$98+G15</f>
        <v>3.3771710209419</v>
      </c>
      <c r="H34" s="41" t="n">
        <f aca="false">Inputs!$B$98+H15</f>
        <v>3.3771710209419</v>
      </c>
      <c r="I34" s="41" t="n">
        <f aca="false">Inputs!$B$98+I15</f>
        <v>3.3771710209419</v>
      </c>
      <c r="J34" s="41" t="n">
        <f aca="false">Inputs!$B$98+J15</f>
        <v>3.3771710209419</v>
      </c>
      <c r="K34" s="41" t="n">
        <f aca="false">Inputs!$B$98+K15</f>
        <v>3.3771710209419</v>
      </c>
      <c r="L34" s="41" t="n">
        <f aca="false">Inputs!$B$98+L15</f>
        <v>3.3771710209419</v>
      </c>
      <c r="M34" s="41" t="n">
        <f aca="false">Inputs!$B$98+M15</f>
        <v>3.3771710209419</v>
      </c>
      <c r="N34" s="41" t="n">
        <f aca="false">Inputs!$B$98+N15</f>
        <v>3.3771710209419</v>
      </c>
      <c r="O34" s="41" t="n">
        <f aca="false">Inputs!$B$98+O15</f>
        <v>3.3771710209419</v>
      </c>
      <c r="P34" s="41" t="n">
        <f aca="false">Inputs!$B$98+P15</f>
        <v>3.3771710209419</v>
      </c>
      <c r="Q34" s="41" t="n">
        <f aca="false">Inputs!$B$98+Q15</f>
        <v>3.3771710209419</v>
      </c>
      <c r="R34" s="41" t="n">
        <f aca="false">Inputs!$B$98+R15</f>
        <v>3.3771710209419</v>
      </c>
      <c r="S34" s="41" t="n">
        <f aca="false">Inputs!$B$98+S15</f>
        <v>3.3771710209419</v>
      </c>
      <c r="T34" s="41" t="n">
        <f aca="false">Inputs!$B$98+T15</f>
        <v>3.3771710209419</v>
      </c>
      <c r="U34" s="41" t="n">
        <f aca="false">Inputs!$B$98+U15</f>
        <v>3.68308096885846</v>
      </c>
      <c r="V34" s="41" t="n">
        <f aca="false">Inputs!$B$98+V15</f>
        <v>2.99538441604503</v>
      </c>
      <c r="W34" s="41" t="n">
        <f aca="false">Inputs!$B$98+W15</f>
        <v>3.3771710209419</v>
      </c>
      <c r="X34" s="41" t="n">
        <f aca="false">Inputs!$B$98+X15</f>
        <v>3.3771710209419</v>
      </c>
      <c r="Y34" s="41" t="n">
        <f aca="false">Inputs!$B$98+Y15</f>
        <v>3.11363976154804</v>
      </c>
      <c r="Z34" s="41" t="n">
        <f aca="false">Inputs!$B$98+Z15</f>
        <v>3.6021550980114</v>
      </c>
    </row>
    <row r="35" customFormat="false" ht="15" hidden="false" customHeight="false" outlineLevel="0" collapsed="false">
      <c r="A35" s="6" t="s">
        <v>425</v>
      </c>
      <c r="B35" s="41" t="n">
        <f aca="false">Inputs!$B$99+B15</f>
        <v>3.2271710209419</v>
      </c>
      <c r="C35" s="41" t="n">
        <f aca="false">Inputs!$B$99+C15</f>
        <v>3.2271710209419</v>
      </c>
      <c r="D35" s="41" t="n">
        <f aca="false">Inputs!$B$99+D15</f>
        <v>3.2271710209419</v>
      </c>
      <c r="E35" s="41" t="n">
        <f aca="false">Inputs!$B$99+E15</f>
        <v>3.2271710209419</v>
      </c>
      <c r="F35" s="41" t="n">
        <f aca="false">Inputs!$B$99+F15</f>
        <v>3.2271710209419</v>
      </c>
      <c r="G35" s="41" t="n">
        <f aca="false">Inputs!$B$99+G15</f>
        <v>3.2271710209419</v>
      </c>
      <c r="H35" s="41" t="n">
        <f aca="false">Inputs!$B$99+H15</f>
        <v>3.2271710209419</v>
      </c>
      <c r="I35" s="41" t="n">
        <f aca="false">Inputs!$B$99+I15</f>
        <v>3.2271710209419</v>
      </c>
      <c r="J35" s="41" t="n">
        <f aca="false">Inputs!$B$99+J15</f>
        <v>3.2271710209419</v>
      </c>
      <c r="K35" s="41" t="n">
        <f aca="false">Inputs!$B$99+K15</f>
        <v>3.2271710209419</v>
      </c>
      <c r="L35" s="41" t="n">
        <f aca="false">Inputs!$B$99+L15</f>
        <v>3.2271710209419</v>
      </c>
      <c r="M35" s="41" t="n">
        <f aca="false">Inputs!$B$99+M15</f>
        <v>3.2271710209419</v>
      </c>
      <c r="N35" s="41" t="n">
        <f aca="false">Inputs!$B$99+N15</f>
        <v>3.2271710209419</v>
      </c>
      <c r="O35" s="41" t="n">
        <f aca="false">Inputs!$B$99+O15</f>
        <v>3.2271710209419</v>
      </c>
      <c r="P35" s="41" t="n">
        <f aca="false">Inputs!$B$99+P15</f>
        <v>3.2271710209419</v>
      </c>
      <c r="Q35" s="41" t="n">
        <f aca="false">Inputs!$B$99+Q15</f>
        <v>3.2271710209419</v>
      </c>
      <c r="R35" s="41" t="n">
        <f aca="false">Inputs!$B$99+R15</f>
        <v>3.2271710209419</v>
      </c>
      <c r="S35" s="41" t="n">
        <f aca="false">Inputs!$B$99+S15</f>
        <v>3.2271710209419</v>
      </c>
      <c r="T35" s="41" t="n">
        <f aca="false">Inputs!$B$99+T15</f>
        <v>3.2271710209419</v>
      </c>
      <c r="U35" s="41" t="n">
        <f aca="false">Inputs!$B$99+U15</f>
        <v>3.53308096885846</v>
      </c>
      <c r="V35" s="41" t="n">
        <f aca="false">Inputs!$B$99+V15</f>
        <v>2.84538441604503</v>
      </c>
      <c r="W35" s="41" t="n">
        <f aca="false">Inputs!$B$99+W15</f>
        <v>3.2271710209419</v>
      </c>
      <c r="X35" s="41" t="n">
        <f aca="false">Inputs!$B$99+X15</f>
        <v>3.2271710209419</v>
      </c>
      <c r="Y35" s="41" t="n">
        <f aca="false">Inputs!$B$99+Y15</f>
        <v>2.96363976154804</v>
      </c>
      <c r="Z35" s="41" t="n">
        <f aca="false">Inputs!$B$99+Z15</f>
        <v>3.4521550980114</v>
      </c>
    </row>
    <row r="36" customFormat="false" ht="15" hidden="false" customHeight="false" outlineLevel="0" collapsed="false">
      <c r="A36" s="6" t="s">
        <v>426</v>
      </c>
      <c r="B36" s="41" t="n">
        <f aca="false">Inputs!$B$100+B15</f>
        <v>3.2271710209419</v>
      </c>
      <c r="C36" s="41" t="n">
        <f aca="false">Inputs!$B$100+C15</f>
        <v>3.2271710209419</v>
      </c>
      <c r="D36" s="41" t="n">
        <f aca="false">Inputs!$B$100+D15</f>
        <v>3.2271710209419</v>
      </c>
      <c r="E36" s="41" t="n">
        <f aca="false">Inputs!$B$100+E15</f>
        <v>3.2271710209419</v>
      </c>
      <c r="F36" s="41" t="n">
        <f aca="false">Inputs!$B$100+F15</f>
        <v>3.2271710209419</v>
      </c>
      <c r="G36" s="41" t="n">
        <f aca="false">Inputs!$B$100+G15</f>
        <v>3.2271710209419</v>
      </c>
      <c r="H36" s="41" t="n">
        <f aca="false">Inputs!$B$100+H15</f>
        <v>3.2271710209419</v>
      </c>
      <c r="I36" s="41" t="n">
        <f aca="false">Inputs!$B$100+I15</f>
        <v>3.2271710209419</v>
      </c>
      <c r="J36" s="41" t="n">
        <f aca="false">Inputs!$B$100+J15</f>
        <v>3.2271710209419</v>
      </c>
      <c r="K36" s="41" t="n">
        <f aca="false">Inputs!$B$100+K15</f>
        <v>3.2271710209419</v>
      </c>
      <c r="L36" s="41" t="n">
        <f aca="false">Inputs!$B$100+L15</f>
        <v>3.2271710209419</v>
      </c>
      <c r="M36" s="41" t="n">
        <f aca="false">Inputs!$B$100+M15</f>
        <v>3.2271710209419</v>
      </c>
      <c r="N36" s="41" t="n">
        <f aca="false">Inputs!$B$100+N15</f>
        <v>3.2271710209419</v>
      </c>
      <c r="O36" s="41" t="n">
        <f aca="false">Inputs!$B$100+O15</f>
        <v>3.2271710209419</v>
      </c>
      <c r="P36" s="41" t="n">
        <f aca="false">Inputs!$B$100+P15</f>
        <v>3.2271710209419</v>
      </c>
      <c r="Q36" s="41" t="n">
        <f aca="false">Inputs!$B$100+Q15</f>
        <v>3.2271710209419</v>
      </c>
      <c r="R36" s="41" t="n">
        <f aca="false">Inputs!$B$100+R15</f>
        <v>3.2271710209419</v>
      </c>
      <c r="S36" s="41" t="n">
        <f aca="false">Inputs!$B$100+S15</f>
        <v>3.2271710209419</v>
      </c>
      <c r="T36" s="41" t="n">
        <f aca="false">Inputs!$B$100+T15</f>
        <v>3.2271710209419</v>
      </c>
      <c r="U36" s="41" t="n">
        <f aca="false">Inputs!$B$100+U15</f>
        <v>3.53308096885846</v>
      </c>
      <c r="V36" s="41" t="n">
        <f aca="false">Inputs!$B$100+V15</f>
        <v>2.84538441604503</v>
      </c>
      <c r="W36" s="41" t="n">
        <f aca="false">Inputs!$B$100+W15</f>
        <v>3.2271710209419</v>
      </c>
      <c r="X36" s="41" t="n">
        <f aca="false">Inputs!$B$100+X15</f>
        <v>3.2271710209419</v>
      </c>
      <c r="Y36" s="41" t="n">
        <f aca="false">Inputs!$B$100+Y15</f>
        <v>2.96363976154804</v>
      </c>
      <c r="Z36" s="41" t="n">
        <f aca="false">Inputs!$B$100+Z15</f>
        <v>3.4521550980114</v>
      </c>
    </row>
    <row r="37" customFormat="false" ht="15" hidden="false" customHeight="false" outlineLevel="0" collapsed="false">
      <c r="A37" s="6" t="s">
        <v>427</v>
      </c>
      <c r="B37" s="33" t="n">
        <f aca="false">B32*B35</f>
        <v>2748306.54631274</v>
      </c>
      <c r="C37" s="33" t="n">
        <f aca="false">C32*C35</f>
        <v>1374153.27315637</v>
      </c>
      <c r="D37" s="33" t="n">
        <f aca="false">D32*D35</f>
        <v>3435383.18289092</v>
      </c>
      <c r="E37" s="33" t="n">
        <f aca="false">E32*E35</f>
        <v>2748306.54631274</v>
      </c>
      <c r="F37" s="33" t="n">
        <f aca="false">F32*F35</f>
        <v>2748306.54631274</v>
      </c>
      <c r="G37" s="33" t="n">
        <f aca="false">G32*G35</f>
        <v>2748306.54631274</v>
      </c>
      <c r="H37" s="33" t="n">
        <f aca="false">H32*H35</f>
        <v>2748306.54631274</v>
      </c>
      <c r="I37" s="33" t="n">
        <f aca="false">I32*I35</f>
        <v>2748306.54631274</v>
      </c>
      <c r="J37" s="33" t="n">
        <f aca="false">J32*J35</f>
        <v>2748306.54631274</v>
      </c>
      <c r="K37" s="33" t="n">
        <f aca="false">K32*K35</f>
        <v>2660011.14717976</v>
      </c>
      <c r="L37" s="33" t="n">
        <f aca="false">L32*L35</f>
        <v>2858675.79522895</v>
      </c>
      <c r="M37" s="33" t="n">
        <f aca="false">M32*M35</f>
        <v>2590304.25312742</v>
      </c>
      <c r="N37" s="33" t="n">
        <f aca="false">N32*N35</f>
        <v>2906308.83949805</v>
      </c>
      <c r="O37" s="33" t="n">
        <f aca="false">O32*O35</f>
        <v>2392714.39356555</v>
      </c>
      <c r="P37" s="33" t="n">
        <f aca="false">P32*P35</f>
        <v>3103898.69905992</v>
      </c>
      <c r="Q37" s="33" t="n">
        <f aca="false">Q32*Q35</f>
        <v>1562999.37048878</v>
      </c>
      <c r="R37" s="33" t="n">
        <f aca="false">R32*R35</f>
        <v>3933613.72213669</v>
      </c>
      <c r="S37" s="33" t="n">
        <f aca="false">S32*S35</f>
        <v>2155652.95840076</v>
      </c>
      <c r="T37" s="33" t="n">
        <f aca="false">T32*T35</f>
        <v>3340960.13422471</v>
      </c>
      <c r="U37" s="33" t="n">
        <f aca="false">U32*U35</f>
        <v>3008823.97999863</v>
      </c>
      <c r="V37" s="33" t="n">
        <f aca="false">V32*V35</f>
        <v>2423171.429914</v>
      </c>
      <c r="W37" s="33" t="n">
        <f aca="false">W32*W35</f>
        <v>2748306.54631274</v>
      </c>
      <c r="X37" s="33" t="n">
        <f aca="false">X32*X35</f>
        <v>2748306.54631274</v>
      </c>
      <c r="Y37" s="33" t="n">
        <f aca="false">Y32*Y35</f>
        <v>842715.452841974</v>
      </c>
      <c r="Z37" s="33" t="n">
        <f aca="false">Z32*Z35</f>
        <v>5736789.67148667</v>
      </c>
    </row>
    <row r="38" customFormat="false" ht="15" hidden="false" customHeight="false" outlineLevel="0" collapsed="false">
      <c r="A38" s="6" t="s">
        <v>428</v>
      </c>
      <c r="B38" s="33" t="n">
        <f aca="false">Inputs!$B$93*(1+B15)</f>
        <v>49526.0522513028</v>
      </c>
      <c r="C38" s="33" t="n">
        <f aca="false">Inputs!$B$93*(1+C15)</f>
        <v>49526.0522513028</v>
      </c>
      <c r="D38" s="33" t="n">
        <f aca="false">Inputs!$B$93*(1+D15)</f>
        <v>49526.0522513028</v>
      </c>
      <c r="E38" s="33" t="n">
        <f aca="false">Inputs!$B$93*(1+E15)</f>
        <v>49526.0522513028</v>
      </c>
      <c r="F38" s="33" t="n">
        <f aca="false">Inputs!$B$93*(1+F15)</f>
        <v>49526.0522513028</v>
      </c>
      <c r="G38" s="33" t="n">
        <f aca="false">Inputs!$B$93*(1+G15)</f>
        <v>49526.0522513028</v>
      </c>
      <c r="H38" s="33" t="n">
        <f aca="false">Inputs!$B$93*(1+H15)</f>
        <v>49526.0522513028</v>
      </c>
      <c r="I38" s="33" t="n">
        <f aca="false">Inputs!$B$93*(1+I15)</f>
        <v>49526.0522513028</v>
      </c>
      <c r="J38" s="33" t="n">
        <f aca="false">Inputs!$B$93*(1+J15)</f>
        <v>49526.0522513028</v>
      </c>
      <c r="K38" s="33" t="n">
        <f aca="false">Inputs!$B$93*(1+K15)</f>
        <v>49526.0522513028</v>
      </c>
      <c r="L38" s="33" t="n">
        <f aca="false">Inputs!$B$93*(1+L15)</f>
        <v>49526.0522513028</v>
      </c>
      <c r="M38" s="33" t="n">
        <f aca="false">Inputs!$B$93*(1+M15)</f>
        <v>49526.0522513028</v>
      </c>
      <c r="N38" s="33" t="n">
        <f aca="false">Inputs!$B$93*(1+N15)</f>
        <v>49526.0522513028</v>
      </c>
      <c r="O38" s="33" t="n">
        <f aca="false">Inputs!$B$93*(1+O15)</f>
        <v>49526.0522513028</v>
      </c>
      <c r="P38" s="33" t="n">
        <f aca="false">Inputs!$B$93*(1+P15)</f>
        <v>49526.0522513028</v>
      </c>
      <c r="Q38" s="33" t="n">
        <f aca="false">Inputs!$B$93*(1+Q15)</f>
        <v>49526.0522513028</v>
      </c>
      <c r="R38" s="33" t="n">
        <f aca="false">Inputs!$B$93*(1+R15)</f>
        <v>49526.0522513028</v>
      </c>
      <c r="S38" s="33" t="n">
        <f aca="false">Inputs!$B$93*(1+S15)</f>
        <v>49526.0522513028</v>
      </c>
      <c r="T38" s="33" t="n">
        <f aca="false">Inputs!$B$93*(1+T15)</f>
        <v>49526.0522513028</v>
      </c>
      <c r="U38" s="33" t="n">
        <f aca="false">Inputs!$B$93*(1+U15)</f>
        <v>53196.9716263015</v>
      </c>
      <c r="V38" s="33" t="n">
        <f aca="false">Inputs!$B$93*(1+V15)</f>
        <v>44944.6129925404</v>
      </c>
      <c r="W38" s="33" t="n">
        <f aca="false">Inputs!$B$93*(1+W15)</f>
        <v>49526.0522513028</v>
      </c>
      <c r="X38" s="33" t="n">
        <f aca="false">Inputs!$B$93*(1+X15)</f>
        <v>49526.0522513028</v>
      </c>
      <c r="Y38" s="33" t="n">
        <f aca="false">Inputs!$B$93*(1+Y15)</f>
        <v>46363.6771385765</v>
      </c>
      <c r="Z38" s="33" t="n">
        <f aca="false">Inputs!$B$93*(1+Z15)</f>
        <v>52225.8611761368</v>
      </c>
    </row>
    <row r="39" customFormat="false" ht="15" hidden="false" customHeight="false" outlineLevel="0" collapsed="false">
      <c r="A39" s="6" t="s">
        <v>429</v>
      </c>
      <c r="B39" s="33" t="n">
        <f aca="false">B27+B28*B34</f>
        <v>1502389.55173746</v>
      </c>
      <c r="C39" s="33" t="n">
        <f aca="false">C27+C28*C34</f>
        <v>1076598.98605343</v>
      </c>
      <c r="D39" s="33" t="n">
        <f aca="false">D27+D28*D34</f>
        <v>1692137.17816666</v>
      </c>
      <c r="E39" s="33" t="n">
        <f aca="false">E27+E28*E34</f>
        <v>1446526.55432622</v>
      </c>
      <c r="F39" s="33" t="n">
        <f aca="false">F27+F28*F34</f>
        <v>1586184.04785432</v>
      </c>
      <c r="G39" s="33" t="n">
        <f aca="false">G27+G28*G34</f>
        <v>1448962.55173746</v>
      </c>
      <c r="H39" s="33" t="n">
        <f aca="false">H27+H28*H34</f>
        <v>1591434.55173746</v>
      </c>
      <c r="I39" s="33" t="n">
        <f aca="false">I27+I28*I34</f>
        <v>1362070.88147684</v>
      </c>
      <c r="J39" s="33" t="n">
        <f aca="false">J27+J28*J34</f>
        <v>1736254.00217183</v>
      </c>
      <c r="K39" s="33" t="n">
        <f aca="false">K27+K28*K34</f>
        <v>1502389.55173746</v>
      </c>
      <c r="L39" s="33" t="n">
        <f aca="false">L27+L28*L34</f>
        <v>1502389.55173746</v>
      </c>
      <c r="M39" s="33" t="n">
        <f aca="false">M27+M28*M34</f>
        <v>1502389.55173746</v>
      </c>
      <c r="N39" s="33" t="n">
        <f aca="false">N27+N28*N34</f>
        <v>1502389.55173746</v>
      </c>
      <c r="O39" s="33" t="n">
        <f aca="false">O27+O28*O34</f>
        <v>1502389.55173746</v>
      </c>
      <c r="P39" s="33" t="n">
        <f aca="false">P27+P28*P34</f>
        <v>1502389.55173746</v>
      </c>
      <c r="Q39" s="33" t="n">
        <f aca="false">Q27+Q28*Q34</f>
        <v>1502389.55173746</v>
      </c>
      <c r="R39" s="33" t="n">
        <f aca="false">R27+R28*R34</f>
        <v>1502389.55173746</v>
      </c>
      <c r="S39" s="33" t="n">
        <f aca="false">S27+S28*S34</f>
        <v>1502389.55173746</v>
      </c>
      <c r="T39" s="33" t="n">
        <f aca="false">T27+T28*T34</f>
        <v>1502389.55173746</v>
      </c>
      <c r="U39" s="33" t="n">
        <f aca="false">U27+U28*U34</f>
        <v>1587124.92511155</v>
      </c>
      <c r="V39" s="33" t="n">
        <f aca="false">V27+V28*V34</f>
        <v>1396636.76162557</v>
      </c>
      <c r="W39" s="33" t="n">
        <f aca="false">W27+W28*W34</f>
        <v>1502389.55173746</v>
      </c>
      <c r="X39" s="33" t="n">
        <f aca="false">X27+X28*X34</f>
        <v>1502389.55173746</v>
      </c>
      <c r="Y39" s="33" t="n">
        <f aca="false">Y27+Y28*Y34</f>
        <v>1307310.02404403</v>
      </c>
      <c r="Z39" s="33" t="n">
        <f aca="false">Z27+Z28*Z34</f>
        <v>1654933.46917627</v>
      </c>
    </row>
    <row r="40" customFormat="false" ht="15" hidden="false" customHeight="false" outlineLevel="0" collapsed="false">
      <c r="A40" s="6" t="s">
        <v>430</v>
      </c>
      <c r="B40" s="33" t="n">
        <f aca="false">B27*(1+Inputs!$B$104*B14)+B28*(1+Inputs!$B$105*B14)*B34</f>
        <v>1924759.8297587</v>
      </c>
      <c r="C40" s="33" t="n">
        <f aca="false">C27*(1+Inputs!$B$104*C14)+C28*(1+Inputs!$B$105*C14)*C34</f>
        <v>1378440.11936945</v>
      </c>
      <c r="D40" s="33" t="n">
        <f aca="false">D27*(1+Inputs!$B$104*D14)+D28*(1+Inputs!$B$105*D14)*D34</f>
        <v>2168553.86911666</v>
      </c>
      <c r="E40" s="33" t="n">
        <f aca="false">E27*(1+Inputs!$B$104*E14)+E28*(1+Inputs!$B$105*E14)*E34</f>
        <v>1854162.73062409</v>
      </c>
      <c r="F40" s="33" t="n">
        <f aca="false">F27*(1+Inputs!$B$104*F14)+F28*(1+Inputs!$B$105*F14)*F34</f>
        <v>2030655.47846061</v>
      </c>
      <c r="G40" s="33" t="n">
        <f aca="false">G27*(1+Inputs!$B$104*G14)+G28*(1+Inputs!$B$105*G14)*G34</f>
        <v>1857976.0797587</v>
      </c>
      <c r="H40" s="33" t="n">
        <f aca="false">H27*(1+Inputs!$B$104*H14)+H28*(1+Inputs!$B$105*H14)*H34</f>
        <v>2036066.0797587</v>
      </c>
      <c r="I40" s="33" t="n">
        <f aca="false">I27*(1+Inputs!$B$104*I14)+I28*(1+Inputs!$B$105*I14)*I34</f>
        <v>1742345.5584199</v>
      </c>
      <c r="J40" s="33" t="n">
        <f aca="false">J27*(1+Inputs!$B$104*J14)+J28*(1+Inputs!$B$105*J14)*J34</f>
        <v>2228783.61532338</v>
      </c>
      <c r="K40" s="33" t="n">
        <f aca="false">K27*(1+Inputs!$B$104*K14)+K28*(1+Inputs!$B$105*K14)*K34</f>
        <v>1924759.8297587</v>
      </c>
      <c r="L40" s="33" t="n">
        <f aca="false">L27*(1+Inputs!$B$104*L14)+L28*(1+Inputs!$B$105*L14)*L34</f>
        <v>1924759.8297587</v>
      </c>
      <c r="M40" s="33" t="n">
        <f aca="false">M27*(1+Inputs!$B$104*M14)+M28*(1+Inputs!$B$105*M14)*M34</f>
        <v>1924759.8297587</v>
      </c>
      <c r="N40" s="33" t="n">
        <f aca="false">N27*(1+Inputs!$B$104*N14)+N28*(1+Inputs!$B$105*N14)*N34</f>
        <v>1924759.8297587</v>
      </c>
      <c r="O40" s="33" t="n">
        <f aca="false">O27*(1+Inputs!$B$104*O14)+O28*(1+Inputs!$B$105*O14)*O34</f>
        <v>1924759.8297587</v>
      </c>
      <c r="P40" s="33" t="n">
        <f aca="false">P27*(1+Inputs!$B$104*P14)+P28*(1+Inputs!$B$105*P14)*P34</f>
        <v>1924759.8297587</v>
      </c>
      <c r="Q40" s="33" t="n">
        <f aca="false">Q27*(1+Inputs!$B$104*Q14)+Q28*(1+Inputs!$B$105*Q14)*Q34</f>
        <v>1924759.8297587</v>
      </c>
      <c r="R40" s="33" t="n">
        <f aca="false">R27*(1+Inputs!$B$104*R14)+R28*(1+Inputs!$B$105*R14)*R34</f>
        <v>1924759.8297587</v>
      </c>
      <c r="S40" s="33" t="n">
        <f aca="false">S27*(1+Inputs!$B$104*S14)+S28*(1+Inputs!$B$105*S14)*S34</f>
        <v>1924759.8297587</v>
      </c>
      <c r="T40" s="33" t="n">
        <f aca="false">T27*(1+Inputs!$B$104*T14)+T28*(1+Inputs!$B$105*T14)*T34</f>
        <v>1924759.8297587</v>
      </c>
      <c r="U40" s="33" t="n">
        <f aca="false">U27*(1+Inputs!$B$104*U14)+U28*(1+Inputs!$B$105*U14)*U34</f>
        <v>2034915.81514501</v>
      </c>
      <c r="V40" s="33" t="n">
        <f aca="false">V27*(1+Inputs!$B$104*V14)+V28*(1+Inputs!$B$105*V14)*V34</f>
        <v>1787281.20261324</v>
      </c>
      <c r="W40" s="33" t="n">
        <f aca="false">W27*(1+Inputs!$B$104*W14)+W28*(1+Inputs!$B$105*W14)*W34</f>
        <v>1840285.77415445</v>
      </c>
      <c r="X40" s="33" t="n">
        <f aca="false">X27*(1+Inputs!$B$104*X14)+X28*(1+Inputs!$B$105*X14)*X34</f>
        <v>2009233.88536295</v>
      </c>
      <c r="Y40" s="33" t="n">
        <f aca="false">Y27*(1+Inputs!$B$104*Y14)+Y28*(1+Inputs!$B$105*Y14)*Y34</f>
        <v>1673058.53625724</v>
      </c>
      <c r="Z40" s="33" t="n">
        <f aca="false">Z27*(1+Inputs!$B$104*Z14)+Z28*(1+Inputs!$B$105*Z14)*Z34</f>
        <v>2122309.06367915</v>
      </c>
    </row>
    <row r="41" customFormat="false" ht="15" hidden="false" customHeight="false" outlineLevel="0" collapsed="false">
      <c r="A41" s="6" t="s">
        <v>431</v>
      </c>
      <c r="B41" s="33" t="n">
        <f aca="false">(B16*Inputs!$B$106+B17*Inputs!$B$107+B4*Inputs!$B$108+Inputs!$B$109)*12*B14</f>
        <v>500640</v>
      </c>
      <c r="C41" s="33" t="n">
        <f aca="false">(C16*Inputs!$B$106+C17*Inputs!$B$107+C4*Inputs!$B$108+Inputs!$B$109)*12*C14</f>
        <v>268320</v>
      </c>
      <c r="D41" s="33" t="n">
        <f aca="false">(D16*Inputs!$B$106+D17*Inputs!$B$107+D4*Inputs!$B$108+Inputs!$B$109)*12*D14</f>
        <v>616800</v>
      </c>
      <c r="E41" s="33" t="n">
        <f aca="false">(E16*Inputs!$B$106+E17*Inputs!$B$107+E4*Inputs!$B$108+Inputs!$B$109)*12*E14</f>
        <v>500640</v>
      </c>
      <c r="F41" s="33" t="n">
        <f aca="false">(F16*Inputs!$B$106+F17*Inputs!$B$107+F4*Inputs!$B$108+Inputs!$B$109)*12*F14</f>
        <v>500640</v>
      </c>
      <c r="G41" s="33" t="n">
        <f aca="false">(G16*Inputs!$B$106+G17*Inputs!$B$107+G4*Inputs!$B$108+Inputs!$B$109)*12*G14</f>
        <v>500640</v>
      </c>
      <c r="H41" s="33" t="n">
        <f aca="false">(H16*Inputs!$B$106+H17*Inputs!$B$107+H4*Inputs!$B$108+Inputs!$B$109)*12*H14</f>
        <v>500640</v>
      </c>
      <c r="I41" s="33" t="n">
        <f aca="false">(I16*Inputs!$B$106+I17*Inputs!$B$107+I4*Inputs!$B$108+Inputs!$B$109)*12*I14</f>
        <v>500640</v>
      </c>
      <c r="J41" s="33" t="n">
        <f aca="false">(J16*Inputs!$B$106+J17*Inputs!$B$107+J4*Inputs!$B$108+Inputs!$B$109)*12*J14</f>
        <v>500640</v>
      </c>
      <c r="K41" s="33" t="n">
        <f aca="false">(K16*Inputs!$B$106+K17*Inputs!$B$107+K4*Inputs!$B$108+Inputs!$B$109)*12*K14</f>
        <v>500640</v>
      </c>
      <c r="L41" s="33" t="n">
        <f aca="false">(L16*Inputs!$B$106+L17*Inputs!$B$107+L4*Inputs!$B$108+Inputs!$B$109)*12*L14</f>
        <v>500640</v>
      </c>
      <c r="M41" s="33" t="n">
        <f aca="false">(M16*Inputs!$B$106+M17*Inputs!$B$107+M4*Inputs!$B$108+Inputs!$B$109)*12*M14</f>
        <v>500640</v>
      </c>
      <c r="N41" s="33" t="n">
        <f aca="false">(N16*Inputs!$B$106+N17*Inputs!$B$107+N4*Inputs!$B$108+Inputs!$B$109)*12*N14</f>
        <v>500640</v>
      </c>
      <c r="O41" s="33" t="n">
        <f aca="false">(O16*Inputs!$B$106+O17*Inputs!$B$107+O4*Inputs!$B$108+Inputs!$B$109)*12*O14</f>
        <v>500640</v>
      </c>
      <c r="P41" s="33" t="n">
        <f aca="false">(P16*Inputs!$B$106+P17*Inputs!$B$107+P4*Inputs!$B$108+Inputs!$B$109)*12*P14</f>
        <v>500640</v>
      </c>
      <c r="Q41" s="33" t="n">
        <f aca="false">(Q16*Inputs!$B$106+Q17*Inputs!$B$107+Q4*Inputs!$B$108+Inputs!$B$109)*12*Q14</f>
        <v>500640</v>
      </c>
      <c r="R41" s="33" t="n">
        <f aca="false">(R16*Inputs!$B$106+R17*Inputs!$B$107+R4*Inputs!$B$108+Inputs!$B$109)*12*R14</f>
        <v>500640</v>
      </c>
      <c r="S41" s="33" t="n">
        <f aca="false">(S16*Inputs!$B$106+S17*Inputs!$B$107+S4*Inputs!$B$108+Inputs!$B$109)*12*S14</f>
        <v>500640</v>
      </c>
      <c r="T41" s="33" t="n">
        <f aca="false">(T16*Inputs!$B$106+T17*Inputs!$B$107+T4*Inputs!$B$108+Inputs!$B$109)*12*T14</f>
        <v>500640</v>
      </c>
      <c r="U41" s="33" t="n">
        <f aca="false">(U16*Inputs!$B$106+U17*Inputs!$B$107+U4*Inputs!$B$108+Inputs!$B$109)*12*U14</f>
        <v>500640</v>
      </c>
      <c r="V41" s="33" t="n">
        <f aca="false">(V16*Inputs!$B$106+V17*Inputs!$B$107+V4*Inputs!$B$108+Inputs!$B$109)*12*V14</f>
        <v>500640</v>
      </c>
      <c r="W41" s="33" t="n">
        <f aca="false">(W16*Inputs!$B$106+W17*Inputs!$B$107+W4*Inputs!$B$108+Inputs!$B$109)*12*W14</f>
        <v>400512</v>
      </c>
      <c r="X41" s="33" t="n">
        <f aca="false">(X16*Inputs!$B$106+X17*Inputs!$B$107+X4*Inputs!$B$108+Inputs!$B$109)*12*X14</f>
        <v>600768</v>
      </c>
      <c r="Y41" s="33" t="n">
        <f aca="false">(Y16*Inputs!$B$106+Y17*Inputs!$B$107+Y4*Inputs!$B$108+Inputs!$B$109)*12*Y14</f>
        <v>326400</v>
      </c>
      <c r="Z41" s="33" t="n">
        <f aca="false">(Z16*Inputs!$B$106+Z17*Inputs!$B$107+Z4*Inputs!$B$108+Inputs!$B$109)*12*Z14</f>
        <v>616800</v>
      </c>
    </row>
    <row r="42" customFormat="false" ht="15" hidden="false" customHeight="false" outlineLevel="0" collapsed="false">
      <c r="A42" s="6" t="s">
        <v>432</v>
      </c>
      <c r="B42" s="33" t="n">
        <f aca="false">B27*Inputs!$B$110+B41*B36</f>
        <v>1700690.66242435</v>
      </c>
      <c r="C42" s="33" t="n">
        <f aca="false">C27*Inputs!$B$110+C41*C36</f>
        <v>929330.21583913</v>
      </c>
      <c r="D42" s="33" t="n">
        <f aca="false">D27*Inputs!$B$110+D41*D36</f>
        <v>2084192.47321696</v>
      </c>
      <c r="E42" s="33" t="n">
        <f aca="false">E27*Inputs!$B$110+E41*E36</f>
        <v>1694616.26992435</v>
      </c>
      <c r="F42" s="33" t="n">
        <f aca="false">F27*Inputs!$B$110+F41*F36</f>
        <v>1709802.25117435</v>
      </c>
      <c r="G42" s="33" t="n">
        <f aca="false">G27*Inputs!$B$110+G41*G36</f>
        <v>1692676.61242435</v>
      </c>
      <c r="H42" s="33" t="n">
        <f aca="false">H27*Inputs!$B$110+H41*H36</f>
        <v>1714047.41242435</v>
      </c>
      <c r="I42" s="33" t="n">
        <f aca="false">I27*Inputs!$B$110+I41*I36</f>
        <v>1700690.66242435</v>
      </c>
      <c r="J42" s="33" t="n">
        <f aca="false">J27*Inputs!$B$110+J41*J36</f>
        <v>1700690.66242435</v>
      </c>
      <c r="K42" s="33" t="n">
        <f aca="false">K27*Inputs!$B$110+K41*K36</f>
        <v>1700690.66242435</v>
      </c>
      <c r="L42" s="33" t="n">
        <f aca="false">L27*Inputs!$B$110+L41*L36</f>
        <v>1700690.66242435</v>
      </c>
      <c r="M42" s="33" t="n">
        <f aca="false">M27*Inputs!$B$110+M41*M36</f>
        <v>1700690.66242435</v>
      </c>
      <c r="N42" s="33" t="n">
        <f aca="false">N27*Inputs!$B$110+N41*N36</f>
        <v>1700690.66242435</v>
      </c>
      <c r="O42" s="33" t="n">
        <f aca="false">O27*Inputs!$B$110+O41*O36</f>
        <v>1700690.66242435</v>
      </c>
      <c r="P42" s="33" t="n">
        <f aca="false">P27*Inputs!$B$110+P41*P36</f>
        <v>1700690.66242435</v>
      </c>
      <c r="Q42" s="33" t="n">
        <f aca="false">Q27*Inputs!$B$110+Q41*Q36</f>
        <v>1700690.66242435</v>
      </c>
      <c r="R42" s="33" t="n">
        <f aca="false">R27*Inputs!$B$110+R41*R36</f>
        <v>1700690.66242435</v>
      </c>
      <c r="S42" s="33" t="n">
        <f aca="false">S27*Inputs!$B$110+S41*S36</f>
        <v>1700690.66242435</v>
      </c>
      <c r="T42" s="33" t="n">
        <f aca="false">T27*Inputs!$B$110+T41*T36</f>
        <v>1700690.66242435</v>
      </c>
      <c r="U42" s="33" t="n">
        <f aca="false">U27*Inputs!$B$110+U41*U36</f>
        <v>1853841.4187493</v>
      </c>
      <c r="V42" s="33" t="n">
        <f aca="false">V27*Inputs!$B$110+V41*V36</f>
        <v>1509553.01654878</v>
      </c>
      <c r="W42" s="33" t="n">
        <f aca="false">W27*Inputs!$B$110+W41*W36</f>
        <v>1377560.48243948</v>
      </c>
      <c r="X42" s="33" t="n">
        <f aca="false">X27*Inputs!$B$110+X41*X36</f>
        <v>2023820.84240922</v>
      </c>
      <c r="Y42" s="33" t="n">
        <f aca="false">Y27*Inputs!$B$110+Y41*Y36</f>
        <v>1046665.50316928</v>
      </c>
      <c r="Z42" s="33" t="n">
        <f aca="false">Z27*Inputs!$B$110+Z41*Z36</f>
        <v>2216602.60320343</v>
      </c>
    </row>
    <row r="43" customFormat="false" ht="15" hidden="false" customHeight="false" outlineLevel="0" collapsed="false">
      <c r="A43" s="6" t="s">
        <v>433</v>
      </c>
      <c r="B43" s="33" t="n">
        <f aca="false">B27*(1+Inputs!$B$111*B14)+B28*(1+Inputs!$B$112*B14)*B34+B33*Inputs!$B$113*B14*B35</f>
        <v>1999168.7099602</v>
      </c>
      <c r="C43" s="33" t="n">
        <f aca="false">C27*(1+Inputs!$B$111*C14)+C28*(1+Inputs!$B$112*C14)*C34+C33*Inputs!$B$113*C14*C35</f>
        <v>1334293.50692403</v>
      </c>
      <c r="D43" s="33" t="n">
        <f aca="false">D27*(1+Inputs!$B$111*D14)+D28*(1+Inputs!$B$112*D14)*D34+D33*Inputs!$B$113*D14*D35</f>
        <v>2308027.40974482</v>
      </c>
      <c r="E43" s="33" t="n">
        <f aca="false">E27*(1+Inputs!$B$111*E14)+E28*(1+Inputs!$B$112*E14)*E34+E33*Inputs!$B$113*E14*E35</f>
        <v>1942537.3601784</v>
      </c>
      <c r="F43" s="33" t="n">
        <f aca="false">F27*(1+Inputs!$B$111*F14)+F28*(1+Inputs!$B$112*F14)*F34+F33*Inputs!$B$113*F14*F35</f>
        <v>2084115.73463289</v>
      </c>
      <c r="G43" s="33" t="n">
        <f aca="false">G27*(1+Inputs!$B$111*G14)+G28*(1+Inputs!$B$112*G14)*G34+G33*Inputs!$B$113*G14*G35</f>
        <v>1945741.7099602</v>
      </c>
      <c r="H43" s="33" t="n">
        <f aca="false">H27*(1+Inputs!$B$111*H14)+H28*(1+Inputs!$B$112*H14)*H34+H33*Inputs!$B$113*H14*H35</f>
        <v>2088213.7099602</v>
      </c>
      <c r="I43" s="33" t="n">
        <f aca="false">I27*(1+Inputs!$B$111*I14)+I28*(1+Inputs!$B$112*I14)*I34+I33*Inputs!$B$113*I14*I35</f>
        <v>1851834.10618655</v>
      </c>
      <c r="J43" s="33" t="n">
        <f aca="false">J27*(1+Inputs!$B$111*J14)+J28*(1+Inputs!$B$112*J14)*J34+J33*Inputs!$B$113*J14*J35</f>
        <v>2244726.38291628</v>
      </c>
      <c r="K43" s="33" t="n">
        <f aca="false">K27*(1+Inputs!$B$111*K14)+K28*(1+Inputs!$B$112*K14)*K34+K33*Inputs!$B$113*K14*K35</f>
        <v>1981509.6301336</v>
      </c>
      <c r="L43" s="33" t="n">
        <f aca="false">L27*(1+Inputs!$B$111*L14)+L28*(1+Inputs!$B$112*L14)*L34+L33*Inputs!$B$113*L14*L35</f>
        <v>2021242.55974344</v>
      </c>
      <c r="M43" s="33" t="n">
        <f aca="false">M27*(1+Inputs!$B$111*M14)+M28*(1+Inputs!$B$112*M14)*M34+M33*Inputs!$B$113*M14*M35</f>
        <v>1967568.25132313</v>
      </c>
      <c r="N43" s="33" t="n">
        <f aca="false">N27*(1+Inputs!$B$111*N14)+N28*(1+Inputs!$B$112*N14)*N34+N33*Inputs!$B$113*N14*N35</f>
        <v>2030769.16859726</v>
      </c>
      <c r="O43" s="33" t="n">
        <f aca="false">O27*(1+Inputs!$B$111*O14)+O28*(1+Inputs!$B$112*O14)*O34+O33*Inputs!$B$113*O14*O35</f>
        <v>1928050.27941076</v>
      </c>
      <c r="P43" s="33" t="n">
        <f aca="false">P27*(1+Inputs!$B$111*P14)+P28*(1+Inputs!$B$112*P14)*P34+P33*Inputs!$B$113*P14*P35</f>
        <v>2070287.14050963</v>
      </c>
      <c r="Q43" s="33" t="n">
        <f aca="false">Q27*(1+Inputs!$B$111*Q14)+Q28*(1+Inputs!$B$112*Q14)*Q34+Q33*Inputs!$B$113*Q14*Q35</f>
        <v>1762107.27479541</v>
      </c>
      <c r="R43" s="33" t="n">
        <f aca="false">R27*(1+Inputs!$B$111*R14)+R28*(1+Inputs!$B$112*R14)*R34+R33*Inputs!$B$113*R14*R35</f>
        <v>2236230.14512499</v>
      </c>
      <c r="S43" s="33" t="n">
        <f aca="false">S27*(1+Inputs!$B$111*S14)+S28*(1+Inputs!$B$112*S14)*S34+S33*Inputs!$B$113*S14*S35</f>
        <v>1880637.9923778</v>
      </c>
      <c r="T43" s="33" t="n">
        <f aca="false">T27*(1+Inputs!$B$111*T14)+T28*(1+Inputs!$B$112*T14)*T34+T33*Inputs!$B$113*T14*T35</f>
        <v>2117699.42754259</v>
      </c>
      <c r="U43" s="33" t="n">
        <f aca="false">U27*(1+Inputs!$B$111*U14)+U28*(1+Inputs!$B$112*U14)*U34+U33*Inputs!$B$113*U14*U35</f>
        <v>2130797.8395485</v>
      </c>
      <c r="V43" s="33" t="n">
        <f aca="false">V27*(1+Inputs!$B$111*V14)+V28*(1+Inputs!$B$112*V14)*V34+V33*Inputs!$B$113*V14*V35</f>
        <v>1834890.82742218</v>
      </c>
      <c r="W43" s="33" t="n">
        <f aca="false">W27*(1+Inputs!$B$111*W14)+W28*(1+Inputs!$B$112*W14)*W34+W33*Inputs!$B$113*W14*W35</f>
        <v>1899812.87831565</v>
      </c>
      <c r="X43" s="33" t="n">
        <f aca="false">X27*(1+Inputs!$B$111*X14)+X28*(1+Inputs!$B$112*X14)*X34+X33*Inputs!$B$113*X14*X35</f>
        <v>2098524.54160474</v>
      </c>
      <c r="Y43" s="33" t="n">
        <f aca="false">Y27*(1+Inputs!$B$111*Y14)+Y28*(1+Inputs!$B$112*Y14)*Y34+Y33*Inputs!$B$113*Y14*Y35</f>
        <v>1457575.87341675</v>
      </c>
      <c r="Z43" s="33" t="n">
        <f aca="false">Z27*(1+Inputs!$B$111*Z14)+Z28*(1+Inputs!$B$112*Z14)*Z34+Z33*Inputs!$B$113*Z14*Z35</f>
        <v>2722680.44389918</v>
      </c>
    </row>
    <row r="44" customFormat="false" ht="15" hidden="false" customHeight="false" outlineLevel="0" collapsed="false">
      <c r="A44" s="14" t="s">
        <v>434</v>
      </c>
      <c r="B44" s="34" t="n">
        <f aca="false">B40-B39</f>
        <v>422370.278021239</v>
      </c>
      <c r="C44" s="34" t="n">
        <f aca="false">C40-C39</f>
        <v>301841.133316028</v>
      </c>
      <c r="D44" s="34" t="n">
        <f aca="false">D40-D39</f>
        <v>476416.690949999</v>
      </c>
      <c r="E44" s="34" t="n">
        <f aca="false">E40-E39</f>
        <v>407636.176297867</v>
      </c>
      <c r="F44" s="34" t="n">
        <f aca="false">F40-F39</f>
        <v>444471.430606295</v>
      </c>
      <c r="G44" s="34" t="n">
        <f aca="false">G40-G39</f>
        <v>409013.528021239</v>
      </c>
      <c r="H44" s="34" t="n">
        <f aca="false">H40-H39</f>
        <v>444631.528021239</v>
      </c>
      <c r="I44" s="34" t="n">
        <f aca="false">I40-I39</f>
        <v>380274.676943053</v>
      </c>
      <c r="J44" s="34" t="n">
        <f aca="false">J40-J39</f>
        <v>492529.613151548</v>
      </c>
      <c r="K44" s="34" t="n">
        <f aca="false">K40-K39</f>
        <v>422370.278021239</v>
      </c>
      <c r="L44" s="34" t="n">
        <f aca="false">L40-L39</f>
        <v>422370.278021239</v>
      </c>
      <c r="M44" s="34" t="n">
        <f aca="false">M40-M39</f>
        <v>422370.278021239</v>
      </c>
      <c r="N44" s="34" t="n">
        <f aca="false">N40-N39</f>
        <v>422370.278021239</v>
      </c>
      <c r="O44" s="34" t="n">
        <f aca="false">O40-O39</f>
        <v>422370.278021239</v>
      </c>
      <c r="P44" s="34" t="n">
        <f aca="false">P40-P39</f>
        <v>422370.278021239</v>
      </c>
      <c r="Q44" s="34" t="n">
        <f aca="false">Q40-Q39</f>
        <v>422370.278021239</v>
      </c>
      <c r="R44" s="34" t="n">
        <f aca="false">R40-R39</f>
        <v>422370.278021239</v>
      </c>
      <c r="S44" s="34" t="n">
        <f aca="false">S40-S39</f>
        <v>422370.278021239</v>
      </c>
      <c r="T44" s="34" t="n">
        <f aca="false">T40-T39</f>
        <v>422370.278021239</v>
      </c>
      <c r="U44" s="34" t="n">
        <f aca="false">U40-U39</f>
        <v>447790.890033464</v>
      </c>
      <c r="V44" s="34" t="n">
        <f aca="false">V40-V39</f>
        <v>390644.440987671</v>
      </c>
      <c r="W44" s="34" t="n">
        <f aca="false">W40-W39</f>
        <v>337896.222416991</v>
      </c>
      <c r="X44" s="34" t="n">
        <f aca="false">X40-X39</f>
        <v>506844.333625486</v>
      </c>
      <c r="Y44" s="34" t="n">
        <f aca="false">Y40-Y39</f>
        <v>365748.51221321</v>
      </c>
      <c r="Z44" s="34" t="n">
        <f aca="false">Z40-Z39</f>
        <v>467375.594502881</v>
      </c>
    </row>
    <row r="45" customFormat="false" ht="15" hidden="false" customHeight="false" outlineLevel="0" collapsed="false">
      <c r="A45" s="14" t="s">
        <v>435</v>
      </c>
      <c r="B45" s="34" t="n">
        <f aca="false">B42-B39</f>
        <v>198301.11068689</v>
      </c>
      <c r="C45" s="34" t="n">
        <f aca="false">C42-C39</f>
        <v>-147268.770214297</v>
      </c>
      <c r="D45" s="34" t="n">
        <f aca="false">D42-D39</f>
        <v>392055.295050301</v>
      </c>
      <c r="E45" s="34" t="n">
        <f aca="false">E42-E39</f>
        <v>248089.715598128</v>
      </c>
      <c r="F45" s="34" t="n">
        <f aca="false">F42-F39</f>
        <v>123618.203320034</v>
      </c>
      <c r="G45" s="34" t="n">
        <f aca="false">G42-G39</f>
        <v>243714.06068689</v>
      </c>
      <c r="H45" s="34" t="n">
        <f aca="false">H42-H39</f>
        <v>122612.86068689</v>
      </c>
      <c r="I45" s="34" t="n">
        <f aca="false">I42-I39</f>
        <v>338619.780947509</v>
      </c>
      <c r="J45" s="34" t="n">
        <f aca="false">J42-J39</f>
        <v>-35563.3397474755</v>
      </c>
      <c r="K45" s="34" t="n">
        <f aca="false">K42-K39</f>
        <v>198301.11068689</v>
      </c>
      <c r="L45" s="34" t="n">
        <f aca="false">L42-L39</f>
        <v>198301.11068689</v>
      </c>
      <c r="M45" s="34" t="n">
        <f aca="false">M42-M39</f>
        <v>198301.11068689</v>
      </c>
      <c r="N45" s="34" t="n">
        <f aca="false">N42-N39</f>
        <v>198301.11068689</v>
      </c>
      <c r="O45" s="34" t="n">
        <f aca="false">O42-O39</f>
        <v>198301.11068689</v>
      </c>
      <c r="P45" s="34" t="n">
        <f aca="false">P42-P39</f>
        <v>198301.11068689</v>
      </c>
      <c r="Q45" s="34" t="n">
        <f aca="false">Q42-Q39</f>
        <v>198301.11068689</v>
      </c>
      <c r="R45" s="34" t="n">
        <f aca="false">R42-R39</f>
        <v>198301.11068689</v>
      </c>
      <c r="S45" s="34" t="n">
        <f aca="false">S42-S39</f>
        <v>198301.11068689</v>
      </c>
      <c r="T45" s="34" t="n">
        <f aca="false">T42-T39</f>
        <v>198301.11068689</v>
      </c>
      <c r="U45" s="34" t="n">
        <f aca="false">U42-U39</f>
        <v>266716.493637754</v>
      </c>
      <c r="V45" s="34" t="n">
        <f aca="false">V42-V39</f>
        <v>112916.254923214</v>
      </c>
      <c r="W45" s="34" t="n">
        <f aca="false">W42-W39</f>
        <v>-124829.069297981</v>
      </c>
      <c r="X45" s="34" t="n">
        <f aca="false">X42-X39</f>
        <v>521431.29067176</v>
      </c>
      <c r="Y45" s="34" t="n">
        <f aca="false">Y42-Y39</f>
        <v>-260644.520874752</v>
      </c>
      <c r="Z45" s="34" t="n">
        <f aca="false">Z42-Z39</f>
        <v>561669.134027162</v>
      </c>
    </row>
    <row r="46" customFormat="false" ht="15" hidden="false" customHeight="false" outlineLevel="0" collapsed="false">
      <c r="A46" s="14" t="s">
        <v>436</v>
      </c>
      <c r="B46" s="34" t="n">
        <f aca="false">B43-B39</f>
        <v>496779.158222734</v>
      </c>
      <c r="C46" s="34" t="n">
        <f aca="false">C43-C39</f>
        <v>257694.520870602</v>
      </c>
      <c r="D46" s="34" t="n">
        <f aca="false">D43-D39</f>
        <v>615890.23157816</v>
      </c>
      <c r="E46" s="34" t="n">
        <f aca="false">E43-E39</f>
        <v>496010.805852172</v>
      </c>
      <c r="F46" s="34" t="n">
        <f aca="false">F43-F39</f>
        <v>497931.686778577</v>
      </c>
      <c r="G46" s="34" t="n">
        <f aca="false">G43-G39</f>
        <v>496779.158222734</v>
      </c>
      <c r="H46" s="34" t="n">
        <f aca="false">H43-H39</f>
        <v>496779.158222734</v>
      </c>
      <c r="I46" s="34" t="n">
        <f aca="false">I43-I39</f>
        <v>489763.224709703</v>
      </c>
      <c r="J46" s="34" t="n">
        <f aca="false">J43-J39</f>
        <v>508472.380744452</v>
      </c>
      <c r="K46" s="34" t="n">
        <f aca="false">K43-K39</f>
        <v>479120.07839614</v>
      </c>
      <c r="L46" s="34" t="n">
        <f aca="false">L43-L39</f>
        <v>518853.008005977</v>
      </c>
      <c r="M46" s="34" t="n">
        <f aca="false">M43-M39</f>
        <v>465178.699585671</v>
      </c>
      <c r="N46" s="34" t="n">
        <f aca="false">N43-N39</f>
        <v>528379.616859797</v>
      </c>
      <c r="O46" s="34" t="n">
        <f aca="false">O43-O39</f>
        <v>425660.727673298</v>
      </c>
      <c r="P46" s="34" t="n">
        <f aca="false">P43-P39</f>
        <v>567897.588772171</v>
      </c>
      <c r="Q46" s="34" t="n">
        <f aca="false">Q43-Q39</f>
        <v>259717.723057944</v>
      </c>
      <c r="R46" s="34" t="n">
        <f aca="false">R43-R39</f>
        <v>733840.593387524</v>
      </c>
      <c r="S46" s="34" t="n">
        <f aca="false">S43-S39</f>
        <v>378248.440640339</v>
      </c>
      <c r="T46" s="34" t="n">
        <f aca="false">T43-T39</f>
        <v>615309.87580513</v>
      </c>
      <c r="U46" s="34" t="n">
        <f aca="false">U43-U39</f>
        <v>543672.914436955</v>
      </c>
      <c r="V46" s="34" t="n">
        <f aca="false">V43-V39</f>
        <v>438254.065796608</v>
      </c>
      <c r="W46" s="34" t="n">
        <f aca="false">W43-W39</f>
        <v>397423.326578187</v>
      </c>
      <c r="X46" s="34" t="n">
        <f aca="false">X43-X39</f>
        <v>596134.989867281</v>
      </c>
      <c r="Y46" s="34" t="n">
        <f aca="false">Y43-Y39</f>
        <v>150265.849372719</v>
      </c>
      <c r="Z46" s="34" t="n">
        <f aca="false">Z43-Z39</f>
        <v>1067746.97472291</v>
      </c>
    </row>
    <row r="47" customFormat="false" ht="15" hidden="false" customHeight="false" outlineLevel="0" collapsed="false">
      <c r="A47" s="14" t="s">
        <v>437</v>
      </c>
      <c r="B47" s="34" t="n">
        <f aca="false">B37-B40-B38</f>
        <v>774020.664302732</v>
      </c>
      <c r="C47" s="34" t="n">
        <f aca="false">C37-C40-C38</f>
        <v>-53812.8984643895</v>
      </c>
      <c r="D47" s="34" t="n">
        <f aca="false">D37-D40-D38</f>
        <v>1217303.26152296</v>
      </c>
      <c r="E47" s="34" t="n">
        <f aca="false">E37-E40-E38</f>
        <v>844617.763437341</v>
      </c>
      <c r="F47" s="34" t="n">
        <f aca="false">F37-F40-F38</f>
        <v>668125.015600819</v>
      </c>
      <c r="G47" s="34" t="n">
        <f aca="false">G37-G40-G38</f>
        <v>840804.414302732</v>
      </c>
      <c r="H47" s="34" t="n">
        <f aca="false">H37-H40-H38</f>
        <v>662714.414302732</v>
      </c>
      <c r="I47" s="34" t="n">
        <f aca="false">I37-I40-I38</f>
        <v>956434.935641537</v>
      </c>
      <c r="J47" s="34" t="n">
        <f aca="false">J37-J40-J38</f>
        <v>469996.878738057</v>
      </c>
      <c r="K47" s="34" t="n">
        <f aca="false">K37-K40-K38</f>
        <v>685725.265169762</v>
      </c>
      <c r="L47" s="34" t="n">
        <f aca="false">L37-L40-L38</f>
        <v>884389.913218945</v>
      </c>
      <c r="M47" s="34" t="n">
        <f aca="false">M37-M40-M38</f>
        <v>616018.371117417</v>
      </c>
      <c r="N47" s="34" t="n">
        <f aca="false">N37-N40-N38</f>
        <v>932022.957488047</v>
      </c>
      <c r="O47" s="34" t="n">
        <f aca="false">O37-O40-O38</f>
        <v>418428.511555547</v>
      </c>
      <c r="P47" s="34" t="n">
        <f aca="false">P37-P40-P38</f>
        <v>1129612.81704992</v>
      </c>
      <c r="Q47" s="34" t="n">
        <f aca="false">Q37-Q40-Q38</f>
        <v>-411286.511521218</v>
      </c>
      <c r="R47" s="34" t="n">
        <f aca="false">R37-R40-R38</f>
        <v>1959327.84012668</v>
      </c>
      <c r="S47" s="34" t="n">
        <f aca="false">S37-S40-S38</f>
        <v>181367.076390757</v>
      </c>
      <c r="T47" s="34" t="n">
        <f aca="false">T37-T40-T38</f>
        <v>1366674.25221471</v>
      </c>
      <c r="U47" s="34" t="n">
        <f aca="false">U37-U40-U38</f>
        <v>920711.193227321</v>
      </c>
      <c r="V47" s="34" t="n">
        <f aca="false">V37-V40-V38</f>
        <v>590945.614308218</v>
      </c>
      <c r="W47" s="34" t="n">
        <f aca="false">W37-W40-W38</f>
        <v>858494.71990698</v>
      </c>
      <c r="X47" s="34" t="n">
        <f aca="false">X37-X40-X38</f>
        <v>689546.608698485</v>
      </c>
      <c r="Y47" s="34" t="n">
        <f aca="false">Y37-Y40-Y38</f>
        <v>-876706.760553846</v>
      </c>
      <c r="Z47" s="34" t="n">
        <f aca="false">Z37-Z40-Z38</f>
        <v>3562254.74663138</v>
      </c>
    </row>
    <row r="48" customFormat="false" ht="15" hidden="false" customHeight="false" outlineLevel="0" collapsed="false">
      <c r="A48" s="14" t="s">
        <v>438</v>
      </c>
      <c r="B48" s="34" t="n">
        <f aca="false">B37-B42-B38</f>
        <v>998089.831637081</v>
      </c>
      <c r="C48" s="34" t="n">
        <f aca="false">C37-C42-C38</f>
        <v>395297.005065935</v>
      </c>
      <c r="D48" s="34" t="n">
        <f aca="false">D37-D42-D38</f>
        <v>1301664.65742265</v>
      </c>
      <c r="E48" s="34" t="n">
        <f aca="false">E37-E42-E38</f>
        <v>1004164.22413708</v>
      </c>
      <c r="F48" s="34" t="n">
        <f aca="false">F37-F42-F38</f>
        <v>988978.242887081</v>
      </c>
      <c r="G48" s="34" t="n">
        <f aca="false">G37-G42-G38</f>
        <v>1006103.88163708</v>
      </c>
      <c r="H48" s="34" t="n">
        <f aca="false">H37-H42-H38</f>
        <v>984733.081637081</v>
      </c>
      <c r="I48" s="34" t="n">
        <f aca="false">I37-I42-I38</f>
        <v>998089.831637081</v>
      </c>
      <c r="J48" s="34" t="n">
        <f aca="false">J37-J42-J38</f>
        <v>998089.831637081</v>
      </c>
      <c r="K48" s="34" t="n">
        <f aca="false">K37-K42-K38</f>
        <v>909794.43250411</v>
      </c>
      <c r="L48" s="34" t="n">
        <f aca="false">L37-L42-L38</f>
        <v>1108459.08055329</v>
      </c>
      <c r="M48" s="34" t="n">
        <f aca="false">M37-M42-M38</f>
        <v>840087.538451765</v>
      </c>
      <c r="N48" s="34" t="n">
        <f aca="false">N37-N42-N38</f>
        <v>1156092.1248224</v>
      </c>
      <c r="O48" s="34" t="n">
        <f aca="false">O37-O42-O38</f>
        <v>642497.678889896</v>
      </c>
      <c r="P48" s="34" t="n">
        <f aca="false">P37-P42-P38</f>
        <v>1353681.98438427</v>
      </c>
      <c r="Q48" s="34" t="n">
        <f aca="false">Q37-Q42-Q38</f>
        <v>-187217.34418687</v>
      </c>
      <c r="R48" s="34" t="n">
        <f aca="false">R37-R42-R38</f>
        <v>2183397.00746103</v>
      </c>
      <c r="S48" s="34" t="n">
        <f aca="false">S37-S42-S38</f>
        <v>405436.243725105</v>
      </c>
      <c r="T48" s="34" t="n">
        <f aca="false">T37-T42-T38</f>
        <v>1590743.41954906</v>
      </c>
      <c r="U48" s="34" t="n">
        <f aca="false">U37-U42-U38</f>
        <v>1101785.58962303</v>
      </c>
      <c r="V48" s="34" t="n">
        <f aca="false">V37-V42-V38</f>
        <v>868673.800372675</v>
      </c>
      <c r="W48" s="34" t="n">
        <f aca="false">W37-W42-W38</f>
        <v>1321220.01162195</v>
      </c>
      <c r="X48" s="34" t="n">
        <f aca="false">X37-X42-X38</f>
        <v>674959.651652211</v>
      </c>
      <c r="Y48" s="34" t="n">
        <f aca="false">Y37-Y42-Y38</f>
        <v>-250313.727465884</v>
      </c>
      <c r="Z48" s="34" t="n">
        <f aca="false">Z37-Z42-Z38</f>
        <v>3467961.2071071</v>
      </c>
    </row>
    <row r="49" customFormat="false" ht="15" hidden="false" customHeight="false" outlineLevel="0" collapsed="false">
      <c r="A49" s="14" t="s">
        <v>439</v>
      </c>
      <c r="B49" s="34" t="n">
        <f aca="false">B37-B43-B38</f>
        <v>699611.784101237</v>
      </c>
      <c r="C49" s="34" t="n">
        <f aca="false">C37-C43-C38</f>
        <v>-9666.28601896356</v>
      </c>
      <c r="D49" s="34" t="n">
        <f aca="false">D37-D43-D38</f>
        <v>1077829.7208948</v>
      </c>
      <c r="E49" s="34" t="n">
        <f aca="false">E37-E43-E38</f>
        <v>756243.133883036</v>
      </c>
      <c r="F49" s="34" t="n">
        <f aca="false">F37-F43-F38</f>
        <v>614664.759428538</v>
      </c>
      <c r="G49" s="34" t="n">
        <f aca="false">G37-G43-G38</f>
        <v>753038.784101237</v>
      </c>
      <c r="H49" s="34" t="n">
        <f aca="false">H37-H43-H38</f>
        <v>610566.784101237</v>
      </c>
      <c r="I49" s="34" t="n">
        <f aca="false">I37-I43-I38</f>
        <v>846946.387874887</v>
      </c>
      <c r="J49" s="34" t="n">
        <f aca="false">J37-J43-J38</f>
        <v>454054.111145153</v>
      </c>
      <c r="K49" s="34" t="n">
        <f aca="false">K37-K43-K38</f>
        <v>628975.46479486</v>
      </c>
      <c r="L49" s="34" t="n">
        <f aca="false">L37-L43-L38</f>
        <v>787907.183234206</v>
      </c>
      <c r="M49" s="34" t="n">
        <f aca="false">M37-M43-M38</f>
        <v>573209.949552984</v>
      </c>
      <c r="N49" s="34" t="n">
        <f aca="false">N37-N43-N38</f>
        <v>826013.618649488</v>
      </c>
      <c r="O49" s="34" t="n">
        <f aca="false">O37-O43-O38</f>
        <v>415138.061903488</v>
      </c>
      <c r="P49" s="34" t="n">
        <f aca="false">P37-P43-P38</f>
        <v>984085.506298984</v>
      </c>
      <c r="Q49" s="34" t="n">
        <f aca="false">Q37-Q43-Q38</f>
        <v>-248633.956557924</v>
      </c>
      <c r="R49" s="34" t="n">
        <f aca="false">R37-R43-R38</f>
        <v>1647857.5247604</v>
      </c>
      <c r="S49" s="34" t="n">
        <f aca="false">S37-S43-S38</f>
        <v>225488.913771656</v>
      </c>
      <c r="T49" s="34" t="n">
        <f aca="false">T37-T43-T38</f>
        <v>1173734.65443082</v>
      </c>
      <c r="U49" s="34" t="n">
        <f aca="false">U37-U43-U38</f>
        <v>824829.168823831</v>
      </c>
      <c r="V49" s="34" t="n">
        <f aca="false">V37-V43-V38</f>
        <v>543335.989499281</v>
      </c>
      <c r="W49" s="34" t="n">
        <f aca="false">W37-W43-W38</f>
        <v>798967.615745784</v>
      </c>
      <c r="X49" s="34" t="n">
        <f aca="false">X37-X43-X38</f>
        <v>600255.95245669</v>
      </c>
      <c r="Y49" s="34" t="n">
        <f aca="false">Y37-Y43-Y38</f>
        <v>-661224.097713355</v>
      </c>
      <c r="Z49" s="34" t="n">
        <f aca="false">Z37-Z43-Z38</f>
        <v>2961883.36641135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3"/>
    <col collapsed="false" customWidth="true" hidden="false" outlineLevel="0" max="10" min="4" style="0" width="15"/>
  </cols>
  <sheetData>
    <row r="1" customFormat="false" ht="17.35" hidden="false" customHeight="false" outlineLevel="0" collapsed="false">
      <c r="A1" s="1" t="s">
        <v>440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22" t="s">
        <v>441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315</v>
      </c>
      <c r="B4" s="5" t="s">
        <v>35</v>
      </c>
      <c r="C4" s="5" t="s">
        <v>442</v>
      </c>
      <c r="D4" s="5" t="s">
        <v>443</v>
      </c>
      <c r="E4" s="5" t="s">
        <v>401</v>
      </c>
      <c r="F4" s="5" t="s">
        <v>402</v>
      </c>
      <c r="G4" s="2"/>
      <c r="H4" s="2"/>
      <c r="I4" s="2"/>
      <c r="J4" s="2"/>
    </row>
    <row r="5" customFormat="false" ht="15" hidden="false" customHeight="false" outlineLevel="0" collapsed="false">
      <c r="A5" s="6" t="s">
        <v>403</v>
      </c>
      <c r="B5" s="7" t="n">
        <f aca="false">Inputs!$B$7</f>
        <v>8</v>
      </c>
      <c r="C5" s="27" t="n">
        <v>4</v>
      </c>
      <c r="D5" s="27" t="n">
        <v>10</v>
      </c>
      <c r="E5" s="27" t="n">
        <v>5</v>
      </c>
      <c r="F5" s="27" t="n">
        <v>10</v>
      </c>
      <c r="G5" s="2"/>
      <c r="H5" s="2"/>
      <c r="I5" s="2"/>
      <c r="J5" s="2"/>
    </row>
    <row r="6" customFormat="false" ht="15" hidden="false" customHeight="false" outlineLevel="0" collapsed="false">
      <c r="A6" s="6" t="s">
        <v>404</v>
      </c>
      <c r="B6" s="48" t="n">
        <f aca="false">Inputs!$B$30</f>
        <v>1</v>
      </c>
      <c r="C6" s="31" t="n">
        <v>0.8</v>
      </c>
      <c r="D6" s="31" t="n">
        <v>1.3</v>
      </c>
      <c r="E6" s="31" t="n">
        <v>1.2</v>
      </c>
      <c r="F6" s="31" t="n">
        <v>0.9</v>
      </c>
      <c r="G6" s="2"/>
      <c r="H6" s="2"/>
      <c r="I6" s="2"/>
      <c r="J6" s="2"/>
    </row>
    <row r="7" customFormat="false" ht="15" hidden="false" customHeight="false" outlineLevel="0" collapsed="false">
      <c r="A7" s="6" t="s">
        <v>405</v>
      </c>
      <c r="B7" s="48" t="n">
        <f aca="false">Inputs!$B$50</f>
        <v>1</v>
      </c>
      <c r="C7" s="31" t="n">
        <v>0.85</v>
      </c>
      <c r="D7" s="31" t="n">
        <v>1.25</v>
      </c>
      <c r="E7" s="31" t="n">
        <v>1.15</v>
      </c>
      <c r="F7" s="31" t="n">
        <v>0.95</v>
      </c>
      <c r="G7" s="2"/>
      <c r="H7" s="2"/>
      <c r="I7" s="2"/>
      <c r="J7" s="2"/>
    </row>
    <row r="8" customFormat="false" ht="15" hidden="false" customHeight="false" outlineLevel="0" collapsed="false">
      <c r="A8" s="6" t="s">
        <v>406</v>
      </c>
      <c r="B8" s="48" t="n">
        <f aca="false">Inputs!$B$73</f>
        <v>1</v>
      </c>
      <c r="C8" s="31" t="n">
        <v>0.85</v>
      </c>
      <c r="D8" s="31" t="n">
        <v>1.25</v>
      </c>
      <c r="E8" s="31" t="n">
        <v>1.15</v>
      </c>
      <c r="F8" s="31" t="n">
        <v>0.95</v>
      </c>
      <c r="G8" s="2"/>
      <c r="H8" s="2"/>
      <c r="I8" s="2"/>
      <c r="J8" s="2"/>
    </row>
    <row r="9" customFormat="false" ht="15" hidden="false" customHeight="false" outlineLevel="0" collapsed="false">
      <c r="A9" s="6" t="s">
        <v>407</v>
      </c>
      <c r="B9" s="49" t="n">
        <f aca="false">Inputs!$B$79</f>
        <v>0.85</v>
      </c>
      <c r="C9" s="36" t="n">
        <v>0.65</v>
      </c>
      <c r="D9" s="36" t="n">
        <v>1.1</v>
      </c>
      <c r="E9" s="36" t="n">
        <v>0.75</v>
      </c>
      <c r="F9" s="36" t="n">
        <v>1</v>
      </c>
      <c r="G9" s="2"/>
      <c r="H9" s="2"/>
      <c r="I9" s="2"/>
      <c r="J9" s="2"/>
    </row>
    <row r="10" customFormat="false" ht="15" hidden="false" customHeight="false" outlineLevel="0" collapsed="false">
      <c r="A10" s="6" t="s">
        <v>408</v>
      </c>
      <c r="B10" s="50" t="n">
        <f aca="false">Inputs!$B$80</f>
        <v>0.12</v>
      </c>
      <c r="C10" s="20" t="n">
        <v>0.06</v>
      </c>
      <c r="D10" s="20" t="n">
        <v>0.18</v>
      </c>
      <c r="E10" s="20" t="n">
        <v>0.08</v>
      </c>
      <c r="F10" s="20" t="n">
        <v>0.15</v>
      </c>
      <c r="G10" s="2"/>
      <c r="H10" s="2"/>
      <c r="I10" s="2"/>
      <c r="J10" s="2"/>
    </row>
    <row r="11" customFormat="false" ht="15" hidden="false" customHeight="false" outlineLevel="0" collapsed="false">
      <c r="A11" s="6" t="s">
        <v>409</v>
      </c>
      <c r="B11" s="9" t="n">
        <f aca="false">Inputs!$B$86</f>
        <v>3500</v>
      </c>
      <c r="C11" s="28" t="n">
        <v>2800</v>
      </c>
      <c r="D11" s="28" t="n">
        <v>4200</v>
      </c>
      <c r="E11" s="28" t="n">
        <v>3000</v>
      </c>
      <c r="F11" s="28" t="n">
        <v>4000</v>
      </c>
      <c r="G11" s="2"/>
      <c r="H11" s="2"/>
      <c r="I11" s="2"/>
      <c r="J11" s="2"/>
    </row>
    <row r="12" customFormat="false" ht="15" hidden="false" customHeight="false" outlineLevel="0" collapsed="false">
      <c r="A12" s="6" t="s">
        <v>410</v>
      </c>
      <c r="B12" s="50" t="n">
        <f aca="false">Inputs!$B$83</f>
        <v>0.03</v>
      </c>
      <c r="C12" s="20" t="n">
        <v>0.01</v>
      </c>
      <c r="D12" s="20" t="n">
        <v>0.05</v>
      </c>
      <c r="E12" s="20" t="n">
        <v>0.015</v>
      </c>
      <c r="F12" s="20" t="n">
        <v>0.04</v>
      </c>
      <c r="G12" s="2"/>
      <c r="H12" s="2"/>
      <c r="I12" s="2"/>
      <c r="J12" s="2"/>
    </row>
    <row r="13" customFormat="false" ht="15" hidden="false" customHeight="false" outlineLevel="0" collapsed="false">
      <c r="A13" s="6" t="s">
        <v>411</v>
      </c>
      <c r="B13" s="51" t="n">
        <f aca="false">Inputs!$B$84</f>
        <v>1.2</v>
      </c>
      <c r="C13" s="35" t="n">
        <v>0.8</v>
      </c>
      <c r="D13" s="35" t="n">
        <v>1.6</v>
      </c>
      <c r="E13" s="35" t="n">
        <v>1</v>
      </c>
      <c r="F13" s="35" t="n">
        <v>1.4</v>
      </c>
      <c r="G13" s="2"/>
      <c r="H13" s="2"/>
      <c r="I13" s="2"/>
      <c r="J13" s="2"/>
    </row>
    <row r="14" customFormat="false" ht="15" hidden="false" customHeight="false" outlineLevel="0" collapsed="false">
      <c r="A14" s="6" t="s">
        <v>248</v>
      </c>
      <c r="B14" s="50" t="n">
        <f aca="false">Inputs!$B$96</f>
        <v>0.18</v>
      </c>
      <c r="C14" s="20" t="n">
        <v>0.14</v>
      </c>
      <c r="D14" s="20" t="n">
        <v>0.24</v>
      </c>
      <c r="E14" s="20" t="n">
        <v>0.22</v>
      </c>
      <c r="F14" s="20" t="n">
        <v>0.15</v>
      </c>
      <c r="G14" s="2"/>
      <c r="H14" s="2"/>
      <c r="I14" s="2"/>
      <c r="J14" s="2"/>
    </row>
    <row r="15" customFormat="false" ht="15" hidden="false" customHeight="false" outlineLevel="0" collapsed="false">
      <c r="A15" s="6" t="s">
        <v>412</v>
      </c>
      <c r="B15" s="48" t="n">
        <f aca="false">Inputs!$B$103</f>
        <v>1</v>
      </c>
      <c r="C15" s="31" t="n">
        <v>0.8</v>
      </c>
      <c r="D15" s="31" t="n">
        <v>1.2</v>
      </c>
      <c r="E15" s="31" t="n">
        <v>1</v>
      </c>
      <c r="F15" s="31" t="n">
        <v>1</v>
      </c>
      <c r="G15" s="2"/>
      <c r="H15" s="2"/>
      <c r="I15" s="2"/>
      <c r="J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14" t="s">
        <v>444</v>
      </c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4" t="s">
        <v>445</v>
      </c>
      <c r="B18" s="5" t="s">
        <v>446</v>
      </c>
      <c r="C18" s="5" t="s">
        <v>447</v>
      </c>
      <c r="D18" s="5" t="s">
        <v>448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6" t="s">
        <v>21</v>
      </c>
      <c r="B19" s="19" t="n">
        <f aca="false">'Scenario Engine'!$B$44</f>
        <v>422370.278021239</v>
      </c>
      <c r="C19" s="19" t="n">
        <f aca="false">'Scenario Engine'!$B$45</f>
        <v>198301.11068689</v>
      </c>
      <c r="D19" s="19" t="n">
        <f aca="false">'Scenario Engine'!$B$46</f>
        <v>496779.158222734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6" t="s">
        <v>449</v>
      </c>
      <c r="B20" s="19" t="n">
        <f aca="false">'Scenario Engine'!$B$47</f>
        <v>774020.664302732</v>
      </c>
      <c r="C20" s="19" t="n">
        <f aca="false">'Scenario Engine'!$B$48</f>
        <v>998089.831637081</v>
      </c>
      <c r="D20" s="19" t="n">
        <f aca="false">'Scenario Engine'!$B$49</f>
        <v>699611.784101237</v>
      </c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3" t="s">
        <v>450</v>
      </c>
      <c r="B21" s="52" t="n">
        <f aca="false">ROUND(B19-'Revenue Models'!$I$22,0)+ROUND(B20-'Revenue Models'!$I$24,0)</f>
        <v>0</v>
      </c>
      <c r="C21" s="52" t="n">
        <f aca="false">ROUND(C19-'Revenue Models'!$I$37,0)+ROUND(C20-'Revenue Models'!$I$39,0)</f>
        <v>0</v>
      </c>
      <c r="D21" s="52" t="n">
        <f aca="false">ROUND(D19-'Revenue Models'!$I$53,0)+ROUND(D20-'Revenue Models'!$I$55,0)</f>
        <v>0</v>
      </c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14" t="s">
        <v>451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4" t="s">
        <v>315</v>
      </c>
      <c r="B24" s="5" t="s">
        <v>452</v>
      </c>
      <c r="C24" s="5" t="s">
        <v>453</v>
      </c>
      <c r="D24" s="5" t="s">
        <v>454</v>
      </c>
      <c r="E24" s="5" t="s">
        <v>455</v>
      </c>
      <c r="F24" s="5" t="s">
        <v>456</v>
      </c>
      <c r="G24" s="5" t="s">
        <v>457</v>
      </c>
      <c r="H24" s="5" t="s">
        <v>458</v>
      </c>
      <c r="I24" s="5" t="s">
        <v>459</v>
      </c>
      <c r="J24" s="5" t="s">
        <v>460</v>
      </c>
    </row>
    <row r="25" customFormat="false" ht="15" hidden="false" customHeight="false" outlineLevel="0" collapsed="false">
      <c r="A25" s="6" t="s">
        <v>403</v>
      </c>
      <c r="B25" s="19" t="n">
        <f aca="false">'Scenario Engine'!$C$44</f>
        <v>301841.133316028</v>
      </c>
      <c r="C25" s="19" t="n">
        <f aca="false">'Scenario Engine'!$D$44</f>
        <v>476416.690949999</v>
      </c>
      <c r="D25" s="34" t="n">
        <f aca="false">ABS(C25-B25)</f>
        <v>174575.557633971</v>
      </c>
      <c r="E25" s="19" t="n">
        <f aca="false">'Scenario Engine'!$C$45</f>
        <v>-147268.770214297</v>
      </c>
      <c r="F25" s="19" t="n">
        <f aca="false">'Scenario Engine'!$D$45</f>
        <v>392055.295050301</v>
      </c>
      <c r="G25" s="34" t="n">
        <f aca="false">ABS(F25-E25)</f>
        <v>539324.065264598</v>
      </c>
      <c r="H25" s="19" t="n">
        <f aca="false">'Scenario Engine'!$C$46</f>
        <v>257694.520870602</v>
      </c>
      <c r="I25" s="19" t="n">
        <f aca="false">'Scenario Engine'!$D$46</f>
        <v>615890.23157816</v>
      </c>
      <c r="J25" s="34" t="n">
        <f aca="false">ABS(I25-H25)</f>
        <v>358195.710707558</v>
      </c>
    </row>
    <row r="26" customFormat="false" ht="15" hidden="false" customHeight="false" outlineLevel="0" collapsed="false">
      <c r="A26" s="6" t="s">
        <v>404</v>
      </c>
      <c r="B26" s="19" t="n">
        <f aca="false">'Scenario Engine'!$E$44</f>
        <v>407636.176297867</v>
      </c>
      <c r="C26" s="19" t="n">
        <f aca="false">'Scenario Engine'!$F$44</f>
        <v>444471.430606295</v>
      </c>
      <c r="D26" s="34" t="n">
        <f aca="false">ABS(C26-B26)</f>
        <v>36835.2543084282</v>
      </c>
      <c r="E26" s="19" t="n">
        <f aca="false">'Scenario Engine'!$E$45</f>
        <v>248089.715598128</v>
      </c>
      <c r="F26" s="19" t="n">
        <f aca="false">'Scenario Engine'!$F$45</f>
        <v>123618.203320034</v>
      </c>
      <c r="G26" s="34" t="n">
        <f aca="false">ABS(F26-E26)</f>
        <v>124471.512278094</v>
      </c>
      <c r="H26" s="19" t="n">
        <f aca="false">'Scenario Engine'!$E$46</f>
        <v>496010.805852172</v>
      </c>
      <c r="I26" s="19" t="n">
        <f aca="false">'Scenario Engine'!$F$46</f>
        <v>497931.686778577</v>
      </c>
      <c r="J26" s="34" t="n">
        <f aca="false">ABS(I26-H26)</f>
        <v>1920.88092640438</v>
      </c>
    </row>
    <row r="27" customFormat="false" ht="15" hidden="false" customHeight="false" outlineLevel="0" collapsed="false">
      <c r="A27" s="6" t="s">
        <v>405</v>
      </c>
      <c r="B27" s="19" t="n">
        <f aca="false">'Scenario Engine'!$G$44</f>
        <v>409013.528021239</v>
      </c>
      <c r="C27" s="19" t="n">
        <f aca="false">'Scenario Engine'!$H$44</f>
        <v>444631.528021239</v>
      </c>
      <c r="D27" s="34" t="n">
        <f aca="false">ABS(C27-B27)</f>
        <v>35618</v>
      </c>
      <c r="E27" s="19" t="n">
        <f aca="false">'Scenario Engine'!$G$45</f>
        <v>243714.06068689</v>
      </c>
      <c r="F27" s="19" t="n">
        <f aca="false">'Scenario Engine'!$H$45</f>
        <v>122612.86068689</v>
      </c>
      <c r="G27" s="34" t="n">
        <f aca="false">ABS(F27-E27)</f>
        <v>121101.2</v>
      </c>
      <c r="H27" s="19" t="n">
        <f aca="false">'Scenario Engine'!$G$46</f>
        <v>496779.158222734</v>
      </c>
      <c r="I27" s="19" t="n">
        <f aca="false">'Scenario Engine'!$H$46</f>
        <v>496779.158222734</v>
      </c>
      <c r="J27" s="34" t="n">
        <f aca="false">ABS(I27-H27)</f>
        <v>0</v>
      </c>
    </row>
    <row r="28" customFormat="false" ht="15" hidden="false" customHeight="false" outlineLevel="0" collapsed="false">
      <c r="A28" s="6" t="s">
        <v>406</v>
      </c>
      <c r="B28" s="19" t="n">
        <f aca="false">'Scenario Engine'!$I$44</f>
        <v>380274.676943053</v>
      </c>
      <c r="C28" s="19" t="n">
        <f aca="false">'Scenario Engine'!$J$44</f>
        <v>492529.613151548</v>
      </c>
      <c r="D28" s="34" t="n">
        <f aca="false">ABS(C28-B28)</f>
        <v>112254.936208495</v>
      </c>
      <c r="E28" s="19" t="n">
        <f aca="false">'Scenario Engine'!$I$45</f>
        <v>338619.780947509</v>
      </c>
      <c r="F28" s="19" t="n">
        <f aca="false">'Scenario Engine'!$J$45</f>
        <v>-35563.3397474755</v>
      </c>
      <c r="G28" s="34" t="n">
        <f aca="false">ABS(F28-E28)</f>
        <v>374183.120694985</v>
      </c>
      <c r="H28" s="19" t="n">
        <f aca="false">'Scenario Engine'!$I$46</f>
        <v>489763.224709703</v>
      </c>
      <c r="I28" s="19" t="n">
        <f aca="false">'Scenario Engine'!$J$46</f>
        <v>508472.380744452</v>
      </c>
      <c r="J28" s="34" t="n">
        <f aca="false">ABS(I28-H28)</f>
        <v>18709.156034749</v>
      </c>
    </row>
    <row r="29" customFormat="false" ht="15" hidden="false" customHeight="false" outlineLevel="0" collapsed="false">
      <c r="A29" s="6" t="s">
        <v>407</v>
      </c>
      <c r="B29" s="19" t="n">
        <f aca="false">'Scenario Engine'!$K$44</f>
        <v>422370.278021239</v>
      </c>
      <c r="C29" s="19" t="n">
        <f aca="false">'Scenario Engine'!$L$44</f>
        <v>422370.278021239</v>
      </c>
      <c r="D29" s="34" t="n">
        <f aca="false">ABS(C29-B29)</f>
        <v>0</v>
      </c>
      <c r="E29" s="19" t="n">
        <f aca="false">'Scenario Engine'!$K$45</f>
        <v>198301.11068689</v>
      </c>
      <c r="F29" s="19" t="n">
        <f aca="false">'Scenario Engine'!$L$45</f>
        <v>198301.11068689</v>
      </c>
      <c r="G29" s="34" t="n">
        <f aca="false">ABS(F29-E29)</f>
        <v>0</v>
      </c>
      <c r="H29" s="19" t="n">
        <f aca="false">'Scenario Engine'!$K$46</f>
        <v>479120.07839614</v>
      </c>
      <c r="I29" s="19" t="n">
        <f aca="false">'Scenario Engine'!$L$46</f>
        <v>518853.008005977</v>
      </c>
      <c r="J29" s="34" t="n">
        <f aca="false">ABS(I29-H29)</f>
        <v>39732.9296098365</v>
      </c>
    </row>
    <row r="30" customFormat="false" ht="15" hidden="false" customHeight="false" outlineLevel="0" collapsed="false">
      <c r="A30" s="6" t="s">
        <v>408</v>
      </c>
      <c r="B30" s="19" t="n">
        <f aca="false">'Scenario Engine'!$M$44</f>
        <v>422370.278021239</v>
      </c>
      <c r="C30" s="19" t="n">
        <f aca="false">'Scenario Engine'!$N$44</f>
        <v>422370.278021239</v>
      </c>
      <c r="D30" s="34" t="n">
        <f aca="false">ABS(C30-B30)</f>
        <v>0</v>
      </c>
      <c r="E30" s="19" t="n">
        <f aca="false">'Scenario Engine'!$M$45</f>
        <v>198301.11068689</v>
      </c>
      <c r="F30" s="19" t="n">
        <f aca="false">'Scenario Engine'!$N$45</f>
        <v>198301.11068689</v>
      </c>
      <c r="G30" s="34" t="n">
        <f aca="false">ABS(F30-E30)</f>
        <v>0</v>
      </c>
      <c r="H30" s="19" t="n">
        <f aca="false">'Scenario Engine'!$M$46</f>
        <v>465178.699585671</v>
      </c>
      <c r="I30" s="19" t="n">
        <f aca="false">'Scenario Engine'!$N$46</f>
        <v>528379.616859797</v>
      </c>
      <c r="J30" s="34" t="n">
        <f aca="false">ABS(I30-H30)</f>
        <v>63200.9172741261</v>
      </c>
    </row>
    <row r="31" customFormat="false" ht="15" hidden="false" customHeight="false" outlineLevel="0" collapsed="false">
      <c r="A31" s="6" t="s">
        <v>409</v>
      </c>
      <c r="B31" s="19" t="n">
        <f aca="false">'Scenario Engine'!$O$44</f>
        <v>422370.278021239</v>
      </c>
      <c r="C31" s="19" t="n">
        <f aca="false">'Scenario Engine'!$P$44</f>
        <v>422370.278021239</v>
      </c>
      <c r="D31" s="34" t="n">
        <f aca="false">ABS(C31-B31)</f>
        <v>0</v>
      </c>
      <c r="E31" s="19" t="n">
        <f aca="false">'Scenario Engine'!$O$45</f>
        <v>198301.11068689</v>
      </c>
      <c r="F31" s="19" t="n">
        <f aca="false">'Scenario Engine'!$P$45</f>
        <v>198301.11068689</v>
      </c>
      <c r="G31" s="34" t="n">
        <f aca="false">ABS(F31-E31)</f>
        <v>0</v>
      </c>
      <c r="H31" s="19" t="n">
        <f aca="false">'Scenario Engine'!$O$46</f>
        <v>425660.727673298</v>
      </c>
      <c r="I31" s="19" t="n">
        <f aca="false">'Scenario Engine'!$P$46</f>
        <v>567897.588772171</v>
      </c>
      <c r="J31" s="34" t="n">
        <f aca="false">ABS(I31-H31)</f>
        <v>142236.861098874</v>
      </c>
    </row>
    <row r="32" customFormat="false" ht="15" hidden="false" customHeight="false" outlineLevel="0" collapsed="false">
      <c r="A32" s="6" t="s">
        <v>410</v>
      </c>
      <c r="B32" s="19" t="n">
        <f aca="false">'Scenario Engine'!$Q$44</f>
        <v>422370.278021239</v>
      </c>
      <c r="C32" s="19" t="n">
        <f aca="false">'Scenario Engine'!$R$44</f>
        <v>422370.278021239</v>
      </c>
      <c r="D32" s="34" t="n">
        <f aca="false">ABS(C32-B32)</f>
        <v>0</v>
      </c>
      <c r="E32" s="19" t="n">
        <f aca="false">'Scenario Engine'!$Q$45</f>
        <v>198301.11068689</v>
      </c>
      <c r="F32" s="19" t="n">
        <f aca="false">'Scenario Engine'!$R$45</f>
        <v>198301.11068689</v>
      </c>
      <c r="G32" s="34" t="n">
        <f aca="false">ABS(F32-E32)</f>
        <v>0</v>
      </c>
      <c r="H32" s="19" t="n">
        <f aca="false">'Scenario Engine'!$Q$46</f>
        <v>259717.723057944</v>
      </c>
      <c r="I32" s="19" t="n">
        <f aca="false">'Scenario Engine'!$R$46</f>
        <v>733840.593387524</v>
      </c>
      <c r="J32" s="34" t="n">
        <f aca="false">ABS(I32-H32)</f>
        <v>474122.87032958</v>
      </c>
    </row>
    <row r="33" customFormat="false" ht="15" hidden="false" customHeight="false" outlineLevel="0" collapsed="false">
      <c r="A33" s="6" t="s">
        <v>411</v>
      </c>
      <c r="B33" s="19" t="n">
        <f aca="false">'Scenario Engine'!$S$44</f>
        <v>422370.278021239</v>
      </c>
      <c r="C33" s="19" t="n">
        <f aca="false">'Scenario Engine'!$T$44</f>
        <v>422370.278021239</v>
      </c>
      <c r="D33" s="34" t="n">
        <f aca="false">ABS(C33-B33)</f>
        <v>0</v>
      </c>
      <c r="E33" s="19" t="n">
        <f aca="false">'Scenario Engine'!$S$45</f>
        <v>198301.11068689</v>
      </c>
      <c r="F33" s="19" t="n">
        <f aca="false">'Scenario Engine'!$T$45</f>
        <v>198301.11068689</v>
      </c>
      <c r="G33" s="34" t="n">
        <f aca="false">ABS(F33-E33)</f>
        <v>0</v>
      </c>
      <c r="H33" s="19" t="n">
        <f aca="false">'Scenario Engine'!$S$46</f>
        <v>378248.440640339</v>
      </c>
      <c r="I33" s="19" t="n">
        <f aca="false">'Scenario Engine'!$T$46</f>
        <v>615309.87580513</v>
      </c>
      <c r="J33" s="34" t="n">
        <f aca="false">ABS(I33-H33)</f>
        <v>237061.43516479</v>
      </c>
    </row>
    <row r="34" customFormat="false" ht="15" hidden="false" customHeight="false" outlineLevel="0" collapsed="false">
      <c r="A34" s="6" t="s">
        <v>248</v>
      </c>
      <c r="B34" s="19" t="n">
        <f aca="false">'Scenario Engine'!$U$44</f>
        <v>447790.890033464</v>
      </c>
      <c r="C34" s="19" t="n">
        <f aca="false">'Scenario Engine'!$V$44</f>
        <v>390644.440987671</v>
      </c>
      <c r="D34" s="34" t="n">
        <f aca="false">ABS(C34-B34)</f>
        <v>57146.4490457929</v>
      </c>
      <c r="E34" s="19" t="n">
        <f aca="false">'Scenario Engine'!$U$45</f>
        <v>266716.493637754</v>
      </c>
      <c r="F34" s="19" t="n">
        <f aca="false">'Scenario Engine'!$V$45</f>
        <v>112916.254923214</v>
      </c>
      <c r="G34" s="34" t="n">
        <f aca="false">ABS(F34-E34)</f>
        <v>153800.23871454</v>
      </c>
      <c r="H34" s="19" t="n">
        <f aca="false">'Scenario Engine'!$U$46</f>
        <v>543672.914436955</v>
      </c>
      <c r="I34" s="19" t="n">
        <f aca="false">'Scenario Engine'!$V$46</f>
        <v>438254.065796608</v>
      </c>
      <c r="J34" s="34" t="n">
        <f aca="false">ABS(I34-H34)</f>
        <v>105418.848640347</v>
      </c>
    </row>
    <row r="35" customFormat="false" ht="15" hidden="false" customHeight="false" outlineLevel="0" collapsed="false">
      <c r="A35" s="6" t="s">
        <v>412</v>
      </c>
      <c r="B35" s="19" t="n">
        <f aca="false">'Scenario Engine'!$W$44</f>
        <v>337896.222416991</v>
      </c>
      <c r="C35" s="19" t="n">
        <f aca="false">'Scenario Engine'!$X$44</f>
        <v>506844.333625486</v>
      </c>
      <c r="D35" s="34" t="n">
        <f aca="false">ABS(C35-B35)</f>
        <v>168948.111208495</v>
      </c>
      <c r="E35" s="19" t="n">
        <f aca="false">'Scenario Engine'!$W$45</f>
        <v>-124829.069297981</v>
      </c>
      <c r="F35" s="19" t="n">
        <f aca="false">'Scenario Engine'!$X$45</f>
        <v>521431.29067176</v>
      </c>
      <c r="G35" s="34" t="n">
        <f aca="false">ABS(F35-E35)</f>
        <v>646260.359969741</v>
      </c>
      <c r="H35" s="19" t="n">
        <f aca="false">'Scenario Engine'!$W$46</f>
        <v>397423.326578187</v>
      </c>
      <c r="I35" s="19" t="n">
        <f aca="false">'Scenario Engine'!$X$46</f>
        <v>596134.989867281</v>
      </c>
      <c r="J35" s="34" t="n">
        <f aca="false">ABS(I35-H35)</f>
        <v>198711.663289094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14" t="s">
        <v>461</v>
      </c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4" t="s">
        <v>315</v>
      </c>
      <c r="B38" s="5" t="s">
        <v>452</v>
      </c>
      <c r="C38" s="5" t="s">
        <v>453</v>
      </c>
      <c r="D38" s="5" t="s">
        <v>454</v>
      </c>
      <c r="E38" s="5" t="s">
        <v>455</v>
      </c>
      <c r="F38" s="5" t="s">
        <v>456</v>
      </c>
      <c r="G38" s="5" t="s">
        <v>457</v>
      </c>
      <c r="H38" s="5" t="s">
        <v>458</v>
      </c>
      <c r="I38" s="5" t="s">
        <v>459</v>
      </c>
      <c r="J38" s="5" t="s">
        <v>460</v>
      </c>
    </row>
    <row r="39" customFormat="false" ht="15" hidden="false" customHeight="false" outlineLevel="0" collapsed="false">
      <c r="A39" s="6" t="s">
        <v>403</v>
      </c>
      <c r="B39" s="19" t="n">
        <f aca="false">'Scenario Engine'!$C$47</f>
        <v>-53812.8984643895</v>
      </c>
      <c r="C39" s="19" t="n">
        <f aca="false">'Scenario Engine'!$D$47</f>
        <v>1217303.26152296</v>
      </c>
      <c r="D39" s="34" t="n">
        <f aca="false">ABS(C39-B39)</f>
        <v>1271116.15998735</v>
      </c>
      <c r="E39" s="19" t="n">
        <f aca="false">'Scenario Engine'!$C$48</f>
        <v>395297.005065935</v>
      </c>
      <c r="F39" s="19" t="n">
        <f aca="false">'Scenario Engine'!$D$48</f>
        <v>1301664.65742265</v>
      </c>
      <c r="G39" s="34" t="n">
        <f aca="false">ABS(F39-E39)</f>
        <v>906367.652356719</v>
      </c>
      <c r="H39" s="19" t="n">
        <f aca="false">'Scenario Engine'!$C$49</f>
        <v>-9666.28601896356</v>
      </c>
      <c r="I39" s="19" t="n">
        <f aca="false">'Scenario Engine'!$D$49</f>
        <v>1077829.7208948</v>
      </c>
      <c r="J39" s="34" t="n">
        <f aca="false">ABS(I39-H39)</f>
        <v>1087496.00691376</v>
      </c>
    </row>
    <row r="40" customFormat="false" ht="15" hidden="false" customHeight="false" outlineLevel="0" collapsed="false">
      <c r="A40" s="6" t="s">
        <v>404</v>
      </c>
      <c r="B40" s="19" t="n">
        <f aca="false">'Scenario Engine'!$E$47</f>
        <v>844617.763437341</v>
      </c>
      <c r="C40" s="19" t="n">
        <f aca="false">'Scenario Engine'!$F$47</f>
        <v>668125.015600819</v>
      </c>
      <c r="D40" s="34" t="n">
        <f aca="false">ABS(C40-B40)</f>
        <v>176492.747836522</v>
      </c>
      <c r="E40" s="19" t="n">
        <f aca="false">'Scenario Engine'!$E$48</f>
        <v>1004164.22413708</v>
      </c>
      <c r="F40" s="19" t="n">
        <f aca="false">'Scenario Engine'!$F$48</f>
        <v>988978.242887081</v>
      </c>
      <c r="G40" s="34" t="n">
        <f aca="false">ABS(F40-E40)</f>
        <v>15185.98125</v>
      </c>
      <c r="H40" s="19" t="n">
        <f aca="false">'Scenario Engine'!$E$49</f>
        <v>756243.133883036</v>
      </c>
      <c r="I40" s="19" t="n">
        <f aca="false">'Scenario Engine'!$F$49</f>
        <v>614664.759428538</v>
      </c>
      <c r="J40" s="34" t="n">
        <f aca="false">ABS(I40-H40)</f>
        <v>141578.374454498</v>
      </c>
    </row>
    <row r="41" customFormat="false" ht="15" hidden="false" customHeight="false" outlineLevel="0" collapsed="false">
      <c r="A41" s="6" t="s">
        <v>405</v>
      </c>
      <c r="B41" s="19" t="n">
        <f aca="false">'Scenario Engine'!$G$47</f>
        <v>840804.414302732</v>
      </c>
      <c r="C41" s="19" t="n">
        <f aca="false">'Scenario Engine'!$H$47</f>
        <v>662714.414302732</v>
      </c>
      <c r="D41" s="34" t="n">
        <f aca="false">ABS(C41-B41)</f>
        <v>178090</v>
      </c>
      <c r="E41" s="19" t="n">
        <f aca="false">'Scenario Engine'!$G$48</f>
        <v>1006103.88163708</v>
      </c>
      <c r="F41" s="19" t="n">
        <f aca="false">'Scenario Engine'!$H$48</f>
        <v>984733.081637081</v>
      </c>
      <c r="G41" s="34" t="n">
        <f aca="false">ABS(F41-E41)</f>
        <v>21370.8</v>
      </c>
      <c r="H41" s="19" t="n">
        <f aca="false">'Scenario Engine'!$G$49</f>
        <v>753038.784101237</v>
      </c>
      <c r="I41" s="19" t="n">
        <f aca="false">'Scenario Engine'!$H$49</f>
        <v>610566.784101237</v>
      </c>
      <c r="J41" s="34" t="n">
        <f aca="false">ABS(I41-H41)</f>
        <v>142472</v>
      </c>
    </row>
    <row r="42" customFormat="false" ht="15" hidden="false" customHeight="false" outlineLevel="0" collapsed="false">
      <c r="A42" s="6" t="s">
        <v>406</v>
      </c>
      <c r="B42" s="19" t="n">
        <f aca="false">'Scenario Engine'!$I$47</f>
        <v>956434.935641537</v>
      </c>
      <c r="C42" s="19" t="n">
        <f aca="false">'Scenario Engine'!$J$47</f>
        <v>469996.878738057</v>
      </c>
      <c r="D42" s="34" t="n">
        <f aca="false">ABS(C42-B42)</f>
        <v>486438.05690348</v>
      </c>
      <c r="E42" s="19" t="n">
        <f aca="false">'Scenario Engine'!$I$48</f>
        <v>998089.831637081</v>
      </c>
      <c r="F42" s="19" t="n">
        <f aca="false">'Scenario Engine'!$J$48</f>
        <v>998089.831637081</v>
      </c>
      <c r="G42" s="34" t="n">
        <f aca="false">ABS(F42-E42)</f>
        <v>0</v>
      </c>
      <c r="H42" s="19" t="n">
        <f aca="false">'Scenario Engine'!$I$49</f>
        <v>846946.387874887</v>
      </c>
      <c r="I42" s="19" t="n">
        <f aca="false">'Scenario Engine'!$J$49</f>
        <v>454054.111145153</v>
      </c>
      <c r="J42" s="34" t="n">
        <f aca="false">ABS(I42-H42)</f>
        <v>392892.276729734</v>
      </c>
    </row>
    <row r="43" customFormat="false" ht="15" hidden="false" customHeight="false" outlineLevel="0" collapsed="false">
      <c r="A43" s="6" t="s">
        <v>407</v>
      </c>
      <c r="B43" s="19" t="n">
        <f aca="false">'Scenario Engine'!$K$47</f>
        <v>685725.265169762</v>
      </c>
      <c r="C43" s="19" t="n">
        <f aca="false">'Scenario Engine'!$L$47</f>
        <v>884389.913218945</v>
      </c>
      <c r="D43" s="34" t="n">
        <f aca="false">ABS(C43-B43)</f>
        <v>198664.648049183</v>
      </c>
      <c r="E43" s="19" t="n">
        <f aca="false">'Scenario Engine'!$K$48</f>
        <v>909794.43250411</v>
      </c>
      <c r="F43" s="19" t="n">
        <f aca="false">'Scenario Engine'!$L$48</f>
        <v>1108459.08055329</v>
      </c>
      <c r="G43" s="34" t="n">
        <f aca="false">ABS(F43-E43)</f>
        <v>198664.648049183</v>
      </c>
      <c r="H43" s="19" t="n">
        <f aca="false">'Scenario Engine'!$K$49</f>
        <v>628975.46479486</v>
      </c>
      <c r="I43" s="19" t="n">
        <f aca="false">'Scenario Engine'!$L$49</f>
        <v>787907.183234206</v>
      </c>
      <c r="J43" s="34" t="n">
        <f aca="false">ABS(I43-H43)</f>
        <v>158931.718439347</v>
      </c>
    </row>
    <row r="44" customFormat="false" ht="15" hidden="false" customHeight="false" outlineLevel="0" collapsed="false">
      <c r="A44" s="6" t="s">
        <v>408</v>
      </c>
      <c r="B44" s="19" t="n">
        <f aca="false">'Scenario Engine'!$M$47</f>
        <v>616018.371117417</v>
      </c>
      <c r="C44" s="19" t="n">
        <f aca="false">'Scenario Engine'!$N$47</f>
        <v>932022.957488047</v>
      </c>
      <c r="D44" s="34" t="n">
        <f aca="false">ABS(C44-B44)</f>
        <v>316004.586370631</v>
      </c>
      <c r="E44" s="19" t="n">
        <f aca="false">'Scenario Engine'!$M$48</f>
        <v>840087.538451765</v>
      </c>
      <c r="F44" s="19" t="n">
        <f aca="false">'Scenario Engine'!$N$48</f>
        <v>1156092.1248224</v>
      </c>
      <c r="G44" s="34" t="n">
        <f aca="false">ABS(F44-E44)</f>
        <v>316004.586370631</v>
      </c>
      <c r="H44" s="19" t="n">
        <f aca="false">'Scenario Engine'!$M$49</f>
        <v>573209.949552984</v>
      </c>
      <c r="I44" s="19" t="n">
        <f aca="false">'Scenario Engine'!$N$49</f>
        <v>826013.618649488</v>
      </c>
      <c r="J44" s="34" t="n">
        <f aca="false">ABS(I44-H44)</f>
        <v>252803.669096505</v>
      </c>
    </row>
    <row r="45" customFormat="false" ht="15" hidden="false" customHeight="false" outlineLevel="0" collapsed="false">
      <c r="A45" s="6" t="s">
        <v>409</v>
      </c>
      <c r="B45" s="19" t="n">
        <f aca="false">'Scenario Engine'!$O$47</f>
        <v>418428.511555547</v>
      </c>
      <c r="C45" s="19" t="n">
        <f aca="false">'Scenario Engine'!$P$47</f>
        <v>1129612.81704992</v>
      </c>
      <c r="D45" s="34" t="n">
        <f aca="false">ABS(C45-B45)</f>
        <v>711184.30549437</v>
      </c>
      <c r="E45" s="19" t="n">
        <f aca="false">'Scenario Engine'!$O$48</f>
        <v>642497.678889896</v>
      </c>
      <c r="F45" s="19" t="n">
        <f aca="false">'Scenario Engine'!$P$48</f>
        <v>1353681.98438427</v>
      </c>
      <c r="G45" s="34" t="n">
        <f aca="false">ABS(F45-E45)</f>
        <v>711184.30549437</v>
      </c>
      <c r="H45" s="19" t="n">
        <f aca="false">'Scenario Engine'!$O$49</f>
        <v>415138.061903488</v>
      </c>
      <c r="I45" s="19" t="n">
        <f aca="false">'Scenario Engine'!$P$49</f>
        <v>984085.506298984</v>
      </c>
      <c r="J45" s="34" t="n">
        <f aca="false">ABS(I45-H45)</f>
        <v>568947.444395496</v>
      </c>
    </row>
    <row r="46" customFormat="false" ht="15" hidden="false" customHeight="false" outlineLevel="0" collapsed="false">
      <c r="A46" s="6" t="s">
        <v>410</v>
      </c>
      <c r="B46" s="19" t="n">
        <f aca="false">'Scenario Engine'!$Q$47</f>
        <v>-411286.511521218</v>
      </c>
      <c r="C46" s="19" t="n">
        <f aca="false">'Scenario Engine'!$R$47</f>
        <v>1959327.84012668</v>
      </c>
      <c r="D46" s="34" t="n">
        <f aca="false">ABS(C46-B46)</f>
        <v>2370614.3516479</v>
      </c>
      <c r="E46" s="19" t="n">
        <f aca="false">'Scenario Engine'!$Q$48</f>
        <v>-187217.34418687</v>
      </c>
      <c r="F46" s="19" t="n">
        <f aca="false">'Scenario Engine'!$R$48</f>
        <v>2183397.00746103</v>
      </c>
      <c r="G46" s="34" t="n">
        <f aca="false">ABS(F46-E46)</f>
        <v>2370614.3516479</v>
      </c>
      <c r="H46" s="19" t="n">
        <f aca="false">'Scenario Engine'!$Q$49</f>
        <v>-248633.956557924</v>
      </c>
      <c r="I46" s="19" t="n">
        <f aca="false">'Scenario Engine'!$R$49</f>
        <v>1647857.5247604</v>
      </c>
      <c r="J46" s="34" t="n">
        <f aca="false">ABS(I46-H46)</f>
        <v>1896491.48131832</v>
      </c>
    </row>
    <row r="47" customFormat="false" ht="15" hidden="false" customHeight="false" outlineLevel="0" collapsed="false">
      <c r="A47" s="6" t="s">
        <v>411</v>
      </c>
      <c r="B47" s="19" t="n">
        <f aca="false">'Scenario Engine'!$S$47</f>
        <v>181367.076390757</v>
      </c>
      <c r="C47" s="19" t="n">
        <f aca="false">'Scenario Engine'!$T$47</f>
        <v>1366674.25221471</v>
      </c>
      <c r="D47" s="34" t="n">
        <f aca="false">ABS(C47-B47)</f>
        <v>1185307.17582395</v>
      </c>
      <c r="E47" s="19" t="n">
        <f aca="false">'Scenario Engine'!$S$48</f>
        <v>405436.243725105</v>
      </c>
      <c r="F47" s="19" t="n">
        <f aca="false">'Scenario Engine'!$T$48</f>
        <v>1590743.41954906</v>
      </c>
      <c r="G47" s="34" t="n">
        <f aca="false">ABS(F47-E47)</f>
        <v>1185307.17582395</v>
      </c>
      <c r="H47" s="19" t="n">
        <f aca="false">'Scenario Engine'!$S$49</f>
        <v>225488.913771656</v>
      </c>
      <c r="I47" s="19" t="n">
        <f aca="false">'Scenario Engine'!$T$49</f>
        <v>1173734.65443082</v>
      </c>
      <c r="J47" s="34" t="n">
        <f aca="false">ABS(I47-H47)</f>
        <v>948245.74065916</v>
      </c>
    </row>
    <row r="48" customFormat="false" ht="15" hidden="false" customHeight="false" outlineLevel="0" collapsed="false">
      <c r="A48" s="6" t="s">
        <v>248</v>
      </c>
      <c r="B48" s="19" t="n">
        <f aca="false">'Scenario Engine'!$U$47</f>
        <v>920711.193227321</v>
      </c>
      <c r="C48" s="19" t="n">
        <f aca="false">'Scenario Engine'!$V$47</f>
        <v>590945.614308218</v>
      </c>
      <c r="D48" s="34" t="n">
        <f aca="false">ABS(C48-B48)</f>
        <v>329765.578919104</v>
      </c>
      <c r="E48" s="19" t="n">
        <f aca="false">'Scenario Engine'!$U$48</f>
        <v>1101785.58962303</v>
      </c>
      <c r="F48" s="19" t="n">
        <f aca="false">'Scenario Engine'!$V$48</f>
        <v>868673.800372675</v>
      </c>
      <c r="G48" s="34" t="n">
        <f aca="false">ABS(F48-E48)</f>
        <v>233111.789250357</v>
      </c>
      <c r="H48" s="19" t="n">
        <f aca="false">'Scenario Engine'!$U$49</f>
        <v>824829.168823831</v>
      </c>
      <c r="I48" s="19" t="n">
        <f aca="false">'Scenario Engine'!$V$49</f>
        <v>543335.989499281</v>
      </c>
      <c r="J48" s="34" t="n">
        <f aca="false">ABS(I48-H48)</f>
        <v>281493.179324549</v>
      </c>
    </row>
    <row r="49" customFormat="false" ht="15" hidden="false" customHeight="false" outlineLevel="0" collapsed="false">
      <c r="A49" s="6" t="s">
        <v>412</v>
      </c>
      <c r="B49" s="19" t="n">
        <f aca="false">'Scenario Engine'!$W$47</f>
        <v>858494.71990698</v>
      </c>
      <c r="C49" s="19" t="n">
        <f aca="false">'Scenario Engine'!$X$47</f>
        <v>689546.608698485</v>
      </c>
      <c r="D49" s="34" t="n">
        <f aca="false">ABS(C49-B49)</f>
        <v>168948.111208495</v>
      </c>
      <c r="E49" s="19" t="n">
        <f aca="false">'Scenario Engine'!$W$48</f>
        <v>1321220.01162195</v>
      </c>
      <c r="F49" s="19" t="n">
        <f aca="false">'Scenario Engine'!$X$48</f>
        <v>674959.651652211</v>
      </c>
      <c r="G49" s="34" t="n">
        <f aca="false">ABS(F49-E49)</f>
        <v>646260.35996974</v>
      </c>
      <c r="H49" s="19" t="n">
        <f aca="false">'Scenario Engine'!$W$49</f>
        <v>798967.615745784</v>
      </c>
      <c r="I49" s="19" t="n">
        <f aca="false">'Scenario Engine'!$X$49</f>
        <v>600255.95245669</v>
      </c>
      <c r="J49" s="34" t="n">
        <f aca="false">ABS(I49-H49)</f>
        <v>198711.663289094</v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5" hidden="false" customHeight="false" outlineLevel="0" collapsed="false">
      <c r="A51" s="14" t="s">
        <v>462</v>
      </c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false" outlineLevel="0" collapsed="false">
      <c r="A52" s="4" t="s">
        <v>378</v>
      </c>
      <c r="B52" s="5" t="s">
        <v>463</v>
      </c>
      <c r="C52" s="5" t="s">
        <v>464</v>
      </c>
      <c r="D52" s="5" t="s">
        <v>465</v>
      </c>
      <c r="E52" s="5" t="s">
        <v>466</v>
      </c>
      <c r="F52" s="5" t="s">
        <v>467</v>
      </c>
      <c r="G52" s="5" t="s">
        <v>468</v>
      </c>
      <c r="H52" s="2"/>
      <c r="I52" s="2"/>
      <c r="J52" s="2"/>
    </row>
    <row r="53" customFormat="false" ht="15" hidden="false" customHeight="false" outlineLevel="0" collapsed="false">
      <c r="A53" s="6" t="s">
        <v>401</v>
      </c>
      <c r="B53" s="19" t="n">
        <f aca="false">'Scenario Engine'!$Y$44</f>
        <v>365748.51221321</v>
      </c>
      <c r="C53" s="19" t="n">
        <f aca="false">'Scenario Engine'!$Y$45</f>
        <v>-260644.520874752</v>
      </c>
      <c r="D53" s="19" t="n">
        <f aca="false">'Scenario Engine'!$Y$46</f>
        <v>150265.849372719</v>
      </c>
      <c r="E53" s="19" t="n">
        <f aca="false">'Scenario Engine'!$Y$47</f>
        <v>-876706.760553846</v>
      </c>
      <c r="F53" s="19" t="n">
        <f aca="false">'Scenario Engine'!$Y$48</f>
        <v>-250313.727465884</v>
      </c>
      <c r="G53" s="19" t="n">
        <f aca="false">'Scenario Engine'!$Y$49</f>
        <v>-661224.097713355</v>
      </c>
      <c r="H53" s="2"/>
      <c r="I53" s="2"/>
      <c r="J53" s="2"/>
    </row>
    <row r="54" customFormat="false" ht="15" hidden="false" customHeight="false" outlineLevel="0" collapsed="false">
      <c r="A54" s="6" t="s">
        <v>35</v>
      </c>
      <c r="B54" s="19" t="n">
        <f aca="false">'Scenario Engine'!$B$44</f>
        <v>422370.278021239</v>
      </c>
      <c r="C54" s="19" t="n">
        <f aca="false">'Scenario Engine'!$B$45</f>
        <v>198301.11068689</v>
      </c>
      <c r="D54" s="19" t="n">
        <f aca="false">'Scenario Engine'!$B$46</f>
        <v>496779.158222734</v>
      </c>
      <c r="E54" s="19" t="n">
        <f aca="false">'Scenario Engine'!$B$47</f>
        <v>774020.664302732</v>
      </c>
      <c r="F54" s="19" t="n">
        <f aca="false">'Scenario Engine'!$B$48</f>
        <v>998089.831637081</v>
      </c>
      <c r="G54" s="19" t="n">
        <f aca="false">'Scenario Engine'!$B$49</f>
        <v>699611.784101237</v>
      </c>
      <c r="H54" s="2"/>
      <c r="I54" s="2"/>
      <c r="J54" s="2"/>
    </row>
    <row r="55" customFormat="false" ht="15" hidden="false" customHeight="false" outlineLevel="0" collapsed="false">
      <c r="A55" s="6" t="s">
        <v>402</v>
      </c>
      <c r="B55" s="19" t="n">
        <f aca="false">'Scenario Engine'!$Z$44</f>
        <v>467375.594502881</v>
      </c>
      <c r="C55" s="19" t="n">
        <f aca="false">'Scenario Engine'!$Z$45</f>
        <v>561669.134027162</v>
      </c>
      <c r="D55" s="19" t="n">
        <f aca="false">'Scenario Engine'!$Z$46</f>
        <v>1067746.97472291</v>
      </c>
      <c r="E55" s="19" t="n">
        <f aca="false">'Scenario Engine'!$Z$47</f>
        <v>3562254.74663138</v>
      </c>
      <c r="F55" s="19" t="n">
        <f aca="false">'Scenario Engine'!$Z$48</f>
        <v>3467961.2071071</v>
      </c>
      <c r="G55" s="19" t="n">
        <f aca="false">'Scenario Engine'!$Z$49</f>
        <v>2961883.36641135</v>
      </c>
      <c r="H55" s="2"/>
      <c r="I55" s="2"/>
      <c r="J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" hidden="false" customHeight="false" outlineLevel="0" collapsed="false">
      <c r="A57" s="14" t="s">
        <v>469</v>
      </c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" hidden="false" customHeight="false" outlineLevel="0" collapsed="false">
      <c r="A58" s="6" t="s">
        <v>470</v>
      </c>
      <c r="B58" s="45" t="n">
        <f aca="false">IFERROR(('Scenario Engine'!$B$39-'Scenario Engine'!$B$27*Inputs!$B$110)/('Scenario Engine'!$B$41/Inputs!$B$103*'Scenario Engine'!$B$36),0)</f>
        <v>0.87726240198537</v>
      </c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6" t="s">
        <v>471</v>
      </c>
      <c r="B59" s="43" t="n">
        <f aca="false">IFERROR(('Scenario Engine'!$B$44-('Scenario Engine'!$B$46-'Scenario Engine'!$B$33*Inputs!$B$113*Inputs!$B$103*'Scenario Engine'!$B$35))/('Scenario Engine'!$B$33*Inputs!$B$103*'Scenario Engine'!$B$35),0)</f>
        <v>0.166929847217581</v>
      </c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false" outlineLevel="0" collapsed="false">
      <c r="A60" s="6" t="s">
        <v>472</v>
      </c>
      <c r="B60" s="43" t="n">
        <f aca="false">IFERROR(Inputs!$B$83-'Scenario Engine'!$B$47/('Scenario Engine'!$B$30/Inputs!$B$83*'Scenario Engine'!$B$35),0)</f>
        <v>0.0169397455766741</v>
      </c>
      <c r="C60" s="2"/>
      <c r="D60" s="2"/>
      <c r="E60" s="2"/>
      <c r="F60" s="2"/>
      <c r="G60" s="2"/>
      <c r="H60" s="2"/>
      <c r="I60" s="2"/>
      <c r="J60" s="2"/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2026-09-27T16:47:05Z</dcterms:created>
  <dc:creator>openpyxl</dc:creator>
  <dc:description/>
  <dc:language>en-US</dc:language>
  <cp:lastModifiedBy/>
  <dcterms:modified xsi:type="dcterms:W3CDTF">2026-09-27T16:47:07Z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
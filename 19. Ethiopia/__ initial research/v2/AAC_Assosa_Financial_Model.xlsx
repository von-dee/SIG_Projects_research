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Monthly Model" sheetId="3" state="visible" r:id="rId5"/>
    <sheet name="Annual PL" sheetId="4" state="visible" r:id="rId6"/>
    <sheet name="Scenarios" sheetId="5" state="visible" r:id="rId7"/>
    <sheet name="Tech RO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<sst xmlns="http://schemas.openxmlformats.org/spreadsheetml/2006/main" count="283" uniqueCount="212">
  <si>
    <t xml:space="preserve">AAC – Assosa CIL Plant Financial Model</t>
  </si>
  <si>
    <t xml:space="preserve">PURPOSE</t>
  </si>
  <si>
    <t xml:space="preserve">A working financial model for the privately-owned CIL (Carbon-in-Leach) tailings-processing plant near Assosa, Benishangul-Gumuz Region, Western Ethiopia. Built for Accountable Africa Capital (AAC) to stress-test revenue, cost, and the ROI of the IoT/drone monitoring platform under Ethiopia-specific conditions: Birr/USD exchange rate, the National Bank of Ethiopia (NBE) buyer premium, and Assosa-region logistics costs.</t>
  </si>
  <si>
    <t xml:space="preserve">HOW TO USE THIS WORKBOOK</t>
  </si>
  <si>
    <t xml:space="preserve">1. Start on the 'Assumptions' tab. Every editable input is BLUE text on a YELLOW cell — change these to your actual data.</t>
  </si>
  <si>
    <t xml:space="preserve">2. 'Monthly Model' shows Year 1 built up month by month from the Assumptions tab.</t>
  </si>
  <si>
    <t xml:space="preserve">3. 'Annual P&amp;L' rolls Year 1 into a 3-year view, applying tonnage growth and cost/FX escalation assumptions.</t>
  </si>
  <si>
    <t xml:space="preserve">4. 'Scenarios' shows Bear / Base / Bull cases driven by gold price, NBE premium, exchange rate and tonnage.</t>
  </si>
  <si>
    <t xml:space="preserve">5. 'Tech ROI' quantifies the financial case for the excavator/fuel/drone/dump-truck monitoring platform itself.</t>
  </si>
  <si>
    <t xml:space="preserve">COLOR KEY</t>
  </si>
  <si>
    <t xml:space="preserve">Blue text on yellow fill = hardcoded input you should edit.</t>
  </si>
  <si>
    <t xml:space="preserve">Black text = formula (do not overwrite).</t>
  </si>
  <si>
    <t xml:space="preserve">Green text = link pulling a value from another tab.</t>
  </si>
  <si>
    <t xml:space="preserve">KEY DATA SOURCES / ASSUMPTIONS (verify and refresh before relying on this for investment decisions)</t>
  </si>
  <si>
    <t xml:space="preserve">- International gold spot price ~$4,300/oz, September 2026 (market data; highly volatile — see Scenarios tab).</t>
  </si>
  <si>
    <t xml:space="preserve">- USD/ETB spot rate ~160–164, September 2026 (Dashen Bank published rates); the Birr was floated in July 2024 and remains volatile.</t>
  </si>
  <si>
    <t xml:space="preserve">- National Bank of Ethiopia has historically paid artisanal/small-scale gold suppliers a premium of roughly 35%–67% over the international price to pull supply into the formal channel (Ethiopian financial press, 2020–2026 reporting).</t>
  </si>
  <si>
    <t xml:space="preserve">- Reporting (via IMF) indicates the NBE may exit direct gold buying by end-2026, with licensed private banks taking over the purchase channel — monitor this transition closely, as it can change premium levels and payment terms.</t>
  </si>
  <si>
    <t xml:space="preserve">- CIL recovery rates of 80–92% and tonnage/grade figures are illustrative industry-typical ranges, not AAC's confirmed site data — replace with actual geologist and plant figures as soon as available.</t>
  </si>
  <si>
    <t xml:space="preserve">- All other unit costs (fuel, reagents, logistics, labor, security) are illustrative placeholders for a landlocked, border-proximate operating region — replace with AAC's actual quotes/contracts.</t>
  </si>
  <si>
    <t xml:space="preserve">This model is a planning and scenario tool, not audited financial guidance. Gold price and FX assumptions should be refreshed regularly given their volatility.</t>
  </si>
  <si>
    <t xml:space="preserve">Assumptions — AAC Assosa CIL Plant</t>
  </si>
  <si>
    <t xml:space="preserve">Blue text on yellow = editable input. Black = formula.</t>
  </si>
  <si>
    <t xml:space="preserve">PRODUCTION ASSUMPTIONS</t>
  </si>
  <si>
    <t xml:space="preserve">Assumption</t>
  </si>
  <si>
    <t xml:space="preserve">Value</t>
  </si>
  <si>
    <t xml:space="preserve">Unit</t>
  </si>
  <si>
    <t xml:space="preserve">Notes / Source</t>
  </si>
  <si>
    <t xml:space="preserve">Number of active concessions</t>
  </si>
  <si>
    <t xml:space="preserve">#</t>
  </si>
  <si>
    <t xml:space="preserve">Engagement scope is 4-10 concessions; 7 used as base case</t>
  </si>
  <si>
    <t xml:space="preserve">Avg tailings processed per concession</t>
  </si>
  <si>
    <t xml:space="preserve">t/month</t>
  </si>
  <si>
    <t xml:space="preserve">Illustrative baseline - replace with actual site/geologist data</t>
  </si>
  <si>
    <t xml:space="preserve">Total tonnes processed (Month 1, base)</t>
  </si>
  <si>
    <t xml:space="preserve">Formula: concessions x avg tonnes per concession</t>
  </si>
  <si>
    <t xml:space="preserve">Average confirmed ore grade</t>
  </si>
  <si>
    <t xml:space="preserve">g/t</t>
  </si>
  <si>
    <t xml:space="preserve">Geologist baseline; refined by bi-weekly drone volumetrics</t>
  </si>
  <si>
    <t xml:space="preserve">CIL recovery rate</t>
  </si>
  <si>
    <t xml:space="preserve">%</t>
  </si>
  <si>
    <t xml:space="preserve">Typical CIL recovery range 80%-92%</t>
  </si>
  <si>
    <t xml:space="preserve">Monthly tonnage growth (Year 1 ramp-up)</t>
  </si>
  <si>
    <t xml:space="preserve">%/month</t>
  </si>
  <si>
    <t xml:space="preserve">Ramp as concessions onboard and drone survey cadence matures</t>
  </si>
  <si>
    <t xml:space="preserve">Annual tonnage growth (Year 2-3)</t>
  </si>
  <si>
    <t xml:space="preserve">%/year</t>
  </si>
  <si>
    <t xml:space="preserve">Additional concessions onboarded toward the 10-concession ceiling</t>
  </si>
  <si>
    <t xml:space="preserve">GOLD PRICE &amp; MARKET ASSUMPTIONS</t>
  </si>
  <si>
    <t xml:space="preserve">International gold price (spot)</t>
  </si>
  <si>
    <t xml:space="preserve">$/oz</t>
  </si>
  <si>
    <t xml:space="preserve">Spot reference, September 2026 - highly volatile; see Scenarios tab</t>
  </si>
  <si>
    <t xml:space="preserve">Grams per troy ounce</t>
  </si>
  <si>
    <t xml:space="preserve">g/oz</t>
  </si>
  <si>
    <t xml:space="preserve">Constant</t>
  </si>
  <si>
    <t xml:space="preserve">Implied international price</t>
  </si>
  <si>
    <t xml:space="preserve">$/g</t>
  </si>
  <si>
    <t xml:space="preserve">Formula</t>
  </si>
  <si>
    <t xml:space="preserve">Buyer premium over international price</t>
  </si>
  <si>
    <t xml:space="preserve">NBE has historically paid ~35%-67% premium vs. international price to formalize ASM supply; NBE reportedly transitioning gold-buying to licensed private banks by end-2026 (IMF-reported) - verify current channel/rate</t>
  </si>
  <si>
    <t xml:space="preserve">Realized price to AAC</t>
  </si>
  <si>
    <t xml:space="preserve">USD/ETB exchange rate</t>
  </si>
  <si>
    <t xml:space="preserve">ETB/$</t>
  </si>
  <si>
    <t xml:space="preserve">Spot, September 2026 (~160-164 range per bank quotes); Birr floated July 2024 - high volatility</t>
  </si>
  <si>
    <t xml:space="preserve">Annual ETB depreciation vs. USD (illustrative)</t>
  </si>
  <si>
    <t xml:space="preserve">Directional planning assumption only; historical volatility has been materially higher at times</t>
  </si>
  <si>
    <t xml:space="preserve">Realized price to AAC (ETB)</t>
  </si>
  <si>
    <t xml:space="preserve">ETB/g</t>
  </si>
  <si>
    <t xml:space="preserve">COST ASSUMPTIONS</t>
  </si>
  <si>
    <t xml:space="preserve">Feedstock / concession payment</t>
  </si>
  <si>
    <t xml:space="preserve">% of gross revenue</t>
  </si>
  <si>
    <t xml:space="preserve">Royalty / tolling share paid to concession holders</t>
  </si>
  <si>
    <t xml:space="preserve">Reagents &amp; consumables</t>
  </si>
  <si>
    <t xml:space="preserve">$/tonne</t>
  </si>
  <si>
    <t xml:space="preserve">Cyanide, lime, carbon; import lead-time premium for landlocked western Ethiopia</t>
  </si>
  <si>
    <t xml:space="preserve">Fuel (excavators + plant, monitored)</t>
  </si>
  <si>
    <t xml:space="preserve">Diesel; represents the efficient/monitored cost - see Tech ROI tab for unmonitored counterfactual</t>
  </si>
  <si>
    <t xml:space="preserve">Haulage/logistics (concession -&gt; plant)</t>
  </si>
  <si>
    <t xml:space="preserve">Remote, border-proximate region premium vs. coastal/urban logistics</t>
  </si>
  <si>
    <t xml:space="preserve">Labor (plant + field)</t>
  </si>
  <si>
    <t xml:space="preserve">$/month</t>
  </si>
  <si>
    <t xml:space="preserve">Fixed</t>
  </si>
  <si>
    <t xml:space="preserve">Maintenance (excavators, trucks, plant)</t>
  </si>
  <si>
    <t xml:space="preserve">Compliance &amp; licensing</t>
  </si>
  <si>
    <t xml:space="preserve">Ministry of Mines + Benishangul-Gumuz regional mining bureau</t>
  </si>
  <si>
    <t xml:space="preserve">Security</t>
  </si>
  <si>
    <t xml:space="preserve">Elevated for a border-proximate, contraband-risk region</t>
  </si>
  <si>
    <t xml:space="preserve">SG&amp;A / corporate overhead</t>
  </si>
  <si>
    <t xml:space="preserve">Technology platform - SaaS/monitoring subscription</t>
  </si>
  <si>
    <t xml:space="preserve">Telematics + fuel sensors + drone/GIS platform recurring fee</t>
  </si>
  <si>
    <t xml:space="preserve">Fixed-cost annual escalator</t>
  </si>
  <si>
    <t xml:space="preserve">Reflects Ethiopia's elevated domestic inflation environment</t>
  </si>
  <si>
    <t xml:space="preserve">CAPITAL ASSUMPTIONS (already invested / one-time)</t>
  </si>
  <si>
    <t xml:space="preserve">CIL plant construction &amp; commissioning</t>
  </si>
  <si>
    <t xml:space="preserve">$</t>
  </si>
  <si>
    <t xml:space="preserve">One-time</t>
  </si>
  <si>
    <t xml:space="preserve">Excavator fleet (loaned to concessions)</t>
  </si>
  <si>
    <t xml:space="preserve">Dump truck fleet</t>
  </si>
  <si>
    <t xml:space="preserve">Technology platform implementation</t>
  </si>
  <si>
    <t xml:space="preserve">One-time: telematics, fuel sensors, geofencing, drones, GIS/dashboard build</t>
  </si>
  <si>
    <t xml:space="preserve">Total invested capital</t>
  </si>
  <si>
    <t xml:space="preserve">Sum of one-time capital items above</t>
  </si>
  <si>
    <t xml:space="preserve">Depreciation life (straight-line)</t>
  </si>
  <si>
    <t xml:space="preserve">years</t>
  </si>
  <si>
    <t xml:space="preserve">Illustrative useful life for plant + fleet</t>
  </si>
  <si>
    <t xml:space="preserve">TECH ROI ASSUMPTIONS (fuel theft &amp; haulage shrinkage)</t>
  </si>
  <si>
    <t xml:space="preserve">Fuel theft/leakage rate - unmonitored (industry-typical)</t>
  </si>
  <si>
    <t xml:space="preserve">Documented range for unmonitored remote heavy-equipment fleets is roughly 10%-25%</t>
  </si>
  <si>
    <t xml:space="preserve">Fuel theft/leakage rate - with monitoring platform</t>
  </si>
  <si>
    <t xml:space="preserve">Residual loss after sensor-based detection and alerts</t>
  </si>
  <si>
    <t xml:space="preserve">Haulage/custody shrinkage - unmonitored</t>
  </si>
  <si>
    <t xml:space="preserve">Share of tailings value lost to under-reporting/diversion between concession and plant</t>
  </si>
  <si>
    <t xml:space="preserve">Haulage/custody shrinkage - with monitoring platform</t>
  </si>
  <si>
    <t xml:space="preserve">Residual loss after GPS/geofence/weighbridge reconciliation</t>
  </si>
  <si>
    <t xml:space="preserve">Monthly Model - Year 1 (Assosa CIL Plant)</t>
  </si>
  <si>
    <t xml:space="preserve">Metric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</si>
  <si>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</si>
  <si>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</si>
  <si>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</si>
  <si>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</si>
  <si>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</si>
  <si>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</si>
  <si>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</si>
  <si>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</si>
  <si>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</si>
  <si>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</si>
  <si>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</si>
  <si>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</si>
  <si>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Year 1 Total/Avg</t>
  </si>
  <si>
    <t xml:space="preserve">Tonnes processed</t>
  </si>
  <si>
    <t xml:space="preserve">Ore grade (g/t)</t>
  </si>
  <si>
    <t xml:space="preserve">Grams recovered</t>
  </si>
  <si>
    <t xml:space="preserve">International price ($/g)</t>
  </si>
  <si>
    <t xml:space="preserve">Realized price to AAC ($/g, incl. premium)</t>
  </si>
  <si>
    <t xml:space="preserve">Revenue (USD)</t>
  </si>
  <si>
    <t xml:space="preserve">FX rate (ETB/$)</t>
  </si>
  <si>
    <t xml:space="preserve">Revenue (ETB)</t>
  </si>
  <si>
    <t xml:space="preserve">OPERATING COSTS (USD)</t>
  </si>
  <si>
    <t xml:space="preserve">Fuel (monitored)</t>
  </si>
  <si>
    <t xml:space="preserve">Haulage / logistics</t>
  </si>
  <si>
    <t xml:space="preserve">Labor</t>
  </si>
  <si>
    <t xml:space="preserve">Maintenance</t>
  </si>
  <si>
    <t xml:space="preserve">SG&amp;A / overhead</t>
  </si>
  <si>
    <t xml:space="preserve">Technology platform (SaaS)</t>
  </si>
  <si>
    <t xml:space="preserve">Total operating costs</t>
  </si>
  <si>
    <t xml:space="preserve">PROFITABILITY</t>
  </si>
  <si>
    <t xml:space="preserve">EBITDA (USD)</t>
  </si>
  <si>
    <t xml:space="preserve">EBITDA margin (%)</t>
  </si>
  <si>
    <t xml:space="preserve">EBITDA (ETB)</t>
  </si>
  <si>
    <t xml:space="preserve">Annual P&amp;L - 3 Year View (Assosa CIL Plant)</t>
  </si>
  <si>
    <t xml:space="preserve">Year 1</t>
  </si>
  <si>
    <t xml:space="preserve">Year 2</t>
  </si>
  <si>
    <t xml:space="preserve">Year 3</t>
  </si>
  <si>
    <t xml:space="preserve">Tonnes processed (annual)</t>
  </si>
  <si>
    <t xml:space="preserve">Revenue per tonne (avg, USD)</t>
  </si>
  <si>
    <t xml:space="preserve">Fixed costs (labor, maintenance, compliance, security, SG&amp;A, tech SaaS)</t>
  </si>
  <si>
    <t xml:space="preserve">Depreciation (straight-line)</t>
  </si>
  <si>
    <t xml:space="preserve">EBIT (USD)</t>
  </si>
  <si>
    <t xml:space="preserve">Note: excludes taxes, working-capital movements and financing costs (interest, debt repayment) - add per AAC's actual capital structure. FX drift and escalator are directional planning assumptions, not forecasts.</t>
  </si>
  <si>
    <t xml:space="preserve">Scenario Analysis - Bear / Base / Bull (Year 1)</t>
  </si>
  <si>
    <t xml:space="preserve">Editable scenario inputs are blue/yellow. Gold-price forecasts for 2026 from bank/analyst commentary range roughly $3,500-$5,400/oz; NBE premium and FX are independently stressed.</t>
  </si>
  <si>
    <t xml:space="preserve">Scenario</t>
  </si>
  <si>
    <t xml:space="preserve">Bear</t>
  </si>
  <si>
    <t xml:space="preserve">Base</t>
  </si>
  <si>
    <t xml:space="preserve">Bull</t>
  </si>
  <si>
    <t xml:space="preserve">SCENARIO INPUTS</t>
  </si>
  <si>
    <t xml:space="preserve">International gold price ($/oz)</t>
  </si>
  <si>
    <t xml:space="preserve">Buyer/NBE premium (%)</t>
  </si>
  <si>
    <t xml:space="preserve">Tonnes processed per month</t>
  </si>
  <si>
    <t xml:space="preserve">RESULTING ECONOMICS (Year 1 annualized)</t>
  </si>
  <si>
    <t xml:space="preserve">Realized price to AAC ($/g)</t>
  </si>
  <si>
    <t xml:space="preserve">Grams recovered per month</t>
  </si>
  <si>
    <t xml:space="preserve">Annual revenue (USD)</t>
  </si>
  <si>
    <t xml:space="preserve">Fuel</t>
  </si>
  <si>
    <t xml:space="preserve">Fixed costs (annual)</t>
  </si>
  <si>
    <t xml:space="preserve">Annual revenue (ETB)</t>
  </si>
  <si>
    <t xml:space="preserve">Technology Platform ROI - Excavator/Fuel/Drone/Dump-Truck Monitoring</t>
  </si>
  <si>
    <t xml:space="preserve">Notes</t>
  </si>
  <si>
    <t xml:space="preserve">1. FUEL THEFT/LEAKAGE SAVINGS</t>
  </si>
  <si>
    <t xml:space="preserve">Annual tonnes processed (Year 1)</t>
  </si>
  <si>
    <t xml:space="preserve">Linked from Annual P&amp;L, Year 1</t>
  </si>
  <si>
    <t xml:space="preserve">Fuel spend WITH monitoring (modeled/efficient cost)</t>
  </si>
  <si>
    <t xml:space="preserve">Formula: tonnes x monitored $/tonne fuel rate from Assumptions</t>
  </si>
  <si>
    <t xml:space="preserve">Implied true fuel requirement</t>
  </si>
  <si>
    <t xml:space="preserve">Backs out the small residual loss still present even with monitoring</t>
  </si>
  <si>
    <t xml:space="preserve">Fuel spend WITHOUT monitoring (counterfactual)</t>
  </si>
  <si>
    <t xml:space="preserve">Same true need, but purchased fuel inflated by industry-typical unmonitored theft/leakage rate</t>
  </si>
  <si>
    <t xml:space="preserve">Annual fuel savings from monitoring</t>
  </si>
  <si>
    <t xml:space="preserve">Direct, recurring opex reduction</t>
  </si>
  <si>
    <t xml:space="preserve">2. HAULAGE / CUSTODY SHRINKAGE SAVINGS</t>
  </si>
  <si>
    <t xml:space="preserve">Annual revenue captured (Year 1, with monitoring)</t>
  </si>
  <si>
    <t xml:space="preserve">Implied true potential revenue</t>
  </si>
  <si>
    <t xml:space="preserve">Backs out the small residual shrinkage still present even with monitoring</t>
  </si>
  <si>
    <t xml:space="preserve">Revenue captured WITHOUT monitoring (counterfactual)</t>
  </si>
  <si>
    <t xml:space="preserve">Same potential, but more value lost to under-reporting/diversion without GPS/geofence/weighbridge reconciliation</t>
  </si>
  <si>
    <t xml:space="preserve">Annual revenue protected by monitoring</t>
  </si>
  <si>
    <t xml:space="preserve">Revenue that would otherwise leak between concession and plant</t>
  </si>
  <si>
    <t xml:space="preserve">3. PLATFORM COST</t>
  </si>
  <si>
    <t xml:space="preserve">Technology platform SaaS (annual)</t>
  </si>
  <si>
    <t xml:space="preserve">Recurring subscription, already included in Annual P&amp;L opex</t>
  </si>
  <si>
    <t xml:space="preserve">Technology platform implementation (one-time)</t>
  </si>
  <si>
    <t xml:space="preserve">One-time build/hardware/integration cost</t>
  </si>
  <si>
    <t xml:space="preserve">4. NET BENEFIT &amp; PAYBACK</t>
  </si>
  <si>
    <t xml:space="preserve">Total annual financial benefit</t>
  </si>
  <si>
    <t xml:space="preserve">Fuel savings + revenue protected</t>
  </si>
  <si>
    <t xml:space="preserve">Net annual benefit (after recurring SaaS cost)</t>
  </si>
  <si>
    <t xml:space="preserve">Total benefit less the platform's own recurring cost</t>
  </si>
  <si>
    <t xml:space="preserve">Net monthly benefit</t>
  </si>
  <si>
    <t xml:space="preserve">For payback calculation</t>
  </si>
  <si>
    <t xml:space="preserve">Simple payback period on implementation cost</t>
  </si>
  <si>
    <t xml:space="preserve">One-time implementation cost / net monthly benefit</t>
  </si>
  <si>
    <t xml:space="preserve">Method: fuel and shrinkage savings are modeled by comparing an unmonitored counterfactual loss rate (industry-typical, see Assumptions tab) against the monitored/residual loss rate the platform is expected to achieve, applied to the same underlying tonnage and revenue base from the Annual P&amp;L tab. Replace the loss-rate assumptions with AAC's own baseline audit data (e.g. a 60-90 day pre-platform reconciliation) as soon as it is available, to tighten this estimate.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</si>
</sst>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\$#,##0;&quot;($&quot;#,##0\);\-"/>
    <numFmt numFmtId="167" formatCode="#,##0"/>
    <numFmt numFmtId="168" formatCode="0.00"/>
    <numFmt numFmtId="169" formatCode="0.0%"/>
    <numFmt numFmtId="170" formatCode="\$#,##0.00;&quot;($&quot;#,##0.00\);\-"/>
    <numFmt numFmtId="171" formatCode="#,##0.0"/>
    <numFmt numFmtId="172" formatCode="#,##0&quot; ETB&quot;;\(#,##0&quot;) ETB&quot;;\-"/>
    <numFmt numFmtId="173" formatCode="0.0&quot; months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9E1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FCE4E4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4" customFormat="false" ht="15" hidden="false" customHeight="false" outlineLevel="0" collapsed="false">
      <c r="A4" s="2" t="s">
        <v>1</v>
      </c>
    </row>
    <row r="5" customFormat="false" ht="30" hidden="false" customHeight="true" outlineLevel="0" collapsed="false">
      <c r="A5" s="3" t="s">
        <v>2</v>
      </c>
    </row>
    <row r="7" customFormat="false" ht="15" hidden="false" customHeight="false" outlineLevel="0" collapsed="false">
      <c r="A7" s="2" t="s">
        <v>3</v>
      </c>
    </row>
    <row r="8" customFormat="false" ht="30" hidden="false" customHeight="true" outlineLevel="0" collapsed="false">
      <c r="A8" s="3" t="s">
        <v>4</v>
      </c>
    </row>
    <row r="9" customFormat="false" ht="15" hidden="false" customHeight="true" outlineLevel="0" collapsed="false">
      <c r="A9" s="3" t="s">
        <v>5</v>
      </c>
    </row>
    <row r="10" customFormat="false" ht="30" hidden="false" customHeight="true" outlineLevel="0" collapsed="false">
      <c r="A10" s="3" t="s">
        <v>6</v>
      </c>
    </row>
    <row r="11" customFormat="false" ht="30" hidden="false" customHeight="true" outlineLevel="0" collapsed="false">
      <c r="A11" s="3" t="s">
        <v>7</v>
      </c>
    </row>
    <row r="12" customFormat="false" ht="30" hidden="false" customHeight="true" outlineLevel="0" collapsed="false">
      <c r="A12" s="3" t="s">
        <v>8</v>
      </c>
    </row>
    <row r="14" customFormat="false" ht="15" hidden="false" customHeight="false" outlineLevel="0" collapsed="false">
      <c r="A14" s="2" t="s">
        <v>9</v>
      </c>
    </row>
    <row r="15" customFormat="false" ht="15" hidden="false" customHeight="true" outlineLevel="0" collapsed="false">
      <c r="A15" s="3" t="s">
        <v>10</v>
      </c>
    </row>
    <row r="16" customFormat="false" ht="15" hidden="false" customHeight="true" outlineLevel="0" collapsed="false">
      <c r="A16" s="3" t="s">
        <v>11</v>
      </c>
    </row>
    <row r="17" customFormat="false" ht="15" hidden="false" customHeight="true" outlineLevel="0" collapsed="false">
      <c r="A17" s="3" t="s">
        <v>12</v>
      </c>
    </row>
    <row r="19" customFormat="false" ht="30" hidden="false" customHeight="true" outlineLevel="0" collapsed="false">
      <c r="A19" s="3" t="s">
        <v>13</v>
      </c>
    </row>
    <row r="20" customFormat="false" ht="30" hidden="false" customHeight="true" outlineLevel="0" collapsed="false">
      <c r="A20" s="3" t="s">
        <v>14</v>
      </c>
    </row>
    <row r="21" customFormat="false" ht="30" hidden="false" customHeight="true" outlineLevel="0" collapsed="false">
      <c r="A21" s="3" t="s">
        <v>15</v>
      </c>
    </row>
    <row r="22" customFormat="false" ht="30" hidden="false" customHeight="true" outlineLevel="0" collapsed="false">
      <c r="A22" s="3" t="s">
        <v>16</v>
      </c>
    </row>
    <row r="23" customFormat="false" ht="30" hidden="false" customHeight="true" outlineLevel="0" collapsed="false">
      <c r="A23" s="3" t="s">
        <v>17</v>
      </c>
    </row>
    <row r="24" customFormat="false" ht="30" hidden="false" customHeight="true" outlineLevel="0" collapsed="false">
      <c r="A24" s="3" t="s">
        <v>18</v>
      </c>
    </row>
    <row r="25" customFormat="false" ht="30" hidden="false" customHeight="true" outlineLevel="0" collapsed="false">
      <c r="A25" s="3" t="s">
        <v>19</v>
      </c>
    </row>
    <row r="27" customFormat="false" ht="30" hidden="false" customHeight="true" outlineLevel="0" collapsed="false">
      <c r="A27" s="3" t="s">
        <v>20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62"/>
  </cols>
  <sheetData>
    <row r="1" customFormat="false" ht="21.75" hidden="false" customHeight="true" outlineLevel="0" collapsed="false">
      <c r="A1" s="1" t="s">
        <v>21</v>
      </c>
      <c r="B1" s="1"/>
      <c r="C1" s="1"/>
      <c r="D1" s="1"/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5" t="s">
        <v>23</v>
      </c>
      <c r="B4" s="5"/>
      <c r="C4" s="5"/>
      <c r="D4" s="5"/>
    </row>
    <row r="5" customFormat="false" ht="15" hidden="false" customHeight="false" outlineLevel="0" collapsed="false">
      <c r="A5" s="6" t="s">
        <v>24</v>
      </c>
      <c r="B5" s="6" t="s">
        <v>25</v>
      </c>
      <c r="C5" s="6" t="s">
        <v>26</v>
      </c>
      <c r="D5" s="6" t="s">
        <v>27</v>
      </c>
    </row>
    <row r="6" customFormat="false" ht="15" hidden="false" customHeight="false" outlineLevel="0" collapsed="false">
      <c r="A6" s="7" t="s">
        <v>28</v>
      </c>
      <c r="B6" s="8" t="n">
        <v>7</v>
      </c>
      <c r="C6" s="7" t="s">
        <v>29</v>
      </c>
      <c r="D6" s="9" t="s">
        <v>30</v>
      </c>
    </row>
    <row r="7" customFormat="false" ht="15" hidden="false" customHeight="false" outlineLevel="0" collapsed="false">
      <c r="A7" s="7" t="s">
        <v>31</v>
      </c>
      <c r="B7" s="8" t="n">
        <v>285</v>
      </c>
      <c r="C7" s="7" t="s">
        <v>32</v>
      </c>
      <c r="D7" s="9" t="s">
        <v>33</v>
      </c>
    </row>
    <row r="8" customFormat="false" ht="15" hidden="false" customHeight="false" outlineLevel="0" collapsed="false">
      <c r="A8" s="7" t="s">
        <v>34</v>
      </c>
      <c r="B8" s="10" t="n">
        <f aca="false">Assumptions!$B$6*Assumptions!$B$7</f>
        <v>1995</v>
      </c>
      <c r="C8" s="7" t="s">
        <v>32</v>
      </c>
      <c r="D8" s="9" t="s">
        <v>35</v>
      </c>
    </row>
    <row r="9" customFormat="false" ht="15" hidden="false" customHeight="false" outlineLevel="0" collapsed="false">
      <c r="A9" s="7" t="s">
        <v>36</v>
      </c>
      <c r="B9" s="8" t="n">
        <v>0.6</v>
      </c>
      <c r="C9" s="7" t="s">
        <v>37</v>
      </c>
      <c r="D9" s="9" t="s">
        <v>38</v>
      </c>
    </row>
    <row r="10" customFormat="false" ht="15" hidden="false" customHeight="false" outlineLevel="0" collapsed="false">
      <c r="A10" s="7" t="s">
        <v>39</v>
      </c>
      <c r="B10" s="8" t="n">
        <v>0.87</v>
      </c>
      <c r="C10" s="7" t="s">
        <v>40</v>
      </c>
      <c r="D10" s="9" t="s">
        <v>41</v>
      </c>
    </row>
    <row r="11" customFormat="false" ht="15" hidden="false" customHeight="false" outlineLevel="0" collapsed="false">
      <c r="A11" s="7" t="s">
        <v>42</v>
      </c>
      <c r="B11" s="8" t="n">
        <v>0.015</v>
      </c>
      <c r="C11" s="7" t="s">
        <v>43</v>
      </c>
      <c r="D11" s="9" t="s">
        <v>44</v>
      </c>
    </row>
    <row r="12" customFormat="false" ht="15" hidden="false" customHeight="false" outlineLevel="0" collapsed="false">
      <c r="A12" s="7" t="s">
        <v>45</v>
      </c>
      <c r="B12" s="8" t="n">
        <v>0.1</v>
      </c>
      <c r="C12" s="7" t="s">
        <v>46</v>
      </c>
      <c r="D12" s="9" t="s">
        <v>47</v>
      </c>
    </row>
    <row r="14" customFormat="false" ht="15" hidden="false" customHeight="false" outlineLevel="0" collapsed="false">
      <c r="A14" s="5" t="s">
        <v>48</v>
      </c>
      <c r="B14" s="5"/>
      <c r="C14" s="5"/>
      <c r="D14" s="5"/>
    </row>
    <row r="15" customFormat="false" ht="15" hidden="false" customHeight="false" outlineLevel="0" collapsed="false">
      <c r="A15" s="6" t="s">
        <v>24</v>
      </c>
      <c r="B15" s="6" t="s">
        <v>25</v>
      </c>
      <c r="C15" s="6" t="s">
        <v>26</v>
      </c>
      <c r="D15" s="6" t="s">
        <v>27</v>
      </c>
    </row>
    <row r="16" customFormat="false" ht="15" hidden="false" customHeight="false" outlineLevel="0" collapsed="false">
      <c r="A16" s="7" t="s">
        <v>49</v>
      </c>
      <c r="B16" s="8" t="n">
        <v>4300</v>
      </c>
      <c r="C16" s="7" t="s">
        <v>50</v>
      </c>
      <c r="D16" s="9" t="s">
        <v>51</v>
      </c>
    </row>
    <row r="17" customFormat="false" ht="15" hidden="false" customHeight="false" outlineLevel="0" collapsed="false">
      <c r="A17" s="7" t="s">
        <v>52</v>
      </c>
      <c r="B17" s="8" t="n">
        <v>31.1035</v>
      </c>
      <c r="C17" s="7" t="s">
        <v>53</v>
      </c>
      <c r="D17" s="9" t="s">
        <v>54</v>
      </c>
    </row>
    <row r="18" customFormat="false" ht="15" hidden="false" customHeight="false" outlineLevel="0" collapsed="false">
      <c r="A18" s="7" t="s">
        <v>55</v>
      </c>
      <c r="B18" s="10" t="n">
        <f aca="false">Assumptions!$B$16/Assumptions!$B$17</f>
        <v>138.248107126208</v>
      </c>
      <c r="C18" s="7" t="s">
        <v>56</v>
      </c>
      <c r="D18" s="9" t="s">
        <v>57</v>
      </c>
    </row>
    <row r="19" customFormat="false" ht="32.8" hidden="false" customHeight="false" outlineLevel="0" collapsed="false">
      <c r="A19" s="7" t="s">
        <v>58</v>
      </c>
      <c r="B19" s="8" t="n">
        <v>0.5</v>
      </c>
      <c r="C19" s="7" t="s">
        <v>40</v>
      </c>
      <c r="D19" s="9" t="s">
        <v>59</v>
      </c>
    </row>
    <row r="20" customFormat="false" ht="15" hidden="false" customHeight="false" outlineLevel="0" collapsed="false">
      <c r="A20" s="7" t="s">
        <v>60</v>
      </c>
      <c r="B20" s="10" t="n">
        <f aca="false">Assumptions!$B$18*(1+Assumptions!$B$19)</f>
        <v>207.372160689312</v>
      </c>
      <c r="C20" s="7" t="s">
        <v>56</v>
      </c>
      <c r="D20" s="9" t="s">
        <v>57</v>
      </c>
    </row>
    <row r="21" customFormat="false" ht="22.35" hidden="false" customHeight="false" outlineLevel="0" collapsed="false">
      <c r="A21" s="7" t="s">
        <v>61</v>
      </c>
      <c r="B21" s="8" t="n">
        <v>162</v>
      </c>
      <c r="C21" s="7" t="s">
        <v>62</v>
      </c>
      <c r="D21" s="9" t="s">
        <v>63</v>
      </c>
    </row>
    <row r="22" customFormat="false" ht="22.35" hidden="false" customHeight="false" outlineLevel="0" collapsed="false">
      <c r="A22" s="7" t="s">
        <v>64</v>
      </c>
      <c r="B22" s="8" t="n">
        <v>0.08</v>
      </c>
      <c r="C22" s="7" t="s">
        <v>46</v>
      </c>
      <c r="D22" s="9" t="s">
        <v>65</v>
      </c>
    </row>
    <row r="23" customFormat="false" ht="15" hidden="false" customHeight="false" outlineLevel="0" collapsed="false">
      <c r="A23" s="7" t="s">
        <v>66</v>
      </c>
      <c r="B23" s="10" t="n">
        <f aca="false">Assumptions!$B$20*Assumptions!$B$21</f>
        <v>33594.2900316685</v>
      </c>
      <c r="C23" s="7" t="s">
        <v>67</v>
      </c>
      <c r="D23" s="9" t="s">
        <v>57</v>
      </c>
    </row>
    <row r="25" customFormat="false" ht="15" hidden="false" customHeight="false" outlineLevel="0" collapsed="false">
      <c r="A25" s="5" t="s">
        <v>68</v>
      </c>
      <c r="B25" s="5"/>
      <c r="C25" s="5"/>
      <c r="D25" s="5"/>
    </row>
    <row r="26" customFormat="false" ht="15" hidden="false" customHeight="false" outlineLevel="0" collapsed="false">
      <c r="A26" s="6" t="s">
        <v>24</v>
      </c>
      <c r="B26" s="6" t="s">
        <v>25</v>
      </c>
      <c r="C26" s="6" t="s">
        <v>26</v>
      </c>
      <c r="D26" s="6" t="s">
        <v>27</v>
      </c>
    </row>
    <row r="27" customFormat="false" ht="15" hidden="false" customHeight="false" outlineLevel="0" collapsed="false">
      <c r="A27" s="7" t="s">
        <v>69</v>
      </c>
      <c r="B27" s="8" t="n">
        <v>0.22</v>
      </c>
      <c r="C27" s="7" t="s">
        <v>70</v>
      </c>
      <c r="D27" s="9" t="s">
        <v>71</v>
      </c>
    </row>
    <row r="28" customFormat="false" ht="15" hidden="false" customHeight="false" outlineLevel="0" collapsed="false">
      <c r="A28" s="7" t="s">
        <v>72</v>
      </c>
      <c r="B28" s="8" t="n">
        <v>9</v>
      </c>
      <c r="C28" s="7" t="s">
        <v>73</v>
      </c>
      <c r="D28" s="9" t="s">
        <v>74</v>
      </c>
    </row>
    <row r="29" customFormat="false" ht="22.35" hidden="false" customHeight="false" outlineLevel="0" collapsed="false">
      <c r="A29" s="7" t="s">
        <v>75</v>
      </c>
      <c r="B29" s="8" t="n">
        <v>5.5</v>
      </c>
      <c r="C29" s="7" t="s">
        <v>73</v>
      </c>
      <c r="D29" s="9" t="s">
        <v>76</v>
      </c>
    </row>
    <row r="30" customFormat="false" ht="15" hidden="false" customHeight="false" outlineLevel="0" collapsed="false">
      <c r="A30" s="7" t="s">
        <v>77</v>
      </c>
      <c r="B30" s="8" t="n">
        <v>9</v>
      </c>
      <c r="C30" s="7" t="s">
        <v>73</v>
      </c>
      <c r="D30" s="9" t="s">
        <v>78</v>
      </c>
    </row>
    <row r="31" customFormat="false" ht="15" hidden="false" customHeight="false" outlineLevel="0" collapsed="false">
      <c r="A31" s="7" t="s">
        <v>79</v>
      </c>
      <c r="B31" s="8" t="n">
        <v>42000</v>
      </c>
      <c r="C31" s="7" t="s">
        <v>80</v>
      </c>
      <c r="D31" s="9" t="s">
        <v>81</v>
      </c>
    </row>
    <row r="32" customFormat="false" ht="15" hidden="false" customHeight="false" outlineLevel="0" collapsed="false">
      <c r="A32" s="7" t="s">
        <v>82</v>
      </c>
      <c r="B32" s="8" t="n">
        <v>11000</v>
      </c>
      <c r="C32" s="7" t="s">
        <v>80</v>
      </c>
      <c r="D32" s="9" t="s">
        <v>81</v>
      </c>
    </row>
    <row r="33" customFormat="false" ht="15" hidden="false" customHeight="false" outlineLevel="0" collapsed="false">
      <c r="A33" s="7" t="s">
        <v>83</v>
      </c>
      <c r="B33" s="8" t="n">
        <v>5000</v>
      </c>
      <c r="C33" s="7" t="s">
        <v>80</v>
      </c>
      <c r="D33" s="9" t="s">
        <v>84</v>
      </c>
    </row>
    <row r="34" customFormat="false" ht="15" hidden="false" customHeight="false" outlineLevel="0" collapsed="false">
      <c r="A34" s="7" t="s">
        <v>85</v>
      </c>
      <c r="B34" s="8" t="n">
        <v>9000</v>
      </c>
      <c r="C34" s="7" t="s">
        <v>80</v>
      </c>
      <c r="D34" s="9" t="s">
        <v>86</v>
      </c>
    </row>
    <row r="35" customFormat="false" ht="15" hidden="false" customHeight="false" outlineLevel="0" collapsed="false">
      <c r="A35" s="7" t="s">
        <v>87</v>
      </c>
      <c r="B35" s="8" t="n">
        <v>16000</v>
      </c>
      <c r="C35" s="7" t="s">
        <v>80</v>
      </c>
      <c r="D35" s="9" t="s">
        <v>81</v>
      </c>
    </row>
    <row r="36" customFormat="false" ht="15" hidden="false" customHeight="false" outlineLevel="0" collapsed="false">
      <c r="A36" s="7" t="s">
        <v>88</v>
      </c>
      <c r="B36" s="8" t="n">
        <v>6000</v>
      </c>
      <c r="C36" s="7" t="s">
        <v>80</v>
      </c>
      <c r="D36" s="9" t="s">
        <v>89</v>
      </c>
    </row>
    <row r="37" customFormat="false" ht="15" hidden="false" customHeight="false" outlineLevel="0" collapsed="false">
      <c r="A37" s="7" t="s">
        <v>90</v>
      </c>
      <c r="B37" s="8" t="n">
        <v>0.08</v>
      </c>
      <c r="C37" s="7" t="s">
        <v>46</v>
      </c>
      <c r="D37" s="9" t="s">
        <v>91</v>
      </c>
    </row>
    <row r="39" customFormat="false" ht="15" hidden="false" customHeight="false" outlineLevel="0" collapsed="false">
      <c r="A39" s="5" t="s">
        <v>92</v>
      </c>
      <c r="B39" s="5"/>
      <c r="C39" s="5"/>
      <c r="D39" s="5"/>
    </row>
    <row r="40" customFormat="false" ht="15" hidden="false" customHeight="false" outlineLevel="0" collapsed="false">
      <c r="A40" s="6" t="s">
        <v>24</v>
      </c>
      <c r="B40" s="6" t="s">
        <v>25</v>
      </c>
      <c r="C40" s="6" t="s">
        <v>26</v>
      </c>
      <c r="D40" s="6" t="s">
        <v>27</v>
      </c>
    </row>
    <row r="41" customFormat="false" ht="15" hidden="false" customHeight="false" outlineLevel="0" collapsed="false">
      <c r="A41" s="7" t="s">
        <v>93</v>
      </c>
      <c r="B41" s="8" t="n">
        <v>3000000</v>
      </c>
      <c r="C41" s="7" t="s">
        <v>94</v>
      </c>
      <c r="D41" s="9" t="s">
        <v>95</v>
      </c>
    </row>
    <row r="42" customFormat="false" ht="15" hidden="false" customHeight="false" outlineLevel="0" collapsed="false">
      <c r="A42" s="7" t="s">
        <v>96</v>
      </c>
      <c r="B42" s="8" t="n">
        <v>1000000</v>
      </c>
      <c r="C42" s="7" t="s">
        <v>94</v>
      </c>
      <c r="D42" s="9" t="s">
        <v>95</v>
      </c>
    </row>
    <row r="43" customFormat="false" ht="15" hidden="false" customHeight="false" outlineLevel="0" collapsed="false">
      <c r="A43" s="7" t="s">
        <v>97</v>
      </c>
      <c r="B43" s="8" t="n">
        <v>600000</v>
      </c>
      <c r="C43" s="7" t="s">
        <v>94</v>
      </c>
      <c r="D43" s="9" t="s">
        <v>95</v>
      </c>
    </row>
    <row r="44" customFormat="false" ht="15" hidden="false" customHeight="false" outlineLevel="0" collapsed="false">
      <c r="A44" s="7" t="s">
        <v>98</v>
      </c>
      <c r="B44" s="8" t="n">
        <v>180000</v>
      </c>
      <c r="C44" s="7" t="s">
        <v>94</v>
      </c>
      <c r="D44" s="9" t="s">
        <v>99</v>
      </c>
    </row>
    <row r="45" customFormat="false" ht="15" hidden="false" customHeight="false" outlineLevel="0" collapsed="false">
      <c r="A45" s="7" t="s">
        <v>100</v>
      </c>
      <c r="B45" s="11" t="n">
        <f aca="false">SUM(B41:B44)</f>
        <v>4780000</v>
      </c>
      <c r="C45" s="7" t="s">
        <v>94</v>
      </c>
      <c r="D45" s="9" t="s">
        <v>101</v>
      </c>
    </row>
    <row r="46" customFormat="false" ht="15" hidden="false" customHeight="false" outlineLevel="0" collapsed="false">
      <c r="A46" s="7" t="s">
        <v>102</v>
      </c>
      <c r="B46" s="8" t="n">
        <v>8</v>
      </c>
      <c r="C46" s="7" t="s">
        <v>103</v>
      </c>
      <c r="D46" s="9" t="s">
        <v>104</v>
      </c>
    </row>
    <row r="48" customFormat="false" ht="15" hidden="false" customHeight="false" outlineLevel="0" collapsed="false">
      <c r="A48" s="5" t="s">
        <v>105</v>
      </c>
      <c r="B48" s="5"/>
      <c r="C48" s="5"/>
      <c r="D48" s="5"/>
    </row>
    <row r="49" customFormat="false" ht="15" hidden="false" customHeight="false" outlineLevel="0" collapsed="false">
      <c r="A49" s="6" t="s">
        <v>24</v>
      </c>
      <c r="B49" s="6" t="s">
        <v>25</v>
      </c>
      <c r="C49" s="6" t="s">
        <v>26</v>
      </c>
      <c r="D49" s="6" t="s">
        <v>27</v>
      </c>
    </row>
    <row r="50" customFormat="false" ht="22.35" hidden="false" customHeight="false" outlineLevel="0" collapsed="false">
      <c r="A50" s="7" t="s">
        <v>106</v>
      </c>
      <c r="B50" s="8" t="n">
        <v>0.15</v>
      </c>
      <c r="C50" s="7" t="s">
        <v>40</v>
      </c>
      <c r="D50" s="9" t="s">
        <v>107</v>
      </c>
    </row>
    <row r="51" customFormat="false" ht="15" hidden="false" customHeight="false" outlineLevel="0" collapsed="false">
      <c r="A51" s="7" t="s">
        <v>108</v>
      </c>
      <c r="B51" s="8" t="n">
        <v>0.03</v>
      </c>
      <c r="C51" s="7" t="s">
        <v>40</v>
      </c>
      <c r="D51" s="9" t="s">
        <v>109</v>
      </c>
    </row>
    <row r="52" customFormat="false" ht="22.35" hidden="false" customHeight="false" outlineLevel="0" collapsed="false">
      <c r="A52" s="7" t="s">
        <v>110</v>
      </c>
      <c r="B52" s="8" t="n">
        <v>0.05</v>
      </c>
      <c r="C52" s="7" t="s">
        <v>40</v>
      </c>
      <c r="D52" s="9" t="s">
        <v>111</v>
      </c>
    </row>
    <row r="53" customFormat="false" ht="15" hidden="false" customHeight="false" outlineLevel="0" collapsed="false">
      <c r="A53" s="7" t="s">
        <v>112</v>
      </c>
      <c r="B53" s="8" t="n">
        <v>0.01</v>
      </c>
      <c r="C53" s="7" t="s">
        <v>40</v>
      </c>
      <c r="D53" s="9" t="s">
        <v>113</v>
      </c>
    </row>
  </sheetData>
  <mergeCells count="6">
    <mergeCell ref="A1:D1"/>
    <mergeCell ref="A4:D4"/>
    <mergeCell ref="A14:D14"/>
    <mergeCell ref="A25:D25"/>
    <mergeCell ref="A39:D39"/>
    <mergeCell ref="A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2"/>
    <col collapsed="false" customWidth="true" hidden="false" outlineLevel="0" max="14" min="14" style="0" width="15"/>
  </cols>
  <sheetData>
    <row r="1" customFormat="false" ht="21.75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6" t="s">
        <v>115</v>
      </c>
      <c r="B3" s="12" t="s">
        <v>116</v>
      </c>
      <c r="C3" s="12" t="s">
        <v>117</v>
      </c>
      <c r="D3" s="12" t="s">
        <v>118</v>
      </c>
      <c r="E3" s="12" t="s">
        <v>119</v>
      </c>
      <c r="F3" s="12" t="s">
        <v>120</v>
      </c>
      <c r="G3" s="12" t="s">
        <v>121</v>
      </c>
      <c r="H3" s="12" t="s">
        <v>122</v>
      </c>
      <c r="I3" s="12" t="s">
        <v>123</v>
      </c>
      <c r="J3" s="12" t="s">
        <v>124</v>
      </c>
      <c r="K3" s="12" t="s">
        <v>125</v>
      </c>
      <c r="L3" s="12" t="s">
        <v>126</v>
      </c>
      <c r="M3" s="12" t="s">
        <v>127</v>
      </c>
      <c r="N3" s="12" t="s">
        <v>128</v>
      </c>
    </row>
    <row r="4" customFormat="false" ht="15" hidden="false" customHeight="false" outlineLevel="0" collapsed="false">
      <c r="A4" s="7" t="s">
        <v>129</v>
      </c>
      <c r="B4" s="13" t="n">
        <f aca="false">Assumptions!$B$8</f>
        <v>1995</v>
      </c>
      <c r="C4" s="13" t="n">
        <f aca="false">B4*(1+Assumptions!$B$11)</f>
        <v>2024.925</v>
      </c>
      <c r="D4" s="13" t="n">
        <f aca="false">C4*(1+Assumptions!$B$11)</f>
        <v>2055.298875</v>
      </c>
      <c r="E4" s="13" t="n">
        <f aca="false">D4*(1+Assumptions!$B$11)</f>
        <v>2086.128358125</v>
      </c>
      <c r="F4" s="13" t="n">
        <f aca="false">E4*(1+Assumptions!$B$11)</f>
        <v>2117.42028349687</v>
      </c>
      <c r="G4" s="13" t="n">
        <f aca="false">F4*(1+Assumptions!$B$11)</f>
        <v>2149.18158774933</v>
      </c>
      <c r="H4" s="13" t="n">
        <f aca="false">G4*(1+Assumptions!$B$11)</f>
        <v>2181.41931156557</v>
      </c>
      <c r="I4" s="13" t="n">
        <f aca="false">H4*(1+Assumptions!$B$11)</f>
        <v>2214.14060123905</v>
      </c>
      <c r="J4" s="13" t="n">
        <f aca="false">I4*(1+Assumptions!$B$11)</f>
        <v>2247.35271025764</v>
      </c>
      <c r="K4" s="13" t="n">
        <f aca="false">J4*(1+Assumptions!$B$11)</f>
        <v>2281.0630009115</v>
      </c>
      <c r="L4" s="13" t="n">
        <f aca="false">K4*(1+Assumptions!$B$11)</f>
        <v>2315.27894592517</v>
      </c>
      <c r="M4" s="13" t="n">
        <f aca="false">L4*(1+Assumptions!$B$11)</f>
        <v>2350.00813011405</v>
      </c>
      <c r="N4" s="14" t="n">
        <f aca="false">SUM(B4:M4)</f>
        <v>26017.2168043842</v>
      </c>
    </row>
    <row r="5" customFormat="false" ht="15" hidden="false" customHeight="false" outlineLevel="0" collapsed="false">
      <c r="A5" s="7" t="s">
        <v>130</v>
      </c>
      <c r="B5" s="15" t="n">
        <f aca="false">Assumptions!$B$9</f>
        <v>0.6</v>
      </c>
      <c r="C5" s="15" t="n">
        <f aca="false">Assumptions!$B$9</f>
        <v>0.6</v>
      </c>
      <c r="D5" s="15" t="n">
        <f aca="false">Assumptions!$B$9</f>
        <v>0.6</v>
      </c>
      <c r="E5" s="15" t="n">
        <f aca="false">Assumptions!$B$9</f>
        <v>0.6</v>
      </c>
      <c r="F5" s="15" t="n">
        <f aca="false">Assumptions!$B$9</f>
        <v>0.6</v>
      </c>
      <c r="G5" s="15" t="n">
        <f aca="false">Assumptions!$B$9</f>
        <v>0.6</v>
      </c>
      <c r="H5" s="15" t="n">
        <f aca="false">Assumptions!$B$9</f>
        <v>0.6</v>
      </c>
      <c r="I5" s="15" t="n">
        <f aca="false">Assumptions!$B$9</f>
        <v>0.6</v>
      </c>
      <c r="J5" s="15" t="n">
        <f aca="false">Assumptions!$B$9</f>
        <v>0.6</v>
      </c>
      <c r="K5" s="15" t="n">
        <f aca="false">Assumptions!$B$9</f>
        <v>0.6</v>
      </c>
      <c r="L5" s="15" t="n">
        <f aca="false">Assumptions!$B$9</f>
        <v>0.6</v>
      </c>
      <c r="M5" s="15" t="n">
        <f aca="false">Assumptions!$B$9</f>
        <v>0.6</v>
      </c>
      <c r="N5" s="16" t="n">
        <f aca="false">AVERAGE(B5:M5)</f>
        <v>0.6</v>
      </c>
    </row>
    <row r="6" customFormat="false" ht="15" hidden="false" customHeight="false" outlineLevel="0" collapsed="false">
      <c r="A6" s="7" t="s">
        <v>39</v>
      </c>
      <c r="B6" s="17" t="n">
        <f aca="false">Assumptions!$B$10</f>
        <v>0.87</v>
      </c>
      <c r="C6" s="17" t="n">
        <f aca="false">Assumptions!$B$10</f>
        <v>0.87</v>
      </c>
      <c r="D6" s="17" t="n">
        <f aca="false">Assumptions!$B$10</f>
        <v>0.87</v>
      </c>
      <c r="E6" s="17" t="n">
        <f aca="false">Assumptions!$B$10</f>
        <v>0.87</v>
      </c>
      <c r="F6" s="17" t="n">
        <f aca="false">Assumptions!$B$10</f>
        <v>0.87</v>
      </c>
      <c r="G6" s="17" t="n">
        <f aca="false">Assumptions!$B$10</f>
        <v>0.87</v>
      </c>
      <c r="H6" s="17" t="n">
        <f aca="false">Assumptions!$B$10</f>
        <v>0.87</v>
      </c>
      <c r="I6" s="17" t="n">
        <f aca="false">Assumptions!$B$10</f>
        <v>0.87</v>
      </c>
      <c r="J6" s="17" t="n">
        <f aca="false">Assumptions!$B$10</f>
        <v>0.87</v>
      </c>
      <c r="K6" s="17" t="n">
        <f aca="false">Assumptions!$B$10</f>
        <v>0.87</v>
      </c>
      <c r="L6" s="17" t="n">
        <f aca="false">Assumptions!$B$10</f>
        <v>0.87</v>
      </c>
      <c r="M6" s="17" t="n">
        <f aca="false">Assumptions!$B$10</f>
        <v>0.87</v>
      </c>
      <c r="N6" s="18" t="n">
        <f aca="false">AVERAGE(B6:M6)</f>
        <v>0.87</v>
      </c>
    </row>
    <row r="7" customFormat="false" ht="15" hidden="false" customHeight="false" outlineLevel="0" collapsed="false">
      <c r="A7" s="7" t="s">
        <v>131</v>
      </c>
      <c r="B7" s="13" t="n">
        <f aca="false">B4*B5*B6</f>
        <v>1041.39</v>
      </c>
      <c r="C7" s="13" t="n">
        <f aca="false">C4*C5*C6</f>
        <v>1057.01085</v>
      </c>
      <c r="D7" s="13" t="n">
        <f aca="false">D4*D5*D6</f>
        <v>1072.86601275</v>
      </c>
      <c r="E7" s="13" t="n">
        <f aca="false">E4*E5*E6</f>
        <v>1088.95900294125</v>
      </c>
      <c r="F7" s="13" t="n">
        <f aca="false">F4*F5*F6</f>
        <v>1105.29338798537</v>
      </c>
      <c r="G7" s="13" t="n">
        <f aca="false">G4*G5*G6</f>
        <v>1121.87278880515</v>
      </c>
      <c r="H7" s="13" t="n">
        <f aca="false">H4*H5*H6</f>
        <v>1138.70088063723</v>
      </c>
      <c r="I7" s="13" t="n">
        <f aca="false">I4*I5*I6</f>
        <v>1155.78139384678</v>
      </c>
      <c r="J7" s="13" t="n">
        <f aca="false">J4*J5*J6</f>
        <v>1173.11811475449</v>
      </c>
      <c r="K7" s="13" t="n">
        <f aca="false">K4*K5*K6</f>
        <v>1190.7148864758</v>
      </c>
      <c r="L7" s="13" t="n">
        <f aca="false">L4*L5*L6</f>
        <v>1208.57560977294</v>
      </c>
      <c r="M7" s="13" t="n">
        <f aca="false">M4*M5*M6</f>
        <v>1226.70424391953</v>
      </c>
      <c r="N7" s="14" t="n">
        <f aca="false">SUM(B7:M7)</f>
        <v>13580.9871718885</v>
      </c>
    </row>
    <row r="8" customFormat="false" ht="15" hidden="false" customHeight="false" outlineLevel="0" collapsed="false">
      <c r="A8" s="7" t="s">
        <v>132</v>
      </c>
      <c r="B8" s="19" t="n">
        <f aca="false">Assumptions!$B$18</f>
        <v>138.248107126208</v>
      </c>
      <c r="C8" s="19" t="n">
        <f aca="false">Assumptions!$B$18</f>
        <v>138.248107126208</v>
      </c>
      <c r="D8" s="19" t="n">
        <f aca="false">Assumptions!$B$18</f>
        <v>138.248107126208</v>
      </c>
      <c r="E8" s="19" t="n">
        <f aca="false">Assumptions!$B$18</f>
        <v>138.248107126208</v>
      </c>
      <c r="F8" s="19" t="n">
        <f aca="false">Assumptions!$B$18</f>
        <v>138.248107126208</v>
      </c>
      <c r="G8" s="19" t="n">
        <f aca="false">Assumptions!$B$18</f>
        <v>138.248107126208</v>
      </c>
      <c r="H8" s="19" t="n">
        <f aca="false">Assumptions!$B$18</f>
        <v>138.248107126208</v>
      </c>
      <c r="I8" s="19" t="n">
        <f aca="false">Assumptions!$B$18</f>
        <v>138.248107126208</v>
      </c>
      <c r="J8" s="19" t="n">
        <f aca="false">Assumptions!$B$18</f>
        <v>138.248107126208</v>
      </c>
      <c r="K8" s="19" t="n">
        <f aca="false">Assumptions!$B$18</f>
        <v>138.248107126208</v>
      </c>
      <c r="L8" s="19" t="n">
        <f aca="false">Assumptions!$B$18</f>
        <v>138.248107126208</v>
      </c>
      <c r="M8" s="19" t="n">
        <f aca="false">Assumptions!$B$18</f>
        <v>138.248107126208</v>
      </c>
      <c r="N8" s="20" t="n">
        <f aca="false">AVERAGE(B8:M8)</f>
        <v>138.248107126208</v>
      </c>
    </row>
    <row r="9" customFormat="false" ht="15" hidden="false" customHeight="false" outlineLevel="0" collapsed="false">
      <c r="A9" s="7" t="s">
        <v>133</v>
      </c>
      <c r="B9" s="19" t="n">
        <f aca="false">Assumptions!$B$20</f>
        <v>207.372160689312</v>
      </c>
      <c r="C9" s="19" t="n">
        <f aca="false">Assumptions!$B$20</f>
        <v>207.372160689312</v>
      </c>
      <c r="D9" s="19" t="n">
        <f aca="false">Assumptions!$B$20</f>
        <v>207.372160689312</v>
      </c>
      <c r="E9" s="19" t="n">
        <f aca="false">Assumptions!$B$20</f>
        <v>207.372160689312</v>
      </c>
      <c r="F9" s="19" t="n">
        <f aca="false">Assumptions!$B$20</f>
        <v>207.372160689312</v>
      </c>
      <c r="G9" s="19" t="n">
        <f aca="false">Assumptions!$B$20</f>
        <v>207.372160689312</v>
      </c>
      <c r="H9" s="19" t="n">
        <f aca="false">Assumptions!$B$20</f>
        <v>207.372160689312</v>
      </c>
      <c r="I9" s="19" t="n">
        <f aca="false">Assumptions!$B$20</f>
        <v>207.372160689312</v>
      </c>
      <c r="J9" s="19" t="n">
        <f aca="false">Assumptions!$B$20</f>
        <v>207.372160689312</v>
      </c>
      <c r="K9" s="19" t="n">
        <f aca="false">Assumptions!$B$20</f>
        <v>207.372160689312</v>
      </c>
      <c r="L9" s="19" t="n">
        <f aca="false">Assumptions!$B$20</f>
        <v>207.372160689312</v>
      </c>
      <c r="M9" s="19" t="n">
        <f aca="false">Assumptions!$B$20</f>
        <v>207.372160689312</v>
      </c>
      <c r="N9" s="20" t="n">
        <f aca="false">AVERAGE(B9:M9)</f>
        <v>207.372160689312</v>
      </c>
    </row>
    <row r="10" customFormat="false" ht="15" hidden="false" customHeight="false" outlineLevel="0" collapsed="false">
      <c r="A10" s="21" t="s">
        <v>134</v>
      </c>
      <c r="B10" s="22" t="n">
        <f aca="false">B7*B9</f>
        <v>215955.294420242</v>
      </c>
      <c r="C10" s="22" t="n">
        <f aca="false">C7*C9</f>
        <v>219194.623836546</v>
      </c>
      <c r="D10" s="22" t="n">
        <f aca="false">D7*D9</f>
        <v>222482.543194094</v>
      </c>
      <c r="E10" s="22" t="n">
        <f aca="false">E7*E9</f>
        <v>225819.781342005</v>
      </c>
      <c r="F10" s="22" t="n">
        <f aca="false">F7*F9</f>
        <v>229207.078062135</v>
      </c>
      <c r="G10" s="22" t="n">
        <f aca="false">G7*G9</f>
        <v>232645.184233067</v>
      </c>
      <c r="H10" s="22" t="n">
        <f aca="false">H7*H9</f>
        <v>236134.861996563</v>
      </c>
      <c r="I10" s="22" t="n">
        <f aca="false">I7*I9</f>
        <v>239676.884926512</v>
      </c>
      <c r="J10" s="22" t="n">
        <f aca="false">J7*J9</f>
        <v>243272.038200409</v>
      </c>
      <c r="K10" s="22" t="n">
        <f aca="false">K7*K9</f>
        <v>246921.118773415</v>
      </c>
      <c r="L10" s="22" t="n">
        <f aca="false">L7*L9</f>
        <v>250624.935555017</v>
      </c>
      <c r="M10" s="22" t="n">
        <f aca="false">M7*M9</f>
        <v>254384.309588342</v>
      </c>
      <c r="N10" s="23" t="n">
        <f aca="false">SUM(B10:M10)</f>
        <v>2816318.65412835</v>
      </c>
    </row>
    <row r="11" customFormat="false" ht="15" hidden="false" customHeight="false" outlineLevel="0" collapsed="false">
      <c r="A11" s="7" t="s">
        <v>135</v>
      </c>
      <c r="B11" s="24" t="n">
        <f aca="false">Assumptions!$B$21</f>
        <v>162</v>
      </c>
      <c r="C11" s="24" t="n">
        <f aca="false">Assumptions!$B$21</f>
        <v>162</v>
      </c>
      <c r="D11" s="24" t="n">
        <f aca="false">Assumptions!$B$21</f>
        <v>162</v>
      </c>
      <c r="E11" s="24" t="n">
        <f aca="false">Assumptions!$B$21</f>
        <v>162</v>
      </c>
      <c r="F11" s="24" t="n">
        <f aca="false">Assumptions!$B$21</f>
        <v>162</v>
      </c>
      <c r="G11" s="24" t="n">
        <f aca="false">Assumptions!$B$21</f>
        <v>162</v>
      </c>
      <c r="H11" s="24" t="n">
        <f aca="false">Assumptions!$B$21</f>
        <v>162</v>
      </c>
      <c r="I11" s="24" t="n">
        <f aca="false">Assumptions!$B$21</f>
        <v>162</v>
      </c>
      <c r="J11" s="24" t="n">
        <f aca="false">Assumptions!$B$21</f>
        <v>162</v>
      </c>
      <c r="K11" s="24" t="n">
        <f aca="false">Assumptions!$B$21</f>
        <v>162</v>
      </c>
      <c r="L11" s="24" t="n">
        <f aca="false">Assumptions!$B$21</f>
        <v>162</v>
      </c>
      <c r="M11" s="24" t="n">
        <f aca="false">Assumptions!$B$21</f>
        <v>162</v>
      </c>
      <c r="N11" s="25" t="n">
        <f aca="false">AVERAGE(B11:M11)</f>
        <v>162</v>
      </c>
    </row>
    <row r="12" customFormat="false" ht="15" hidden="false" customHeight="false" outlineLevel="0" collapsed="false">
      <c r="A12" s="7" t="s">
        <v>136</v>
      </c>
      <c r="B12" s="26" t="n">
        <f aca="false">B10*B11</f>
        <v>34984757.6960792</v>
      </c>
      <c r="C12" s="26" t="n">
        <f aca="false">C10*C11</f>
        <v>35509529.0615204</v>
      </c>
      <c r="D12" s="26" t="n">
        <f aca="false">D10*D11</f>
        <v>36042171.9974432</v>
      </c>
      <c r="E12" s="26" t="n">
        <f aca="false">E10*E11</f>
        <v>36582804.5774049</v>
      </c>
      <c r="F12" s="26" t="n">
        <f aca="false">F10*F11</f>
        <v>37131546.6460659</v>
      </c>
      <c r="G12" s="26" t="n">
        <f aca="false">G10*G11</f>
        <v>37688519.8457569</v>
      </c>
      <c r="H12" s="26" t="n">
        <f aca="false">H10*H11</f>
        <v>38253847.6434433</v>
      </c>
      <c r="I12" s="26" t="n">
        <f aca="false">I10*I11</f>
        <v>38827655.3580949</v>
      </c>
      <c r="J12" s="26" t="n">
        <f aca="false">J10*J11</f>
        <v>39410070.1884663</v>
      </c>
      <c r="K12" s="26" t="n">
        <f aca="false">K10*K11</f>
        <v>40001221.2412933</v>
      </c>
      <c r="L12" s="26" t="n">
        <f aca="false">L10*L11</f>
        <v>40601239.5599127</v>
      </c>
      <c r="M12" s="26" t="n">
        <f aca="false">M10*M11</f>
        <v>41210258.1533114</v>
      </c>
      <c r="N12" s="27" t="n">
        <f aca="false">SUM(B12:M12)</f>
        <v>456243621.968792</v>
      </c>
    </row>
    <row r="14" customFormat="false" ht="15" hidden="false" customHeight="false" outlineLevel="0" collapsed="false">
      <c r="A14" s="5" t="s">
        <v>137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false" outlineLevel="0" collapsed="false">
      <c r="A15" s="7" t="s">
        <v>69</v>
      </c>
      <c r="B15" s="11" t="n">
        <f aca="false">B10*Assumptions!$B$27</f>
        <v>47510.1647724533</v>
      </c>
      <c r="C15" s="11" t="n">
        <f aca="false">C10*Assumptions!$B$27</f>
        <v>48222.81724404</v>
      </c>
      <c r="D15" s="11" t="n">
        <f aca="false">D10*Assumptions!$B$27</f>
        <v>48946.1595027007</v>
      </c>
      <c r="E15" s="11" t="n">
        <f aca="false">E10*Assumptions!$B$27</f>
        <v>49680.3518952412</v>
      </c>
      <c r="F15" s="11" t="n">
        <f aca="false">F10*Assumptions!$B$27</f>
        <v>50425.5571736698</v>
      </c>
      <c r="G15" s="11" t="n">
        <f aca="false">G10*Assumptions!$B$27</f>
        <v>51181.9405312748</v>
      </c>
      <c r="H15" s="11" t="n">
        <f aca="false">H10*Assumptions!$B$27</f>
        <v>51949.6696392439</v>
      </c>
      <c r="I15" s="11" t="n">
        <f aca="false">I10*Assumptions!$B$27</f>
        <v>52728.9146838326</v>
      </c>
      <c r="J15" s="11" t="n">
        <f aca="false">J10*Assumptions!$B$27</f>
        <v>53519.8484040901</v>
      </c>
      <c r="K15" s="11" t="n">
        <f aca="false">K10*Assumptions!$B$27</f>
        <v>54322.6461301514</v>
      </c>
      <c r="L15" s="11" t="n">
        <f aca="false">L10*Assumptions!$B$27</f>
        <v>55137.4858221037</v>
      </c>
      <c r="M15" s="11" t="n">
        <f aca="false">M10*Assumptions!$B$27</f>
        <v>55964.5481094352</v>
      </c>
      <c r="N15" s="28" t="n">
        <f aca="false">SUM(B15:M15)</f>
        <v>619590.103908237</v>
      </c>
    </row>
    <row r="16" customFormat="false" ht="15" hidden="false" customHeight="false" outlineLevel="0" collapsed="false">
      <c r="A16" s="7" t="s">
        <v>72</v>
      </c>
      <c r="B16" s="11" t="n">
        <f aca="false">B4*Assumptions!$B$28</f>
        <v>17955</v>
      </c>
      <c r="C16" s="11" t="n">
        <f aca="false">C4*Assumptions!$B$28</f>
        <v>18224.325</v>
      </c>
      <c r="D16" s="11" t="n">
        <f aca="false">D4*Assumptions!$B$28</f>
        <v>18497.689875</v>
      </c>
      <c r="E16" s="11" t="n">
        <f aca="false">E4*Assumptions!$B$28</f>
        <v>18775.155223125</v>
      </c>
      <c r="F16" s="11" t="n">
        <f aca="false">F4*Assumptions!$B$28</f>
        <v>19056.7825514719</v>
      </c>
      <c r="G16" s="11" t="n">
        <f aca="false">G4*Assumptions!$B$28</f>
        <v>19342.6342897439</v>
      </c>
      <c r="H16" s="11" t="n">
        <f aca="false">H4*Assumptions!$B$28</f>
        <v>19632.7738040901</v>
      </c>
      <c r="I16" s="11" t="n">
        <f aca="false">I4*Assumptions!$B$28</f>
        <v>19927.2654111515</v>
      </c>
      <c r="J16" s="11" t="n">
        <f aca="false">J4*Assumptions!$B$28</f>
        <v>20226.1743923187</v>
      </c>
      <c r="K16" s="11" t="n">
        <f aca="false">K4*Assumptions!$B$28</f>
        <v>20529.5670082035</v>
      </c>
      <c r="L16" s="11" t="n">
        <f aca="false">L4*Assumptions!$B$28</f>
        <v>20837.5105133266</v>
      </c>
      <c r="M16" s="11" t="n">
        <f aca="false">M4*Assumptions!$B$28</f>
        <v>21150.0731710264</v>
      </c>
      <c r="N16" s="28" t="n">
        <f aca="false">SUM(B16:M16)</f>
        <v>234154.951239458</v>
      </c>
    </row>
    <row r="17" customFormat="false" ht="15" hidden="false" customHeight="false" outlineLevel="0" collapsed="false">
      <c r="A17" s="7" t="s">
        <v>138</v>
      </c>
      <c r="B17" s="11" t="n">
        <f aca="false">B4*Assumptions!$B$29</f>
        <v>10972.5</v>
      </c>
      <c r="C17" s="11" t="n">
        <f aca="false">C4*Assumptions!$B$29</f>
        <v>11137.0875</v>
      </c>
      <c r="D17" s="11" t="n">
        <f aca="false">D4*Assumptions!$B$29</f>
        <v>11304.1438125</v>
      </c>
      <c r="E17" s="11" t="n">
        <f aca="false">E4*Assumptions!$B$29</f>
        <v>11473.7059696875</v>
      </c>
      <c r="F17" s="11" t="n">
        <f aca="false">F4*Assumptions!$B$29</f>
        <v>11645.8115592328</v>
      </c>
      <c r="G17" s="11" t="n">
        <f aca="false">G4*Assumptions!$B$29</f>
        <v>11820.4987326213</v>
      </c>
      <c r="H17" s="11" t="n">
        <f aca="false">H4*Assumptions!$B$29</f>
        <v>11997.8062136106</v>
      </c>
      <c r="I17" s="11" t="n">
        <f aca="false">I4*Assumptions!$B$29</f>
        <v>12177.7733068148</v>
      </c>
      <c r="J17" s="11" t="n">
        <f aca="false">J4*Assumptions!$B$29</f>
        <v>12360.439906417</v>
      </c>
      <c r="K17" s="11" t="n">
        <f aca="false">K4*Assumptions!$B$29</f>
        <v>12545.8465050132</v>
      </c>
      <c r="L17" s="11" t="n">
        <f aca="false">L4*Assumptions!$B$29</f>
        <v>12734.0342025884</v>
      </c>
      <c r="M17" s="11" t="n">
        <f aca="false">M4*Assumptions!$B$29</f>
        <v>12925.0447156273</v>
      </c>
      <c r="N17" s="28" t="n">
        <f aca="false">SUM(B17:M17)</f>
        <v>143094.692424113</v>
      </c>
    </row>
    <row r="18" customFormat="false" ht="15" hidden="false" customHeight="false" outlineLevel="0" collapsed="false">
      <c r="A18" s="7" t="s">
        <v>139</v>
      </c>
      <c r="B18" s="11" t="n">
        <f aca="false">B4*Assumptions!$B$30</f>
        <v>17955</v>
      </c>
      <c r="C18" s="11" t="n">
        <f aca="false">C4*Assumptions!$B$30</f>
        <v>18224.325</v>
      </c>
      <c r="D18" s="11" t="n">
        <f aca="false">D4*Assumptions!$B$30</f>
        <v>18497.689875</v>
      </c>
      <c r="E18" s="11" t="n">
        <f aca="false">E4*Assumptions!$B$30</f>
        <v>18775.155223125</v>
      </c>
      <c r="F18" s="11" t="n">
        <f aca="false">F4*Assumptions!$B$30</f>
        <v>19056.7825514719</v>
      </c>
      <c r="G18" s="11" t="n">
        <f aca="false">G4*Assumptions!$B$30</f>
        <v>19342.6342897439</v>
      </c>
      <c r="H18" s="11" t="n">
        <f aca="false">H4*Assumptions!$B$30</f>
        <v>19632.7738040901</v>
      </c>
      <c r="I18" s="11" t="n">
        <f aca="false">I4*Assumptions!$B$30</f>
        <v>19927.2654111515</v>
      </c>
      <c r="J18" s="11" t="n">
        <f aca="false">J4*Assumptions!$B$30</f>
        <v>20226.1743923187</v>
      </c>
      <c r="K18" s="11" t="n">
        <f aca="false">K4*Assumptions!$B$30</f>
        <v>20529.5670082035</v>
      </c>
      <c r="L18" s="11" t="n">
        <f aca="false">L4*Assumptions!$B$30</f>
        <v>20837.5105133266</v>
      </c>
      <c r="M18" s="11" t="n">
        <f aca="false">M4*Assumptions!$B$30</f>
        <v>21150.0731710264</v>
      </c>
      <c r="N18" s="28" t="n">
        <f aca="false">SUM(B18:M18)</f>
        <v>234154.951239458</v>
      </c>
    </row>
    <row r="19" customFormat="false" ht="15" hidden="false" customHeight="false" outlineLevel="0" collapsed="false">
      <c r="A19" s="7" t="s">
        <v>140</v>
      </c>
      <c r="B19" s="11" t="n">
        <f aca="false">Assumptions!$B$31</f>
        <v>42000</v>
      </c>
      <c r="C19" s="11" t="n">
        <f aca="false">Assumptions!$B$31</f>
        <v>42000</v>
      </c>
      <c r="D19" s="11" t="n">
        <f aca="false">Assumptions!$B$31</f>
        <v>42000</v>
      </c>
      <c r="E19" s="11" t="n">
        <f aca="false">Assumptions!$B$31</f>
        <v>42000</v>
      </c>
      <c r="F19" s="11" t="n">
        <f aca="false">Assumptions!$B$31</f>
        <v>42000</v>
      </c>
      <c r="G19" s="11" t="n">
        <f aca="false">Assumptions!$B$31</f>
        <v>42000</v>
      </c>
      <c r="H19" s="11" t="n">
        <f aca="false">Assumptions!$B$31</f>
        <v>42000</v>
      </c>
      <c r="I19" s="11" t="n">
        <f aca="false">Assumptions!$B$31</f>
        <v>42000</v>
      </c>
      <c r="J19" s="11" t="n">
        <f aca="false">Assumptions!$B$31</f>
        <v>42000</v>
      </c>
      <c r="K19" s="11" t="n">
        <f aca="false">Assumptions!$B$31</f>
        <v>42000</v>
      </c>
      <c r="L19" s="11" t="n">
        <f aca="false">Assumptions!$B$31</f>
        <v>42000</v>
      </c>
      <c r="M19" s="11" t="n">
        <f aca="false">Assumptions!$B$31</f>
        <v>42000</v>
      </c>
      <c r="N19" s="28" t="n">
        <f aca="false">SUM(B19:M19)</f>
        <v>504000</v>
      </c>
    </row>
    <row r="20" customFormat="false" ht="15" hidden="false" customHeight="false" outlineLevel="0" collapsed="false">
      <c r="A20" s="7" t="s">
        <v>141</v>
      </c>
      <c r="B20" s="11" t="n">
        <f aca="false">Assumptions!$B$32</f>
        <v>11000</v>
      </c>
      <c r="C20" s="11" t="n">
        <f aca="false">Assumptions!$B$32</f>
        <v>11000</v>
      </c>
      <c r="D20" s="11" t="n">
        <f aca="false">Assumptions!$B$32</f>
        <v>11000</v>
      </c>
      <c r="E20" s="11" t="n">
        <f aca="false">Assumptions!$B$32</f>
        <v>11000</v>
      </c>
      <c r="F20" s="11" t="n">
        <f aca="false">Assumptions!$B$32</f>
        <v>11000</v>
      </c>
      <c r="G20" s="11" t="n">
        <f aca="false">Assumptions!$B$32</f>
        <v>11000</v>
      </c>
      <c r="H20" s="11" t="n">
        <f aca="false">Assumptions!$B$32</f>
        <v>11000</v>
      </c>
      <c r="I20" s="11" t="n">
        <f aca="false">Assumptions!$B$32</f>
        <v>11000</v>
      </c>
      <c r="J20" s="11" t="n">
        <f aca="false">Assumptions!$B$32</f>
        <v>11000</v>
      </c>
      <c r="K20" s="11" t="n">
        <f aca="false">Assumptions!$B$32</f>
        <v>11000</v>
      </c>
      <c r="L20" s="11" t="n">
        <f aca="false">Assumptions!$B$32</f>
        <v>11000</v>
      </c>
      <c r="M20" s="11" t="n">
        <f aca="false">Assumptions!$B$32</f>
        <v>11000</v>
      </c>
      <c r="N20" s="28" t="n">
        <f aca="false">SUM(B20:M20)</f>
        <v>132000</v>
      </c>
    </row>
    <row r="21" customFormat="false" ht="15" hidden="false" customHeight="false" outlineLevel="0" collapsed="false">
      <c r="A21" s="7" t="s">
        <v>83</v>
      </c>
      <c r="B21" s="11" t="n">
        <f aca="false">Assumptions!$B$33</f>
        <v>5000</v>
      </c>
      <c r="C21" s="11" t="n">
        <f aca="false">Assumptions!$B$33</f>
        <v>5000</v>
      </c>
      <c r="D21" s="11" t="n">
        <f aca="false">Assumptions!$B$33</f>
        <v>5000</v>
      </c>
      <c r="E21" s="11" t="n">
        <f aca="false">Assumptions!$B$33</f>
        <v>5000</v>
      </c>
      <c r="F21" s="11" t="n">
        <f aca="false">Assumptions!$B$33</f>
        <v>5000</v>
      </c>
      <c r="G21" s="11" t="n">
        <f aca="false">Assumptions!$B$33</f>
        <v>5000</v>
      </c>
      <c r="H21" s="11" t="n">
        <f aca="false">Assumptions!$B$33</f>
        <v>5000</v>
      </c>
      <c r="I21" s="11" t="n">
        <f aca="false">Assumptions!$B$33</f>
        <v>5000</v>
      </c>
      <c r="J21" s="11" t="n">
        <f aca="false">Assumptions!$B$33</f>
        <v>5000</v>
      </c>
      <c r="K21" s="11" t="n">
        <f aca="false">Assumptions!$B$33</f>
        <v>5000</v>
      </c>
      <c r="L21" s="11" t="n">
        <f aca="false">Assumptions!$B$33</f>
        <v>5000</v>
      </c>
      <c r="M21" s="11" t="n">
        <f aca="false">Assumptions!$B$33</f>
        <v>5000</v>
      </c>
      <c r="N21" s="28" t="n">
        <f aca="false">SUM(B21:M21)</f>
        <v>60000</v>
      </c>
    </row>
    <row r="22" customFormat="false" ht="15" hidden="false" customHeight="false" outlineLevel="0" collapsed="false">
      <c r="A22" s="7" t="s">
        <v>85</v>
      </c>
      <c r="B22" s="11" t="n">
        <f aca="false">Assumptions!$B$34</f>
        <v>9000</v>
      </c>
      <c r="C22" s="11" t="n">
        <f aca="false">Assumptions!$B$34</f>
        <v>9000</v>
      </c>
      <c r="D22" s="11" t="n">
        <f aca="false">Assumptions!$B$34</f>
        <v>9000</v>
      </c>
      <c r="E22" s="11" t="n">
        <f aca="false">Assumptions!$B$34</f>
        <v>9000</v>
      </c>
      <c r="F22" s="11" t="n">
        <f aca="false">Assumptions!$B$34</f>
        <v>9000</v>
      </c>
      <c r="G22" s="11" t="n">
        <f aca="false">Assumptions!$B$34</f>
        <v>9000</v>
      </c>
      <c r="H22" s="11" t="n">
        <f aca="false">Assumptions!$B$34</f>
        <v>9000</v>
      </c>
      <c r="I22" s="11" t="n">
        <f aca="false">Assumptions!$B$34</f>
        <v>9000</v>
      </c>
      <c r="J22" s="11" t="n">
        <f aca="false">Assumptions!$B$34</f>
        <v>9000</v>
      </c>
      <c r="K22" s="11" t="n">
        <f aca="false">Assumptions!$B$34</f>
        <v>9000</v>
      </c>
      <c r="L22" s="11" t="n">
        <f aca="false">Assumptions!$B$34</f>
        <v>9000</v>
      </c>
      <c r="M22" s="11" t="n">
        <f aca="false">Assumptions!$B$34</f>
        <v>9000</v>
      </c>
      <c r="N22" s="28" t="n">
        <f aca="false">SUM(B22:M22)</f>
        <v>108000</v>
      </c>
    </row>
    <row r="23" customFormat="false" ht="15" hidden="false" customHeight="false" outlineLevel="0" collapsed="false">
      <c r="A23" s="7" t="s">
        <v>142</v>
      </c>
      <c r="B23" s="11" t="n">
        <f aca="false">Assumptions!$B$35</f>
        <v>16000</v>
      </c>
      <c r="C23" s="11" t="n">
        <f aca="false">Assumptions!$B$35</f>
        <v>16000</v>
      </c>
      <c r="D23" s="11" t="n">
        <f aca="false">Assumptions!$B$35</f>
        <v>16000</v>
      </c>
      <c r="E23" s="11" t="n">
        <f aca="false">Assumptions!$B$35</f>
        <v>16000</v>
      </c>
      <c r="F23" s="11" t="n">
        <f aca="false">Assumptions!$B$35</f>
        <v>16000</v>
      </c>
      <c r="G23" s="11" t="n">
        <f aca="false">Assumptions!$B$35</f>
        <v>16000</v>
      </c>
      <c r="H23" s="11" t="n">
        <f aca="false">Assumptions!$B$35</f>
        <v>16000</v>
      </c>
      <c r="I23" s="11" t="n">
        <f aca="false">Assumptions!$B$35</f>
        <v>16000</v>
      </c>
      <c r="J23" s="11" t="n">
        <f aca="false">Assumptions!$B$35</f>
        <v>16000</v>
      </c>
      <c r="K23" s="11" t="n">
        <f aca="false">Assumptions!$B$35</f>
        <v>16000</v>
      </c>
      <c r="L23" s="11" t="n">
        <f aca="false">Assumptions!$B$35</f>
        <v>16000</v>
      </c>
      <c r="M23" s="11" t="n">
        <f aca="false">Assumptions!$B$35</f>
        <v>16000</v>
      </c>
      <c r="N23" s="28" t="n">
        <f aca="false">SUM(B23:M23)</f>
        <v>192000</v>
      </c>
    </row>
    <row r="24" customFormat="false" ht="15" hidden="false" customHeight="false" outlineLevel="0" collapsed="false">
      <c r="A24" s="7" t="s">
        <v>143</v>
      </c>
      <c r="B24" s="11" t="n">
        <f aca="false">Assumptions!$B$36</f>
        <v>6000</v>
      </c>
      <c r="C24" s="11" t="n">
        <f aca="false">Assumptions!$B$36</f>
        <v>6000</v>
      </c>
      <c r="D24" s="11" t="n">
        <f aca="false">Assumptions!$B$36</f>
        <v>6000</v>
      </c>
      <c r="E24" s="11" t="n">
        <f aca="false">Assumptions!$B$36</f>
        <v>6000</v>
      </c>
      <c r="F24" s="11" t="n">
        <f aca="false">Assumptions!$B$36</f>
        <v>6000</v>
      </c>
      <c r="G24" s="11" t="n">
        <f aca="false">Assumptions!$B$36</f>
        <v>6000</v>
      </c>
      <c r="H24" s="11" t="n">
        <f aca="false">Assumptions!$B$36</f>
        <v>6000</v>
      </c>
      <c r="I24" s="11" t="n">
        <f aca="false">Assumptions!$B$36</f>
        <v>6000</v>
      </c>
      <c r="J24" s="11" t="n">
        <f aca="false">Assumptions!$B$36</f>
        <v>6000</v>
      </c>
      <c r="K24" s="11" t="n">
        <f aca="false">Assumptions!$B$36</f>
        <v>6000</v>
      </c>
      <c r="L24" s="11" t="n">
        <f aca="false">Assumptions!$B$36</f>
        <v>6000</v>
      </c>
      <c r="M24" s="11" t="n">
        <f aca="false">Assumptions!$B$36</f>
        <v>6000</v>
      </c>
      <c r="N24" s="28" t="n">
        <f aca="false">SUM(B24:M24)</f>
        <v>72000</v>
      </c>
    </row>
    <row r="25" customFormat="false" ht="15" hidden="false" customHeight="false" outlineLevel="0" collapsed="false">
      <c r="A25" s="21" t="s">
        <v>144</v>
      </c>
      <c r="B25" s="22" t="n">
        <f aca="false">SUM(B15:B24)</f>
        <v>183392.664772453</v>
      </c>
      <c r="C25" s="22" t="n">
        <f aca="false">SUM(C15:C24)</f>
        <v>184808.55474404</v>
      </c>
      <c r="D25" s="22" t="n">
        <f aca="false">SUM(D15:D24)</f>
        <v>186245.683065201</v>
      </c>
      <c r="E25" s="22" t="n">
        <f aca="false">SUM(E15:E24)</f>
        <v>187704.368311179</v>
      </c>
      <c r="F25" s="22" t="n">
        <f aca="false">SUM(F15:F24)</f>
        <v>189184.933835846</v>
      </c>
      <c r="G25" s="22" t="n">
        <f aca="false">SUM(G15:G24)</f>
        <v>190687.707843384</v>
      </c>
      <c r="H25" s="22" t="n">
        <f aca="false">SUM(H15:H24)</f>
        <v>192213.023461035</v>
      </c>
      <c r="I25" s="22" t="n">
        <f aca="false">SUM(I15:I24)</f>
        <v>193761.21881295</v>
      </c>
      <c r="J25" s="22" t="n">
        <f aca="false">SUM(J15:J24)</f>
        <v>195332.637095144</v>
      </c>
      <c r="K25" s="22" t="n">
        <f aca="false">SUM(K15:K24)</f>
        <v>196927.626651572</v>
      </c>
      <c r="L25" s="22" t="n">
        <f aca="false">SUM(L15:L24)</f>
        <v>198546.541051345</v>
      </c>
      <c r="M25" s="22" t="n">
        <f aca="false">SUM(M15:M24)</f>
        <v>200189.739167115</v>
      </c>
      <c r="N25" s="23" t="n">
        <f aca="false">SUM(B25:M25)</f>
        <v>2298994.69881126</v>
      </c>
    </row>
    <row r="27" customFormat="false" ht="15" hidden="false" customHeight="false" outlineLevel="0" collapsed="false">
      <c r="A27" s="5" t="s">
        <v>145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false" outlineLevel="0" collapsed="false">
      <c r="A28" s="21" t="s">
        <v>146</v>
      </c>
      <c r="B28" s="22" t="n">
        <f aca="false">B10-B25</f>
        <v>32562.6296477889</v>
      </c>
      <c r="C28" s="22" t="n">
        <f aca="false">C10-C25</f>
        <v>34386.0690925056</v>
      </c>
      <c r="D28" s="22" t="n">
        <f aca="false">D10-D25</f>
        <v>36236.8601288932</v>
      </c>
      <c r="E28" s="22" t="n">
        <f aca="false">E10-E25</f>
        <v>38115.4130308266</v>
      </c>
      <c r="F28" s="22" t="n">
        <f aca="false">F10-F25</f>
        <v>40022.144226289</v>
      </c>
      <c r="G28" s="22" t="n">
        <f aca="false">G10-G25</f>
        <v>41957.4763896833</v>
      </c>
      <c r="H28" s="22" t="n">
        <f aca="false">H10-H25</f>
        <v>43921.8385355285</v>
      </c>
      <c r="I28" s="22" t="n">
        <f aca="false">I10-I25</f>
        <v>45915.6661135615</v>
      </c>
      <c r="J28" s="22" t="n">
        <f aca="false">J10-J25</f>
        <v>47939.4011052649</v>
      </c>
      <c r="K28" s="22" t="n">
        <f aca="false">K10-K25</f>
        <v>49993.4921218438</v>
      </c>
      <c r="L28" s="22" t="n">
        <f aca="false">L10-L25</f>
        <v>52078.3945036715</v>
      </c>
      <c r="M28" s="22" t="n">
        <f aca="false">M10-M25</f>
        <v>54194.5704212266</v>
      </c>
      <c r="N28" s="23" t="n">
        <f aca="false">SUM(B28:M28)</f>
        <v>517323.955317083</v>
      </c>
    </row>
    <row r="29" customFormat="false" ht="15" hidden="false" customHeight="false" outlineLevel="0" collapsed="false">
      <c r="A29" s="7" t="s">
        <v>147</v>
      </c>
      <c r="B29" s="17" t="n">
        <f aca="false">IFERROR(B28/B10,0)</f>
        <v>0.150784122867685</v>
      </c>
      <c r="C29" s="17" t="n">
        <f aca="false">IFERROR(C28/C10,0)</f>
        <v>0.156874600711683</v>
      </c>
      <c r="D29" s="17" t="n">
        <f aca="false">IFERROR(D28/D10,0)</f>
        <v>0.162875071493947</v>
      </c>
      <c r="E29" s="17" t="n">
        <f aca="false">IFERROR(E28/E10,0)</f>
        <v>0.168786865368099</v>
      </c>
      <c r="F29" s="17" t="n">
        <f aca="false">IFERROR(F28/F10,0)</f>
        <v>0.174611292830318</v>
      </c>
      <c r="G29" s="17" t="n">
        <f aca="false">IFERROR(G28/G10,0)</f>
        <v>0.180349645009843</v>
      </c>
      <c r="H29" s="17" t="n">
        <f aca="false">IFERROR(H28/H10,0)</f>
        <v>0.186003193955189</v>
      </c>
      <c r="I29" s="17" t="n">
        <f aca="false">IFERROR(I28/I10,0)</f>
        <v>0.191573192916121</v>
      </c>
      <c r="J29" s="17" t="n">
        <f aca="false">IFERROR(J28/J10,0)</f>
        <v>0.197060876621472</v>
      </c>
      <c r="K29" s="17" t="n">
        <f aca="false">IFERROR(K28/K10,0)</f>
        <v>0.202467461552853</v>
      </c>
      <c r="L29" s="17" t="n">
        <f aca="false">IFERROR(L28/L10,0)</f>
        <v>0.207794146214311</v>
      </c>
      <c r="M29" s="17" t="n">
        <f aca="false">IFERROR(M28/M10,0)</f>
        <v>0.213042111398015</v>
      </c>
      <c r="N29" s="18" t="n">
        <f aca="false">AVERAGE(B29:M29)</f>
        <v>0.182685215078295</v>
      </c>
    </row>
    <row r="30" customFormat="false" ht="15" hidden="false" customHeight="false" outlineLevel="0" collapsed="false">
      <c r="A30" s="7" t="s">
        <v>148</v>
      </c>
      <c r="B30" s="26" t="n">
        <f aca="false">B28*B11</f>
        <v>5275146.0029418</v>
      </c>
      <c r="C30" s="26" t="n">
        <f aca="false">C28*C11</f>
        <v>5570543.19298591</v>
      </c>
      <c r="D30" s="26" t="n">
        <f aca="false">D28*D11</f>
        <v>5870371.3408807</v>
      </c>
      <c r="E30" s="26" t="n">
        <f aca="false">E28*E11</f>
        <v>6174696.91099391</v>
      </c>
      <c r="F30" s="26" t="n">
        <f aca="false">F28*F11</f>
        <v>6483587.36465881</v>
      </c>
      <c r="G30" s="26" t="n">
        <f aca="false">G28*G11</f>
        <v>6797111.17512869</v>
      </c>
      <c r="H30" s="26" t="n">
        <f aca="false">H28*H11</f>
        <v>7115337.84275562</v>
      </c>
      <c r="I30" s="26" t="n">
        <f aca="false">I28*I11</f>
        <v>7438337.91039696</v>
      </c>
      <c r="J30" s="26" t="n">
        <f aca="false">J28*J11</f>
        <v>7766182.97905291</v>
      </c>
      <c r="K30" s="26" t="n">
        <f aca="false">K28*K11</f>
        <v>8098945.7237387</v>
      </c>
      <c r="L30" s="26" t="n">
        <f aca="false">L28*L11</f>
        <v>8436699.90959478</v>
      </c>
      <c r="M30" s="26" t="n">
        <f aca="false">M28*M11</f>
        <v>8779520.4082387</v>
      </c>
      <c r="N30" s="27" t="n">
        <f aca="false">SUM(B30:M30)</f>
        <v>83806480.7613675</v>
      </c>
    </row>
  </sheetData>
  <mergeCells count="3">
    <mergeCell ref="A1:N1"/>
    <mergeCell ref="A14:N14"/>
    <mergeCell ref="A27:N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21.75" hidden="false" customHeight="true" outlineLevel="0" collapsed="false">
      <c r="A1" s="1" t="s">
        <v>149</v>
      </c>
      <c r="B1" s="1"/>
      <c r="C1" s="1"/>
      <c r="D1" s="1"/>
    </row>
    <row r="3" customFormat="false" ht="15" hidden="false" customHeight="false" outlineLevel="0" collapsed="false">
      <c r="A3" s="6" t="s">
        <v>115</v>
      </c>
      <c r="B3" s="12" t="s">
        <v>150</v>
      </c>
      <c r="C3" s="12" t="s">
        <v>151</v>
      </c>
      <c r="D3" s="12" t="s">
        <v>152</v>
      </c>
    </row>
    <row r="4" customFormat="false" ht="15" hidden="false" customHeight="false" outlineLevel="0" collapsed="false">
      <c r="A4" s="21" t="s">
        <v>153</v>
      </c>
      <c r="B4" s="29" t="n">
        <f aca="false">'Monthly Model'!N4</f>
        <v>26017.2168043842</v>
      </c>
      <c r="C4" s="29" t="n">
        <f aca="false">B4*(1+Assumptions!$B$12)</f>
        <v>28618.9384848226</v>
      </c>
      <c r="D4" s="29" t="n">
        <f aca="false">C4*(1+Assumptions!$B$12)</f>
        <v>31480.8323333049</v>
      </c>
    </row>
    <row r="5" customFormat="false" ht="15" hidden="false" customHeight="false" outlineLevel="0" collapsed="false">
      <c r="A5" s="7" t="s">
        <v>154</v>
      </c>
      <c r="B5" s="30" t="n">
        <f aca="false">'Monthly Model'!N10/'Monthly Model'!N4</f>
        <v>108.248267879821</v>
      </c>
      <c r="C5" s="30" t="n">
        <f aca="false">B5</f>
        <v>108.248267879821</v>
      </c>
      <c r="D5" s="30" t="n">
        <f aca="false">B5</f>
        <v>108.248267879821</v>
      </c>
    </row>
    <row r="6" customFormat="false" ht="15" hidden="false" customHeight="false" outlineLevel="0" collapsed="false">
      <c r="A6" s="21" t="s">
        <v>134</v>
      </c>
      <c r="B6" s="22" t="n">
        <f aca="false">B4*B5</f>
        <v>2816318.65412835</v>
      </c>
      <c r="C6" s="22" t="n">
        <f aca="false">C4*C5</f>
        <v>3097950.51954118</v>
      </c>
      <c r="D6" s="22" t="n">
        <f aca="false">D4*D5</f>
        <v>3407745.5714953</v>
      </c>
    </row>
    <row r="7" customFormat="false" ht="15" hidden="false" customHeight="false" outlineLevel="0" collapsed="false">
      <c r="A7" s="7" t="s">
        <v>135</v>
      </c>
      <c r="B7" s="24" t="n">
        <f aca="false">Assumptions!$B$21</f>
        <v>162</v>
      </c>
      <c r="C7" s="24" t="n">
        <f aca="false">B7*(1+Assumptions!$B$22)</f>
        <v>174.96</v>
      </c>
      <c r="D7" s="24" t="n">
        <f aca="false">C7*(1+Assumptions!$B$22)</f>
        <v>188.9568</v>
      </c>
    </row>
    <row r="8" customFormat="false" ht="15" hidden="false" customHeight="false" outlineLevel="0" collapsed="false">
      <c r="A8" s="7" t="s">
        <v>136</v>
      </c>
      <c r="B8" s="26" t="n">
        <f aca="false">B6*B7</f>
        <v>456243621.968792</v>
      </c>
      <c r="C8" s="26" t="n">
        <f aca="false">C6*C7</f>
        <v>542017422.898925</v>
      </c>
      <c r="D8" s="26" t="n">
        <f aca="false">D6*D7</f>
        <v>643916698.403923</v>
      </c>
    </row>
    <row r="10" customFormat="false" ht="15" hidden="false" customHeight="false" outlineLevel="0" collapsed="false">
      <c r="A10" s="5" t="s">
        <v>137</v>
      </c>
      <c r="B10" s="5"/>
      <c r="C10" s="5"/>
      <c r="D10" s="5"/>
    </row>
    <row r="11" customFormat="false" ht="15" hidden="false" customHeight="false" outlineLevel="0" collapsed="false">
      <c r="A11" s="7" t="s">
        <v>69</v>
      </c>
      <c r="B11" s="11" t="n">
        <f aca="false">B6*Assumptions!$B$27</f>
        <v>619590.103908237</v>
      </c>
      <c r="C11" s="11" t="n">
        <f aca="false">C6*Assumptions!$B$27</f>
        <v>681549.11429906</v>
      </c>
      <c r="D11" s="11" t="n">
        <f aca="false">D6*Assumptions!$B$27</f>
        <v>749704.025728966</v>
      </c>
    </row>
    <row r="12" customFormat="false" ht="15" hidden="false" customHeight="false" outlineLevel="0" collapsed="false">
      <c r="A12" s="7" t="s">
        <v>72</v>
      </c>
      <c r="B12" s="11" t="n">
        <f aca="false">B4*Assumptions!$B$28</f>
        <v>234154.951239458</v>
      </c>
      <c r="C12" s="11" t="n">
        <f aca="false">C4*Assumptions!$B$28</f>
        <v>257570.446363403</v>
      </c>
      <c r="D12" s="11" t="n">
        <f aca="false">D4*Assumptions!$B$28</f>
        <v>283327.490999744</v>
      </c>
    </row>
    <row r="13" customFormat="false" ht="15" hidden="false" customHeight="false" outlineLevel="0" collapsed="false">
      <c r="A13" s="7" t="s">
        <v>138</v>
      </c>
      <c r="B13" s="11" t="n">
        <f aca="false">B4*Assumptions!$B$29</f>
        <v>143094.692424113</v>
      </c>
      <c r="C13" s="11" t="n">
        <f aca="false">C4*Assumptions!$B$29</f>
        <v>157404.161666524</v>
      </c>
      <c r="D13" s="11" t="n">
        <f aca="false">D4*Assumptions!$B$29</f>
        <v>173144.577833177</v>
      </c>
    </row>
    <row r="14" customFormat="false" ht="15" hidden="false" customHeight="false" outlineLevel="0" collapsed="false">
      <c r="A14" s="7" t="s">
        <v>139</v>
      </c>
      <c r="B14" s="11" t="n">
        <f aca="false">B4*Assumptions!$B$30</f>
        <v>234154.951239458</v>
      </c>
      <c r="C14" s="11" t="n">
        <f aca="false">C4*Assumptions!$B$30</f>
        <v>257570.446363403</v>
      </c>
      <c r="D14" s="11" t="n">
        <f aca="false">D4*Assumptions!$B$30</f>
        <v>283327.490999744</v>
      </c>
    </row>
    <row r="15" customFormat="false" ht="15" hidden="false" customHeight="false" outlineLevel="0" collapsed="false">
      <c r="A15" s="7" t="s">
        <v>155</v>
      </c>
      <c r="B15" s="11" t="n">
        <f aca="false">(Assumptions!$B$31+Assumptions!$B$32+Assumptions!$B$33+Assumptions!$B$34+Assumptions!$B$35+Assumptions!$B$36)*12</f>
        <v>1068000</v>
      </c>
      <c r="C15" s="11" t="n">
        <f aca="false">B15*(1+Assumptions!$B$37)</f>
        <v>1153440</v>
      </c>
      <c r="D15" s="11" t="n">
        <f aca="false">C15*(1+Assumptions!$B$37)</f>
        <v>1245715.2</v>
      </c>
    </row>
    <row r="16" customFormat="false" ht="15" hidden="false" customHeight="false" outlineLevel="0" collapsed="false">
      <c r="A16" s="21" t="s">
        <v>144</v>
      </c>
      <c r="B16" s="22" t="n">
        <f aca="false">SUM(B11:B15)</f>
        <v>2298994.69881126</v>
      </c>
      <c r="C16" s="22" t="n">
        <f aca="false">SUM(C11:C15)</f>
        <v>2507534.16869239</v>
      </c>
      <c r="D16" s="22" t="n">
        <f aca="false">SUM(D11:D15)</f>
        <v>2735218.78556163</v>
      </c>
    </row>
    <row r="18" customFormat="false" ht="15" hidden="false" customHeight="false" outlineLevel="0" collapsed="false">
      <c r="A18" s="5" t="s">
        <v>145</v>
      </c>
      <c r="B18" s="5"/>
      <c r="C18" s="5"/>
      <c r="D18" s="5"/>
    </row>
    <row r="19" customFormat="false" ht="15" hidden="false" customHeight="false" outlineLevel="0" collapsed="false">
      <c r="A19" s="21" t="s">
        <v>146</v>
      </c>
      <c r="B19" s="22" t="n">
        <f aca="false">B6-B16</f>
        <v>517323.955317083</v>
      </c>
      <c r="C19" s="22" t="n">
        <f aca="false">C6-C16</f>
        <v>590416.350848792</v>
      </c>
      <c r="D19" s="22" t="n">
        <f aca="false">D6-D16</f>
        <v>672526.785933671</v>
      </c>
    </row>
    <row r="20" customFormat="false" ht="15" hidden="false" customHeight="false" outlineLevel="0" collapsed="false">
      <c r="A20" s="7" t="s">
        <v>147</v>
      </c>
      <c r="B20" s="17" t="n">
        <f aca="false">IFERROR(B19/B6,0)</f>
        <v>0.183688005105088</v>
      </c>
      <c r="C20" s="17" t="n">
        <f aca="false">IFERROR(C19/C6,0)</f>
        <v>0.190582886048236</v>
      </c>
      <c r="D20" s="17" t="n">
        <f aca="false">IFERROR(D19/D6,0)</f>
        <v>0.197352405519691</v>
      </c>
    </row>
    <row r="21" customFormat="false" ht="15" hidden="false" customHeight="false" outlineLevel="0" collapsed="false">
      <c r="A21" s="7" t="s">
        <v>148</v>
      </c>
      <c r="B21" s="26" t="n">
        <f aca="false">B19*B7</f>
        <v>83806480.7613675</v>
      </c>
      <c r="C21" s="26" t="n">
        <f aca="false">C19*C7</f>
        <v>103299244.744505</v>
      </c>
      <c r="D21" s="26" t="n">
        <f aca="false">D19*D7</f>
        <v>127078509.384312</v>
      </c>
    </row>
    <row r="22" customFormat="false" ht="15" hidden="false" customHeight="false" outlineLevel="0" collapsed="false">
      <c r="A22" s="7" t="s">
        <v>156</v>
      </c>
      <c r="B22" s="11" t="n">
        <f aca="false">Assumptions!$B$45/Assumptions!$B$46</f>
        <v>597500</v>
      </c>
      <c r="C22" s="11" t="n">
        <f aca="false">B22</f>
        <v>597500</v>
      </c>
      <c r="D22" s="11" t="n">
        <f aca="false">B22</f>
        <v>597500</v>
      </c>
    </row>
    <row r="23" customFormat="false" ht="15" hidden="false" customHeight="false" outlineLevel="0" collapsed="false">
      <c r="A23" s="21" t="s">
        <v>157</v>
      </c>
      <c r="B23" s="22" t="n">
        <f aca="false">B19-B22</f>
        <v>-80176.0446829167</v>
      </c>
      <c r="C23" s="22" t="n">
        <f aca="false">C19-C22</f>
        <v>-7083.64915120835</v>
      </c>
      <c r="D23" s="22" t="n">
        <f aca="false">D19-D22</f>
        <v>75026.7859336711</v>
      </c>
    </row>
    <row r="25" customFormat="false" ht="27.75" hidden="false" customHeight="true" outlineLevel="0" collapsed="false">
      <c r="A25" s="31" t="s">
        <v>158</v>
      </c>
      <c r="B25" s="31"/>
      <c r="C25" s="31"/>
      <c r="D25" s="31"/>
    </row>
  </sheetData>
  <mergeCells count="4">
    <mergeCell ref="A1:D1"/>
    <mergeCell ref="A10:D10"/>
    <mergeCell ref="A18:D18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0"/>
  </cols>
  <sheetData>
    <row r="1" customFormat="false" ht="21.75" hidden="false" customHeight="true" outlineLevel="0" collapsed="false">
      <c r="A1" s="1" t="s">
        <v>159</v>
      </c>
      <c r="B1" s="1"/>
      <c r="C1" s="1"/>
      <c r="D1" s="1"/>
    </row>
    <row r="2" customFormat="false" ht="27.75" hidden="false" customHeight="true" outlineLevel="0" collapsed="false">
      <c r="A2" s="31" t="s">
        <v>160</v>
      </c>
      <c r="B2" s="31"/>
      <c r="C2" s="31"/>
      <c r="D2" s="31"/>
    </row>
    <row r="4" customFormat="false" ht="15" hidden="false" customHeight="false" outlineLevel="0" collapsed="false">
      <c r="A4" s="6" t="s">
        <v>161</v>
      </c>
      <c r="B4" s="32" t="s">
        <v>162</v>
      </c>
      <c r="C4" s="33" t="s">
        <v>163</v>
      </c>
      <c r="D4" s="34" t="s">
        <v>164</v>
      </c>
    </row>
    <row r="5" customFormat="false" ht="15" hidden="false" customHeight="false" outlineLevel="0" collapsed="false">
      <c r="A5" s="5" t="s">
        <v>165</v>
      </c>
      <c r="B5" s="5"/>
      <c r="C5" s="5"/>
      <c r="D5" s="5"/>
    </row>
    <row r="6" customFormat="false" ht="15" hidden="false" customHeight="false" outlineLevel="0" collapsed="false">
      <c r="A6" s="7" t="s">
        <v>166</v>
      </c>
      <c r="B6" s="35" t="n">
        <v>3500</v>
      </c>
      <c r="C6" s="35" t="n">
        <v>4300</v>
      </c>
      <c r="D6" s="35" t="n">
        <v>5200</v>
      </c>
    </row>
    <row r="7" customFormat="false" ht="15" hidden="false" customHeight="false" outlineLevel="0" collapsed="false">
      <c r="A7" s="7" t="s">
        <v>167</v>
      </c>
      <c r="B7" s="36" t="n">
        <v>0.35</v>
      </c>
      <c r="C7" s="36" t="n">
        <v>0.5</v>
      </c>
      <c r="D7" s="36" t="n">
        <v>0.67</v>
      </c>
    </row>
    <row r="8" customFormat="false" ht="15" hidden="false" customHeight="false" outlineLevel="0" collapsed="false">
      <c r="A8" s="7" t="s">
        <v>61</v>
      </c>
      <c r="B8" s="37" t="n">
        <v>175</v>
      </c>
      <c r="C8" s="37" t="n">
        <v>162</v>
      </c>
      <c r="D8" s="37" t="n">
        <v>155</v>
      </c>
    </row>
    <row r="9" customFormat="false" ht="15" hidden="false" customHeight="false" outlineLevel="0" collapsed="false">
      <c r="A9" s="7" t="s">
        <v>168</v>
      </c>
      <c r="B9" s="38" t="n">
        <v>1600</v>
      </c>
      <c r="C9" s="38" t="n">
        <v>1995</v>
      </c>
      <c r="D9" s="38" t="n">
        <v>2450</v>
      </c>
    </row>
    <row r="11" customFormat="false" ht="15" hidden="false" customHeight="false" outlineLevel="0" collapsed="false">
      <c r="A11" s="5" t="s">
        <v>169</v>
      </c>
      <c r="B11" s="5"/>
      <c r="C11" s="5"/>
      <c r="D11" s="5"/>
    </row>
    <row r="12" customFormat="false" ht="15" hidden="false" customHeight="false" outlineLevel="0" collapsed="false">
      <c r="A12" s="7" t="s">
        <v>170</v>
      </c>
      <c r="B12" s="19" t="n">
        <f aca="false">(B6/Assumptions!$B$17)*(1+B7)</f>
        <v>151.912164225891</v>
      </c>
      <c r="C12" s="19" t="n">
        <f aca="false">(C6/Assumptions!$B$17)*(1+C7)</f>
        <v>207.372160689312</v>
      </c>
      <c r="D12" s="19" t="n">
        <f aca="false">(D6/Assumptions!$B$17)*(1+D7)</f>
        <v>279.196874949765</v>
      </c>
    </row>
    <row r="13" customFormat="false" ht="15" hidden="false" customHeight="false" outlineLevel="0" collapsed="false">
      <c r="A13" s="7" t="s">
        <v>171</v>
      </c>
      <c r="B13" s="13" t="n">
        <f aca="false">B9*Assumptions!$B$9*Assumptions!$B$10</f>
        <v>835.2</v>
      </c>
      <c r="C13" s="13" t="n">
        <f aca="false">C9*Assumptions!$B$9*Assumptions!$B$10</f>
        <v>1041.39</v>
      </c>
      <c r="D13" s="13" t="n">
        <f aca="false">D9*Assumptions!$B$9*Assumptions!$B$10</f>
        <v>1278.9</v>
      </c>
    </row>
    <row r="14" customFormat="false" ht="15" hidden="false" customHeight="false" outlineLevel="0" collapsed="false">
      <c r="A14" s="21" t="s">
        <v>172</v>
      </c>
      <c r="B14" s="39" t="n">
        <f aca="false">B13*12*B12</f>
        <v>1522524.47473757</v>
      </c>
      <c r="C14" s="40" t="n">
        <f aca="false">C13*12*C12</f>
        <v>2591463.53304291</v>
      </c>
      <c r="D14" s="41" t="n">
        <f aca="false">D13*12*D12</f>
        <v>4284778.60047905</v>
      </c>
    </row>
    <row r="15" customFormat="false" ht="15" hidden="false" customHeight="false" outlineLevel="0" collapsed="false">
      <c r="A15" s="7" t="s">
        <v>69</v>
      </c>
      <c r="B15" s="11" t="n">
        <f aca="false">B14*Assumptions!$B$27</f>
        <v>334955.384442265</v>
      </c>
      <c r="C15" s="11" t="n">
        <f aca="false">C14*Assumptions!$B$27</f>
        <v>570121.977269439</v>
      </c>
      <c r="D15" s="11" t="n">
        <f aca="false">D14*Assumptions!$B$27</f>
        <v>942651.29210539</v>
      </c>
    </row>
    <row r="16" customFormat="false" ht="15" hidden="false" customHeight="false" outlineLevel="0" collapsed="false">
      <c r="A16" s="7" t="s">
        <v>72</v>
      </c>
      <c r="B16" s="11" t="n">
        <f aca="false">B9*12*Assumptions!$B$28</f>
        <v>172800</v>
      </c>
      <c r="C16" s="11" t="n">
        <f aca="false">C9*12*Assumptions!$B$28</f>
        <v>215460</v>
      </c>
      <c r="D16" s="11" t="n">
        <f aca="false">D9*12*Assumptions!$B$28</f>
        <v>264600</v>
      </c>
    </row>
    <row r="17" customFormat="false" ht="15" hidden="false" customHeight="false" outlineLevel="0" collapsed="false">
      <c r="A17" s="7" t="s">
        <v>173</v>
      </c>
      <c r="B17" s="11" t="n">
        <f aca="false">B9*12*Assumptions!$B$29</f>
        <v>105600</v>
      </c>
      <c r="C17" s="11" t="n">
        <f aca="false">C9*12*Assumptions!$B$29</f>
        <v>131670</v>
      </c>
      <c r="D17" s="11" t="n">
        <f aca="false">D9*12*Assumptions!$B$29</f>
        <v>161700</v>
      </c>
    </row>
    <row r="18" customFormat="false" ht="15" hidden="false" customHeight="false" outlineLevel="0" collapsed="false">
      <c r="A18" s="7" t="s">
        <v>139</v>
      </c>
      <c r="B18" s="11" t="n">
        <f aca="false">B9*12*Assumptions!$B$30</f>
        <v>172800</v>
      </c>
      <c r="C18" s="11" t="n">
        <f aca="false">C9*12*Assumptions!$B$30</f>
        <v>215460</v>
      </c>
      <c r="D18" s="11" t="n">
        <f aca="false">D9*12*Assumptions!$B$30</f>
        <v>264600</v>
      </c>
    </row>
    <row r="19" customFormat="false" ht="15" hidden="false" customHeight="false" outlineLevel="0" collapsed="false">
      <c r="A19" s="7" t="s">
        <v>174</v>
      </c>
      <c r="B19" s="11" t="n">
        <f aca="false">(Assumptions!$B$31+Assumptions!$B$32+Assumptions!$B$33+Assumptions!$B$34+Assumptions!$B$35+Assumptions!$B$36)*12</f>
        <v>1068000</v>
      </c>
      <c r="C19" s="11" t="n">
        <f aca="false">(Assumptions!$B$31+Assumptions!$B$32+Assumptions!$B$33+Assumptions!$B$34+Assumptions!$B$35+Assumptions!$B$36)*12</f>
        <v>1068000</v>
      </c>
      <c r="D19" s="11" t="n">
        <f aca="false">(Assumptions!$B$31+Assumptions!$B$32+Assumptions!$B$33+Assumptions!$B$34+Assumptions!$B$35+Assumptions!$B$36)*12</f>
        <v>1068000</v>
      </c>
    </row>
    <row r="20" customFormat="false" ht="15" hidden="false" customHeight="false" outlineLevel="0" collapsed="false">
      <c r="A20" s="21" t="s">
        <v>144</v>
      </c>
      <c r="B20" s="39" t="n">
        <f aca="false">SUM(B15:B19)</f>
        <v>1854155.38444227</v>
      </c>
      <c r="C20" s="40" t="n">
        <f aca="false">SUM(C15:C19)</f>
        <v>2200711.97726944</v>
      </c>
      <c r="D20" s="41" t="n">
        <f aca="false">SUM(D15:D19)</f>
        <v>2701551.29210539</v>
      </c>
    </row>
    <row r="21" customFormat="false" ht="15" hidden="false" customHeight="false" outlineLevel="0" collapsed="false">
      <c r="A21" s="21" t="s">
        <v>146</v>
      </c>
      <c r="B21" s="39" t="n">
        <f aca="false">B14-B20</f>
        <v>-331630.909704695</v>
      </c>
      <c r="C21" s="40" t="n">
        <f aca="false">C14-C20</f>
        <v>390751.555773466</v>
      </c>
      <c r="D21" s="41" t="n">
        <f aca="false">D14-D20</f>
        <v>1583227.30837366</v>
      </c>
    </row>
    <row r="22" customFormat="false" ht="15" hidden="false" customHeight="false" outlineLevel="0" collapsed="false">
      <c r="A22" s="7" t="s">
        <v>147</v>
      </c>
      <c r="B22" s="17" t="n">
        <f aca="false">IFERROR(B21/B14,0)</f>
        <v>-0.217816472054977</v>
      </c>
      <c r="C22" s="17" t="n">
        <f aca="false">IFERROR(C21/C14,0)</f>
        <v>0.150784122867685</v>
      </c>
      <c r="D22" s="17" t="n">
        <f aca="false">IFERROR(D21/D14,0)</f>
        <v>0.369500377031534</v>
      </c>
    </row>
    <row r="23" customFormat="false" ht="15" hidden="false" customHeight="false" outlineLevel="0" collapsed="false">
      <c r="A23" s="7" t="s">
        <v>175</v>
      </c>
      <c r="B23" s="26" t="n">
        <f aca="false">B14*B8</f>
        <v>266441783.079075</v>
      </c>
      <c r="C23" s="26" t="n">
        <f aca="false">C14*C8</f>
        <v>419817092.352951</v>
      </c>
      <c r="D23" s="26" t="n">
        <f aca="false">D14*D8</f>
        <v>664140683.074252</v>
      </c>
    </row>
  </sheetData>
  <mergeCells count="4">
    <mergeCell ref="A1:D1"/>
    <mergeCell ref="A2:D2"/>
    <mergeCell ref="A5:D5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21.75" hidden="false" customHeight="true" outlineLevel="0" collapsed="false">
      <c r="A1" s="1" t="s">
        <v>176</v>
      </c>
      <c r="B1" s="1"/>
      <c r="C1" s="1"/>
    </row>
    <row r="3" customFormat="false" ht="15" hidden="false" customHeight="false" outlineLevel="0" collapsed="false">
      <c r="A3" s="6" t="s">
        <v>115</v>
      </c>
      <c r="B3" s="12" t="s">
        <v>25</v>
      </c>
      <c r="C3" s="6" t="s">
        <v>177</v>
      </c>
    </row>
    <row r="4" customFormat="false" ht="15" hidden="false" customHeight="false" outlineLevel="0" collapsed="false">
      <c r="A4" s="5" t="s">
        <v>178</v>
      </c>
      <c r="B4" s="5"/>
      <c r="C4" s="5"/>
    </row>
    <row r="5" customFormat="false" ht="15" hidden="false" customHeight="false" outlineLevel="0" collapsed="false">
      <c r="A5" s="7" t="s">
        <v>179</v>
      </c>
      <c r="B5" s="13" t="n">
        <f aca="false">'Annual PL'!B4</f>
        <v>26017.2168043842</v>
      </c>
      <c r="C5" s="42" t="s">
        <v>180</v>
      </c>
    </row>
    <row r="6" customFormat="false" ht="15" hidden="false" customHeight="false" outlineLevel="0" collapsed="false">
      <c r="A6" s="7" t="s">
        <v>181</v>
      </c>
      <c r="B6" s="11" t="n">
        <f aca="false">B5*Assumptions!$B$29</f>
        <v>143094.692424113</v>
      </c>
      <c r="C6" s="42" t="s">
        <v>182</v>
      </c>
    </row>
    <row r="7" customFormat="false" ht="15" hidden="false" customHeight="false" outlineLevel="0" collapsed="false">
      <c r="A7" s="7" t="s">
        <v>183</v>
      </c>
      <c r="B7" s="11" t="n">
        <f aca="false">B6*(1-Assumptions!$B$51)</f>
        <v>138801.85165139</v>
      </c>
      <c r="C7" s="42" t="s">
        <v>184</v>
      </c>
    </row>
    <row r="8" customFormat="false" ht="22.35" hidden="false" customHeight="false" outlineLevel="0" collapsed="false">
      <c r="A8" s="7" t="s">
        <v>185</v>
      </c>
      <c r="B8" s="11" t="n">
        <f aca="false">B7/(1-Assumptions!$B$50)</f>
        <v>163296.296060458</v>
      </c>
      <c r="C8" s="42" t="s">
        <v>186</v>
      </c>
    </row>
    <row r="9" customFormat="false" ht="15" hidden="false" customHeight="false" outlineLevel="0" collapsed="false">
      <c r="A9" s="21" t="s">
        <v>187</v>
      </c>
      <c r="B9" s="22" t="n">
        <f aca="false">B8-B6</f>
        <v>20201.6036363453</v>
      </c>
      <c r="C9" s="42" t="s">
        <v>188</v>
      </c>
    </row>
    <row r="11" customFormat="false" ht="15" hidden="false" customHeight="false" outlineLevel="0" collapsed="false">
      <c r="A11" s="5" t="s">
        <v>189</v>
      </c>
      <c r="B11" s="5"/>
      <c r="C11" s="5"/>
    </row>
    <row r="12" customFormat="false" ht="15" hidden="false" customHeight="false" outlineLevel="0" collapsed="false">
      <c r="A12" s="7" t="s">
        <v>190</v>
      </c>
      <c r="B12" s="11" t="n">
        <f aca="false">'Annual PL'!B6</f>
        <v>2816318.65412835</v>
      </c>
      <c r="C12" s="42" t="s">
        <v>180</v>
      </c>
    </row>
    <row r="13" customFormat="false" ht="22.35" hidden="false" customHeight="false" outlineLevel="0" collapsed="false">
      <c r="A13" s="7" t="s">
        <v>191</v>
      </c>
      <c r="B13" s="11" t="n">
        <f aca="false">B12/(1-Assumptions!$B$53)</f>
        <v>2844766.31730136</v>
      </c>
      <c r="C13" s="42" t="s">
        <v>192</v>
      </c>
    </row>
    <row r="14" customFormat="false" ht="22.35" hidden="false" customHeight="false" outlineLevel="0" collapsed="false">
      <c r="A14" s="7" t="s">
        <v>193</v>
      </c>
      <c r="B14" s="11" t="n">
        <f aca="false">B13*(1-Assumptions!$B$52)</f>
        <v>2702528.00143629</v>
      </c>
      <c r="C14" s="42" t="s">
        <v>194</v>
      </c>
    </row>
    <row r="15" customFormat="false" ht="15" hidden="false" customHeight="false" outlineLevel="0" collapsed="false">
      <c r="A15" s="21" t="s">
        <v>195</v>
      </c>
      <c r="B15" s="22" t="n">
        <f aca="false">B12-B14</f>
        <v>113790.652692054</v>
      </c>
      <c r="C15" s="42" t="s">
        <v>196</v>
      </c>
    </row>
    <row r="17" customFormat="false" ht="15" hidden="false" customHeight="false" outlineLevel="0" collapsed="false">
      <c r="A17" s="5" t="s">
        <v>197</v>
      </c>
      <c r="B17" s="5"/>
      <c r="C17" s="5"/>
    </row>
    <row r="18" customFormat="false" ht="15" hidden="false" customHeight="false" outlineLevel="0" collapsed="false">
      <c r="A18" s="7" t="s">
        <v>198</v>
      </c>
      <c r="B18" s="11" t="n">
        <f aca="false">Assumptions!$B$36*12</f>
        <v>72000</v>
      </c>
      <c r="C18" s="42" t="s">
        <v>199</v>
      </c>
    </row>
    <row r="19" customFormat="false" ht="15" hidden="false" customHeight="false" outlineLevel="0" collapsed="false">
      <c r="A19" s="7" t="s">
        <v>200</v>
      </c>
      <c r="B19" s="11" t="n">
        <f aca="false">Assumptions!$B$44</f>
        <v>180000</v>
      </c>
      <c r="C19" s="42" t="s">
        <v>201</v>
      </c>
    </row>
    <row r="21" customFormat="false" ht="15" hidden="false" customHeight="false" outlineLevel="0" collapsed="false">
      <c r="A21" s="5" t="s">
        <v>202</v>
      </c>
      <c r="B21" s="5"/>
      <c r="C21" s="5"/>
    </row>
    <row r="22" customFormat="false" ht="15" hidden="false" customHeight="false" outlineLevel="0" collapsed="false">
      <c r="A22" s="21" t="s">
        <v>203</v>
      </c>
      <c r="B22" s="22" t="n">
        <f aca="false">B9+B15</f>
        <v>133992.2563284</v>
      </c>
      <c r="C22" s="42" t="s">
        <v>204</v>
      </c>
    </row>
    <row r="23" customFormat="false" ht="15" hidden="false" customHeight="false" outlineLevel="0" collapsed="false">
      <c r="A23" s="21" t="s">
        <v>205</v>
      </c>
      <c r="B23" s="22" t="n">
        <f aca="false">B22-B18</f>
        <v>61992.2563283997</v>
      </c>
      <c r="C23" s="42" t="s">
        <v>206</v>
      </c>
    </row>
    <row r="24" customFormat="false" ht="15" hidden="false" customHeight="false" outlineLevel="0" collapsed="false">
      <c r="A24" s="7" t="s">
        <v>207</v>
      </c>
      <c r="B24" s="11" t="n">
        <f aca="false">B23/12</f>
        <v>5166.02136069998</v>
      </c>
      <c r="C24" s="42" t="s">
        <v>208</v>
      </c>
    </row>
    <row r="25" customFormat="false" ht="15" hidden="false" customHeight="false" outlineLevel="0" collapsed="false">
      <c r="A25" s="21" t="s">
        <v>209</v>
      </c>
      <c r="B25" s="43" t="n">
        <f aca="false">IFERROR(B19/B24,0)</f>
        <v>34.8430615036425</v>
      </c>
      <c r="C25" s="42" t="s">
        <v>210</v>
      </c>
    </row>
    <row r="27" customFormat="false" ht="42" hidden="false" customHeight="true" outlineLevel="0" collapsed="false">
      <c r="A27" s="31" t="s">
        <v>211</v>
      </c>
      <c r="B27" s="31"/>
      <c r="C27" s="31"/>
    </row>
  </sheetData>
  <mergeCells count="6">
    <mergeCell ref="A1:C1"/>
    <mergeCell ref="A4:C4"/>
    <mergeCell ref="A11:C11"/>
    <mergeCell ref="A17:C17"/>
    <mergeCell ref="A21:C21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2026-09-27T15:45:49Z</dcterms:created>
  <dc:creator>openpyxl</dc:creator>
  <dc:description/>
  <dc:language>en-US</dc:language>
  <cp:lastModifiedBy/>
  <dcterms:modified xsi:type="dcterms:W3CDTF">2026-09-27T15:46:08Z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
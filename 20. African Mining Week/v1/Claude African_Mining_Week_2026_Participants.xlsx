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ganisations" sheetId="1" state="visible" r:id="rId3"/>
    <sheet name="People" sheetId="2" state="visible" r:id="rId4"/>
    <sheet name="Summary" sheetId="3" state="visible" r:id="rId5"/>
  </sheets>
  <definedNames>
    <definedName function="false" hidden="true" localSheetId="0" name="_xlnm._FilterDatabase" vbProcedure="false">Organisations!$A$1:$O$97</definedName>
    <definedName function="false" hidden="true" localSheetId="1" name="_xlnm._FilterDatabase" vbProcedure="false">People!$A$1:$H$77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<sst xmlns="http://schemas.openxmlformats.org/spreadsheetml/2006/main" count="2169" uniqueCount="723">
  <si>
    <t xml:space="preserve">Company Name</t>
  </si>
  <si>
    <t xml:space="preserve">Role at Event</t>
  </si>
  <si>
    <t xml:space="preserve">Sponsorship Tier (if any)</t>
  </si>
  <si>
    <t xml:space="preserve">Website</t>
  </si>
  <si>
    <t xml:space="preserve">Headquarters Country</t>
  </si>
  <si>
    <t xml:space="preserve">City</t>
  </si>
  <si>
    <t xml:space="preserve">Regions/Countries of Operation</t>
  </si>
  <si>
    <t xml:space="preserve">Business Type</t>
  </si>
  <si>
    <t xml:space="preserve">Commodities</t>
  </si>
  <si>
    <t xml:space="preserve">Business Size</t>
  </si>
  <si>
    <t xml:space="preserve">Listed/Private (ticker if listed)</t>
  </si>
  <si>
    <t xml:space="preserve">Brief Description</t>
  </si>
  <si>
    <t xml:space="preserve">Source URL</t>
  </si>
  <si>
    <t xml:space="preserve">Confidence</t>
  </si>
  <si>
    <t xml:space="preserve">Profile Source URL</t>
  </si>
  <si>
    <t xml:space="preserve">ABSA Bank</t>
  </si>
  <si>
    <t xml:space="preserve">Speaker organisation (1); Advisory Board organisation</t>
  </si>
  <si>
    <t xml:space="preserve">N/A</t>
  </si>
  <si>
    <t xml:space="preserve">https://www.absa.co.za</t>
  </si>
  <si>
    <t xml:space="preserve">South Africa</t>
  </si>
  <si>
    <t xml:space="preserve">Johannesburg</t>
  </si>
  <si>
    <t xml:space="preserve">Financier</t>
  </si>
  <si>
    <t xml:space="preserve">Large</t>
  </si>
  <si>
    <t xml:space="preserve">Listed (parent Absa Group Ltd, JSE: ABG)</t>
  </si>
  <si>
    <t xml:space="preserve">South African bank; its head of mining sits on the AMW advisory board and speaks on value-addition corridors.</t>
  </si>
  <si>
    <t xml:space="preserve">https://african-miningweek.com/attend/conference-speakers</t>
  </si>
  <si>
    <t xml:space="preserve">Confirmed</t>
  </si>
  <si>
    <t xml:space="preserve">ACE Geosynthetics</t>
  </si>
  <si>
    <t xml:space="preserve">Exhibitor</t>
  </si>
  <si>
    <t xml:space="preserve">Showcase Exhibitor</t>
  </si>
  <si>
    <t xml:space="preserve">Equipment/services supplier</t>
  </si>
  <si>
    <t xml:space="preserve">Geosynthetics supplier (business type inferred from the company name); no profile detail on the event site.</t>
  </si>
  <si>
    <t xml:space="preserve">https://african-miningweek.com/sponsors/ace-geosynthetics</t>
  </si>
  <si>
    <t xml:space="preserve">AFG Bank Mali</t>
  </si>
  <si>
    <t xml:space="preserve">Speaker organisation (1)</t>
  </si>
  <si>
    <t xml:space="preserve">Mali</t>
  </si>
  <si>
    <t xml:space="preserve">Malian bank; its Deputy Managing Director speaks on ASGM formalisation.</t>
  </si>
  <si>
    <t xml:space="preserve">Africa Finance Corporation (AFC)</t>
  </si>
  <si>
    <t xml:space="preserve">Sponsor (sponsors 'Enabling Africa's Value Addition Corridors' session); Speaker organisation (2)</t>
  </si>
  <si>
    <t xml:space="preserve">Silver Sponsor</t>
  </si>
  <si>
    <t xml:space="preserve">https://www.africafc.org</t>
  </si>
  <si>
    <t xml:space="preserve">Nigeria</t>
  </si>
  <si>
    <t xml:space="preserve">Lagos</t>
  </si>
  <si>
    <t xml:space="preserve">Pan-Africa</t>
  </si>
  <si>
    <t xml:space="preserve">Unlisted (multilateral development finance institution)</t>
  </si>
  <si>
    <t xml:space="preserve">Pan-African infrastructure and project-finance institution; delegation focuses on mining finance and beneficiation.</t>
  </si>
  <si>
    <t xml:space="preserve">https://african-miningweek.com/sponsors/africaa-finance-corporation | https://african-miningweek.com/attend/conference-speakers</t>
  </si>
  <si>
    <t xml:space="preserve">Africa Minerals Strategy Group (AMSG)</t>
  </si>
  <si>
    <t xml:space="preserve">Partner; Host of closed-door Natural Resources Leaders Roundtable (15 Oct); Speaker organisation (2); Advisory Board organisation</t>
  </si>
  <si>
    <t xml:space="preserve">Partner</t>
  </si>
  <si>
    <t xml:space="preserve">Policy/intergovernmental body</t>
  </si>
  <si>
    <t xml:space="preserve">Pan-African minerals strategy body and formal AMW 2026 partner; its Secretary General gives a keynote.</t>
  </si>
  <si>
    <t xml:space="preserve">https://african-miningweek.com/sponsors/africa-minerals-strategy-group | https://african-miningweek.com/attend/conference-speakers</t>
  </si>
  <si>
    <t xml:space="preserve">Africa50</t>
  </si>
  <si>
    <t xml:space="preserve">https://www.africa50.com</t>
  </si>
  <si>
    <t xml:space="preserve">Morocco</t>
  </si>
  <si>
    <t xml:space="preserve">Casablanca</t>
  </si>
  <si>
    <t xml:space="preserve">Unlisted (multilateral-backed)</t>
  </si>
  <si>
    <t xml:space="preserve">Pan-African infrastructure investment platform; its investment director speaks at the opening dialogue.</t>
  </si>
  <si>
    <t xml:space="preserve">Apeiron Investment Group</t>
  </si>
  <si>
    <t xml:space="preserve">Investment group; its head of natural resources is listed as a speaker.</t>
  </si>
  <si>
    <t xml:space="preserve">Argentine Embassy in South Africa</t>
  </si>
  <si>
    <t xml:space="preserve">Argentina</t>
  </si>
  <si>
    <t xml:space="preserve">South Africa (host country)</t>
  </si>
  <si>
    <t xml:space="preserve">Government agency</t>
  </si>
  <si>
    <t xml:space="preserve">N/A (diplomatic mission)</t>
  </si>
  <si>
    <t xml:space="preserve">Diplomatic mission; its Head of Mission speaks at the opening dialogue.</t>
  </si>
  <si>
    <t xml:space="preserve">https://african-miningweek.com/news/us-argentine-representatives-join-amw-2026-mineral-diplomacy-reshapes-supply-chains | https://african-miningweek.com/attend/conference-speakers</t>
  </si>
  <si>
    <t xml:space="preserve">ASAFO &amp; CO. (U.S.) LLP</t>
  </si>
  <si>
    <t xml:space="preserve">Professional services (legal/audit)</t>
  </si>
  <si>
    <t xml:space="preserve">Firm (LLP) whose managing partner is listed as a speaker; no further profile on the event site.</t>
  </si>
  <si>
    <t xml:space="preserve">Buenassa</t>
  </si>
  <si>
    <t xml:space="preserve">Democratic Republic of the Congo</t>
  </si>
  <si>
    <t xml:space="preserve">Refiner/processor</t>
  </si>
  <si>
    <t xml:space="preserve">Copper; Cobalt</t>
  </si>
  <si>
    <t xml:space="preserve">Company behind a copper-cobalt refinery project supporting DRC mineral beneficiation (per press-release headline).</t>
  </si>
  <si>
    <t xml:space="preserve">https://african-miningweek.com/news/drc-mineral-beneficiation-buenassa-highlights-need-smart-capital-strategic-partnerships | https://african-miningweek.com/attend/conference-speakers</t>
  </si>
  <si>
    <t xml:space="preserve">Chamber of Mines of Mali</t>
  </si>
  <si>
    <t xml:space="preserve">Partner; Showcase Exhibitor; Speaker organisation (1)</t>
  </si>
  <si>
    <t xml:space="preserve">Partner; Showcase Exhibitor</t>
  </si>
  <si>
    <t xml:space="preserve">Industry association</t>
  </si>
  <si>
    <t xml:space="preserve">Mali's mining industry chamber; its President speaks on the Africa Gold Forum panel.</t>
  </si>
  <si>
    <t xml:space="preserve">https://african-miningweek.com/sponsors/chamber-mines-mali | https://african-miningweek.com/attend/conference-speakers</t>
  </si>
  <si>
    <t xml:space="preserve">Chamber of Mines of Zimbabwe</t>
  </si>
  <si>
    <t xml:space="preserve">Zimbabwe</t>
  </si>
  <si>
    <t xml:space="preserve">Harare</t>
  </si>
  <si>
    <t xml:space="preserve">Zimbabwe's mining industry body; listed as an official AMW 2026 partner.</t>
  </si>
  <si>
    <t xml:space="preserve">https://african-miningweek.com/sponsors/chamber-mines-zimbabwe</t>
  </si>
  <si>
    <t xml:space="preserve">Chatham House</t>
  </si>
  <si>
    <t xml:space="preserve">https://www.chathamhouse.org</t>
  </si>
  <si>
    <t xml:space="preserve">United Kingdom</t>
  </si>
  <si>
    <t xml:space="preserve">London</t>
  </si>
  <si>
    <t xml:space="preserve">Research/data/NGO</t>
  </si>
  <si>
    <t xml:space="preserve">Non-profit</t>
  </si>
  <si>
    <t xml:space="preserve">London-based policy institute; a senior research fellow speaks on ASGM formalisation.</t>
  </si>
  <si>
    <t xml:space="preserve">CLC Solution</t>
  </si>
  <si>
    <t xml:space="preserve">Engineering/consulting</t>
  </si>
  <si>
    <t xml:space="preserve">Local-content consultancy (inferred from speaker title); its director speaks on critical supply.</t>
  </si>
  <si>
    <t xml:space="preserve">Clifford Chance LLP</t>
  </si>
  <si>
    <t xml:space="preserve">https://www.cliffordchance.com</t>
  </si>
  <si>
    <t xml:space="preserve">Private (LLP)</t>
  </si>
  <si>
    <t xml:space="preserve">Global law firm; a senior associate speaks on financing mineral infrastructure.</t>
  </si>
  <si>
    <t xml:space="preserve">https://african-miningweek.com/news/dentons-clifford-chance-spotlight-legal-pathways-mining-investment-amw-2026 | https://african-miningweek.com/attend/conference-speakers</t>
  </si>
  <si>
    <t xml:space="preserve">Colibri Business Development LLC</t>
  </si>
  <si>
    <t xml:space="preserve">Partner; Global stakeholder (logo); Speaker organisation (1)</t>
  </si>
  <si>
    <t xml:space="preserve">Business development firm and AMW 2026 partner; its founder-CEO speaks on local content in the mining supply chain.</t>
  </si>
  <si>
    <t xml:space="preserve">https://african-miningweek.com/sponsors/colibri-business-development-llc | https://african-miningweek.com/attend/conference-speakers</t>
  </si>
  <si>
    <t xml:space="preserve">Council for Geoscience</t>
  </si>
  <si>
    <t xml:space="preserve">Exhibitor; Delegation led by CEO Mosa Mabuza (press release)</t>
  </si>
  <si>
    <t xml:space="preserve">https://www.geoscience.org.za</t>
  </si>
  <si>
    <t xml:space="preserve">Pretoria</t>
  </si>
  <si>
    <t xml:space="preserve">State-owned (statutory body)</t>
  </si>
  <si>
    <t xml:space="preserve">South Africa's statutory geoscience institution; exhibiting, with its CEO to lead a delegation (press release, 15 Sept 2026).</t>
  </si>
  <si>
    <t xml:space="preserve">https://african-miningweek.com/sponsors/council-geoscience | https://african-miningweek.com/news/ceo-south-africas-council-geoscience-speak-amw-2026</t>
  </si>
  <si>
    <t xml:space="preserve">Critical Minerals Africa Group (CMAG)</t>
  </si>
  <si>
    <t xml:space="preserve">Partner; Speaker organisation (1); Advisory Board organisation</t>
  </si>
  <si>
    <t xml:space="preserve">Critical minerals</t>
  </si>
  <si>
    <t xml:space="preserve">Critical-minerals-focused group; its CEO and founder sits on the AMW advisory board and speaks on global investment in African value chains.</t>
  </si>
  <si>
    <t xml:space="preserve">https://african-miningweek.com/sponsors/critical-minerals-africa-group-cp69 | https://african-miningweek.com/attend/conference-speakers</t>
  </si>
  <si>
    <t xml:space="preserve">Dentons</t>
  </si>
  <si>
    <t xml:space="preserve">https://www.dentons.com</t>
  </si>
  <si>
    <t xml:space="preserve">Private</t>
  </si>
  <si>
    <t xml:space="preserve">Global law firm; a partner sits on the AMW advisory board and speaks on the energy, water and waste nexus.</t>
  </si>
  <si>
    <t xml:space="preserve">Egyptian Mineral Resources and Mining Industries Authority (MRMIA)</t>
  </si>
  <si>
    <t xml:space="preserve">Advisory Board organisation (per press release); Speaker organisation (1)</t>
  </si>
  <si>
    <t xml:space="preserve">Egypt</t>
  </si>
  <si>
    <t xml:space="preserve">Egypt's mineral resources authority (also called the Egyptian Mineral Resources Authority); its Chairman gives a keynote and joined the AMW advisory board.</t>
  </si>
  <si>
    <t xml:space="preserve">https://african-miningweek.com/news/egypts-mineral-resources-authority-chair-joins-amw-advisory-board | https://african-miningweek.com/attend/conference-speakers</t>
  </si>
  <si>
    <t xml:space="preserve">Embellie Advisory</t>
  </si>
  <si>
    <t xml:space="preserve">Partner; Speaker organisation (1)</t>
  </si>
  <si>
    <t xml:space="preserve">Advisory firm and AMW 2026 partner; its founder speaks on environmental and geopolitical risk in critical supply chains.</t>
  </si>
  <si>
    <t xml:space="preserve">https://african-miningweek.com/sponsors/embellie-advisory | https://african-miningweek.com/attend/conference-speakers</t>
  </si>
  <si>
    <t xml:space="preserve">Emor Capital</t>
  </si>
  <si>
    <t xml:space="preserve">Capital firm (inferred from name); its Managing Director speaks on junior-miner finance.</t>
  </si>
  <si>
    <t xml:space="preserve">Enabel</t>
  </si>
  <si>
    <t xml:space="preserve">https://www.enabel.be</t>
  </si>
  <si>
    <t xml:space="preserve">Belgium</t>
  </si>
  <si>
    <t xml:space="preserve">Brussels</t>
  </si>
  <si>
    <t xml:space="preserve">State-owned (Belgian development agency)</t>
  </si>
  <si>
    <t xml:space="preserve">Belgian development agency; its CEO speaks on value-addition corridors.</t>
  </si>
  <si>
    <t xml:space="preserve">Ethiopian Airlines</t>
  </si>
  <si>
    <t xml:space="preserve">https://www.ethiopianairlines.com</t>
  </si>
  <si>
    <t xml:space="preserve">Ethiopia</t>
  </si>
  <si>
    <t xml:space="preserve">Addis Ababa</t>
  </si>
  <si>
    <t xml:space="preserve">Logistics/transport</t>
  </si>
  <si>
    <t xml:space="preserve">State-owned (unlisted)</t>
  </si>
  <si>
    <t xml:space="preserve">Ethiopia's state-owned flag carrier and one of Africa's largest airlines; listed as an AMW 2026 partner.</t>
  </si>
  <si>
    <t xml:space="preserve">https://african-miningweek.com/sponsors/eithiopian-airlines</t>
  </si>
  <si>
    <t xml:space="preserve">Fortuna Mining Corporation</t>
  </si>
  <si>
    <t xml:space="preserve">https://fortunamining.com</t>
  </si>
  <si>
    <t xml:space="preserve">Canada</t>
  </si>
  <si>
    <t xml:space="preserve">Vancouver</t>
  </si>
  <si>
    <t xml:space="preserve">West Africa; Latin America</t>
  </si>
  <si>
    <t xml:space="preserve">Miner/producer</t>
  </si>
  <si>
    <t xml:space="preserve">Gold; Silver</t>
  </si>
  <si>
    <t xml:space="preserve">Listed (NYSE: FSM; TSX: FVI)</t>
  </si>
  <si>
    <t xml:space="preserve">Gold and silver producer; its VP for government and external affairs, West Africa, is listed as a speaker.</t>
  </si>
  <si>
    <t xml:space="preserve">Future Coal</t>
  </si>
  <si>
    <t xml:space="preserve">Listed as an AMW 2026 partner; the event site publishes no profile detail.</t>
  </si>
  <si>
    <t xml:space="preserve">https://african-miningweek.com/sponsors/future-coal</t>
  </si>
  <si>
    <t xml:space="preserve">Geolinks</t>
  </si>
  <si>
    <t xml:space="preserve">Exhibitor; Speaker organisation (1)</t>
  </si>
  <si>
    <t xml:space="preserve">Bronze Exhibitor</t>
  </si>
  <si>
    <t xml:space="preserve">SADC region</t>
  </si>
  <si>
    <t xml:space="preserve">Technology</t>
  </si>
  <si>
    <t xml:space="preserve">Provider of mine-safety technology for continuous monitoring of tailings storage facilities (per AMW interview); listed as Geolinks / Geolinks Services.</t>
  </si>
  <si>
    <t xml:space="preserve">https://african-miningweek.com/sponsors/geolinks | https://african-miningweek.com/attend/conference-speakers</t>
  </si>
  <si>
    <t xml:space="preserve">Gold Fields</t>
  </si>
  <si>
    <t xml:space="preserve">https://www.goldfields.com</t>
  </si>
  <si>
    <t xml:space="preserve">Gold; Copper</t>
  </si>
  <si>
    <t xml:space="preserve">Listed (JSE: GFI; NYSE: GFI)</t>
  </si>
  <si>
    <t xml:space="preserve">Global gold producer (spelled 'Goldfields' on the site); its EVP South Africa sits on the advisory board and speaks on the Africa Gold Forum panel.</t>
  </si>
  <si>
    <t xml:space="preserve">https://african-miningweek.com/news/gold-fields-benford-mokoatle-shape-gold-investment-agenda-african-mining-week | https://african-miningweek.com/attend/conference-speakers</t>
  </si>
  <si>
    <t xml:space="preserve">Gold Ore</t>
  </si>
  <si>
    <t xml:space="preserve">Company whose technical director speaks on junior-miner finance; no further profile on the event site.</t>
  </si>
  <si>
    <t xml:space="preserve">HLB CBS Group</t>
  </si>
  <si>
    <t xml:space="preserve">Listed as a Showcase Exhibitor; no profile detail on the event site.</t>
  </si>
  <si>
    <t xml:space="preserve">https://african-miningweek.com/sponsors/hlb-cbs-group</t>
  </si>
  <si>
    <t xml:space="preserve">Industrial Development Corporation (IDC)</t>
  </si>
  <si>
    <t xml:space="preserve">Global stakeholder (logo); Speaker organisation (1)</t>
  </si>
  <si>
    <t xml:space="preserve">https://www.idc.co.za</t>
  </si>
  <si>
    <t xml:space="preserve">South Africa's state-owned development finance institution; its head of mining and metals speaks on junior-miner finance.</t>
  </si>
  <si>
    <t xml:space="preserve">https://african-miningweek.com/sponsors/idc | https://african-miningweek.com/attend/conference-speakers</t>
  </si>
  <si>
    <t xml:space="preserve">KoBold Metals</t>
  </si>
  <si>
    <t xml:space="preserve">https://koboldmetals.com</t>
  </si>
  <si>
    <t xml:space="preserve">United States</t>
  </si>
  <si>
    <t xml:space="preserve">Berkeley</t>
  </si>
  <si>
    <t xml:space="preserve">Mine developer/explorer</t>
  </si>
  <si>
    <t xml:space="preserve">Critical minerals; Copper; Cobalt; Lithium; Nickel</t>
  </si>
  <si>
    <t xml:space="preserve">AI-driven mineral exploration company; its CEO speaks on AI and advanced technologies in mining.</t>
  </si>
  <si>
    <t xml:space="preserve">Kuphela</t>
  </si>
  <si>
    <t xml:space="preserve">https://african-miningweek.com/sponsors/kuphela</t>
  </si>
  <si>
    <t xml:space="preserve">Liberia Chamber of Mines</t>
  </si>
  <si>
    <t xml:space="preserve">Liberia</t>
  </si>
  <si>
    <t xml:space="preserve">Liberian mining industry chamber; its President is listed as a speaker.</t>
  </si>
  <si>
    <t xml:space="preserve">Makor Resources</t>
  </si>
  <si>
    <t xml:space="preserve">Zambia</t>
  </si>
  <si>
    <t xml:space="preserve">Copper</t>
  </si>
  <si>
    <t xml:space="preserve">Company with a copper strategy in Zambia and an ASM-integration focus (per press-release headlines); its CEO speaks on ASGM formalisation.</t>
  </si>
  <si>
    <t xml:space="preserve">https://african-miningweek.com/news/zambias-3-million-ton-copper-ambition-puts-regional-mining-hubs-focus | https://african-miningweek.com/attend/conference-speakers</t>
  </si>
  <si>
    <t xml:space="preserve">Minerals Council South Africa</t>
  </si>
  <si>
    <t xml:space="preserve">https://www.mineralscouncil.org.za</t>
  </si>
  <si>
    <t xml:space="preserve">South Africa's mining industry body; its CEO speaks at the opening dialogue.</t>
  </si>
  <si>
    <t xml:space="preserve">https://african-miningweek.com/news/minerals-council-ceo-joins-amw-south-africa-improves-sectorial-investment-climate-gpeo | https://african-miningweek.com/attend/conference-speakers</t>
  </si>
  <si>
    <t xml:space="preserve">Ministry of Mines and Energy, Liberia</t>
  </si>
  <si>
    <t xml:space="preserve">Liberia's mines and energy ministry; the Minister gives a keynote and joins the ministerial panel.</t>
  </si>
  <si>
    <t xml:space="preserve">Ministry of Mines and Geology, Central African Republic</t>
  </si>
  <si>
    <t xml:space="preserve">Central African Republic</t>
  </si>
  <si>
    <t xml:space="preserve">CAR's mines and geology ministry; the Minister gives a keynote and joins the ministerial panel.</t>
  </si>
  <si>
    <t xml:space="preserve">Ministry of Mines and Geology, Guinea</t>
  </si>
  <si>
    <t xml:space="preserve">Guinea</t>
  </si>
  <si>
    <t xml:space="preserve">Guinea's mines ministry; the Minister's Senior Adviser gives a keynote.</t>
  </si>
  <si>
    <t xml:space="preserve">https://african-miningweek.com/news/guineas-mining-advisor-highlight-simandou-led-growth-strategy-amw-2026 | https://african-miningweek.com/attend/conference-speakers</t>
  </si>
  <si>
    <t xml:space="preserve">Ministry of Mines and Mining Development, Zimbabwe</t>
  </si>
  <si>
    <t xml:space="preserve">Global stakeholder (logo); Government delegation (Minister gives keynote); Speaker organisation (1)</t>
  </si>
  <si>
    <t xml:space="preserve">Zimbabwe's mines ministry; Minister Dr. Polite Kambamura gives a keynote and joins the ministerial panel.</t>
  </si>
  <si>
    <t xml:space="preserve">https://african-miningweek.com/sponsors/republic-zimbabwe-ministry-mines-mining-development | https://african-miningweek.com/attend/conference-speakers</t>
  </si>
  <si>
    <t xml:space="preserve">Ministry of Mines, Democratic Republic of the Congo</t>
  </si>
  <si>
    <t xml:space="preserve">Global stakeholder (logo); Government delegation (Minister gives opening keynote); Speaker organisation (1)</t>
  </si>
  <si>
    <t xml:space="preserve">DRC mining ministry; Minister of Mines H.E. Louis Watum Kabamba gives an opening keynote and joins the ministerial panel.</t>
  </si>
  <si>
    <t xml:space="preserve">https://african-miningweek.com/sponsors/drc-ministry | https://african-miningweek.com/attend/conference-speakers</t>
  </si>
  <si>
    <t xml:space="preserve">Ministry of Mining, South Sudan</t>
  </si>
  <si>
    <t xml:space="preserve">South Sudan</t>
  </si>
  <si>
    <t xml:space="preserve">South Sudan's mining ministry; Minister Losuba Ludoru Wongo gives a keynote and joins the ministerial panel.</t>
  </si>
  <si>
    <t xml:space="preserve">https://african-miningweek.com/sponsors/republic-south-sudan-ministry | https://african-miningweek.com/attend/conference-speakers</t>
  </si>
  <si>
    <t xml:space="preserve">Moore Global</t>
  </si>
  <si>
    <t xml:space="preserve">Partner; Networking Cocktail sponsor (per programme); Speaker organisation (4)</t>
  </si>
  <si>
    <t xml:space="preserve">https://www.moore-global.com</t>
  </si>
  <si>
    <t xml:space="preserve">Global network</t>
  </si>
  <si>
    <t xml:space="preserve">Private (network of independent firms)</t>
  </si>
  <si>
    <t xml:space="preserve">Global accounting, audit and advisory network; its mining specialists speak on gold, junior-miner finance and national mining companies.</t>
  </si>
  <si>
    <t xml:space="preserve">https://african-miningweek.com/sponsors/moore-global | https://african-miningweek.com/attend/conference-speakers</t>
  </si>
  <si>
    <t xml:space="preserve">Naledi Mining Services Company</t>
  </si>
  <si>
    <t xml:space="preserve">Botswana</t>
  </si>
  <si>
    <t xml:space="preserve">Mining services company developing local mining talent in Botswana (per press-release headline); its CEO speaks on local content.</t>
  </si>
  <si>
    <t xml:space="preserve">https://african-miningweek.com/news/naledi-mining-services-ceo-joins-amw-2026-amid-technical-operational-expansion | https://african-miningweek.com/attend/conference-speakers</t>
  </si>
  <si>
    <t xml:space="preserve">National Committee for Local Content Monitoring (ST-CNSCL), Republic of Senegal</t>
  </si>
  <si>
    <t xml:space="preserve">Senegal</t>
  </si>
  <si>
    <t xml:space="preserve">Senegalese state body monitoring local content; its Technical Secretary is listed as a speaker.</t>
  </si>
  <si>
    <t xml:space="preserve">Natural Resource Governance Institute (NRGI)</t>
  </si>
  <si>
    <t xml:space="preserve">https://resourcegovernance.org</t>
  </si>
  <si>
    <t xml:space="preserve">New York</t>
  </si>
  <si>
    <t xml:space="preserve">Non-profit promoting good governance of oil, gas and mineral resources; its Africa energy transition advisor is listed as a speaker.</t>
  </si>
  <si>
    <t xml:space="preserve">Peta Attorneys</t>
  </si>
  <si>
    <t xml:space="preserve">Law firm (inferred from the name) listed as a Showcase Exhibitor.</t>
  </si>
  <si>
    <t xml:space="preserve">https://african-miningweek.com/sponsors/peta-attorneys</t>
  </si>
  <si>
    <t xml:space="preserve">Project Blue</t>
  </si>
  <si>
    <t xml:space="preserve">Commodity market-intelligence consultancy; a senior analyst speaks on the energy, water and waste nexus.</t>
  </si>
  <si>
    <t xml:space="preserve">https://african-miningweek.com/sponsors/project-blue-k2a2 | https://african-miningweek.com/attend/conference-speakers</t>
  </si>
  <si>
    <t xml:space="preserve">Rand Refinery</t>
  </si>
  <si>
    <t xml:space="preserve">Sponsor; Speaker organisation (2)</t>
  </si>
  <si>
    <t xml:space="preserve">https://www.randrefinery.com</t>
  </si>
  <si>
    <t xml:space="preserve">Germiston</t>
  </si>
  <si>
    <t xml:space="preserve">Private (unlisted)</t>
  </si>
  <si>
    <t xml:space="preserve">South African precious-metals refinery; speaks on gold refining investment, responsible sourcing and ASM formalisation.</t>
  </si>
  <si>
    <t xml:space="preserve">https://african-miningweek.com/sponsors/rand-refinery | https://african-miningweek.com/attend/conference-speakers</t>
  </si>
  <si>
    <t xml:space="preserve">Reserve Bank of Zimbabwe</t>
  </si>
  <si>
    <t xml:space="preserve">https://www.rbz.co.zw</t>
  </si>
  <si>
    <t xml:space="preserve">State-owned (central bank)</t>
  </si>
  <si>
    <t xml:space="preserve">Zimbabwe's central bank; its Deputy Governor speaks on refining investment.</t>
  </si>
  <si>
    <t xml:space="preserve">S&amp;P Global Energy</t>
  </si>
  <si>
    <t xml:space="preserve">Partner; Speaker organisation (5)</t>
  </si>
  <si>
    <t xml:space="preserve">https://www.spglobal.com</t>
  </si>
  <si>
    <t xml:space="preserve">Multiple</t>
  </si>
  <si>
    <t xml:space="preserve">Listed (parent S&amp;P Global Inc., NYSE: SPGI)</t>
  </si>
  <si>
    <t xml:space="preserve">Energy and commodities market-intelligence division of S&amp;P Global; hosts a CERAWeek Leadership Circle roundtable and speaks on critical minerals.</t>
  </si>
  <si>
    <t xml:space="preserve">https://african-miningweek.com/sponsors/sp-global-energy | https://african-miningweek.com/attend/conference-speakers</t>
  </si>
  <si>
    <t xml:space="preserve">SA-DRC Chamber of Mines</t>
  </si>
  <si>
    <t xml:space="preserve">South Africa; Democratic Republic of the Congo</t>
  </si>
  <si>
    <t xml:space="preserve">Bilateral South Africa–DRC chamber; the speaker listing names its Executive Chairman's body 'SA-DRC Chamber of Commerce' (treated as the same entity).</t>
  </si>
  <si>
    <t xml:space="preserve">https://african-miningweek.com/sponsors/sa-drc-chamber-mines | https://african-miningweek.com/attend/conference-speakers</t>
  </si>
  <si>
    <t xml:space="preserve">Sankofa Capital Advisory</t>
  </si>
  <si>
    <t xml:space="preserve">Capital advisory firm (inferred from name); its founder is listed as a speaker.</t>
  </si>
  <si>
    <t xml:space="preserve">Smart Innovations Ghana Limited</t>
  </si>
  <si>
    <t xml:space="preserve">Exhibitor; Speaker organisation (2)</t>
  </si>
  <si>
    <t xml:space="preserve">Ghana</t>
  </si>
  <si>
    <t xml:space="preserve">Ghana-based technology firm (site lists it as 'Smart Innovation Ghana'); its CEO and CTO speak on AI across the mining value chain.</t>
  </si>
  <si>
    <t xml:space="preserve">https://african-miningweek.com/sponsors/smart-innovation-ghana | https://african-miningweek.com/attend/conference-speakers</t>
  </si>
  <si>
    <t xml:space="preserve">Standard Bank</t>
  </si>
  <si>
    <t xml:space="preserve">https://www.standardbank.com</t>
  </si>
  <si>
    <t xml:space="preserve">Listed (Standard Bank Group, JSE: SBK)</t>
  </si>
  <si>
    <t xml:space="preserve">Pan-African bank; its Executive Head for Energy, Infrastructure &amp; Mining sits on the AMW advisory board.</t>
  </si>
  <si>
    <t xml:space="preserve">Sustainable Partnerships Ltd.</t>
  </si>
  <si>
    <t xml:space="preserve">Firm whose managing partner is listed as a speaker; no further profile on the event site.</t>
  </si>
  <si>
    <t xml:space="preserve">Trade and Development Bank (TDB)</t>
  </si>
  <si>
    <t xml:space="preserve">https://www.tdbgroup.org</t>
  </si>
  <si>
    <t xml:space="preserve">Kenya</t>
  </si>
  <si>
    <t xml:space="preserve">Nairobi</t>
  </si>
  <si>
    <t xml:space="preserve">Unlisted (multilateral development bank)</t>
  </si>
  <si>
    <t xml:space="preserve">Regional development bank; its head of project finance speaks on mineral infrastructure financing.</t>
  </si>
  <si>
    <t xml:space="preserve">Transnet Freight Rail (TFR)</t>
  </si>
  <si>
    <t xml:space="preserve">https://www.transnet.net</t>
  </si>
  <si>
    <t xml:space="preserve">State-owned (subsidiary of Transnet SOC Ltd)</t>
  </si>
  <si>
    <t xml:space="preserve">South Africa's state freight rail operator; its Chief Executive speaks on rail reform and mineral infrastructure.</t>
  </si>
  <si>
    <t xml:space="preserve">https://african-miningweek.com/news/transnet-freight-rail-ceo-spotlight-south-africas-rail-reform-amw-2026 | https://african-miningweek.com/attend/conference-speakers</t>
  </si>
  <si>
    <t xml:space="preserve">Typhoon Group</t>
  </si>
  <si>
    <t xml:space="preserve">Sponsor; Speaker organisation (1)</t>
  </si>
  <si>
    <t xml:space="preserve">Associate Sponsor</t>
  </si>
  <si>
    <t xml:space="preserve">Associate sponsor; its CEO presents on ASGM formalisation (programme names 'Typhoon Greenfield Development LTD').</t>
  </si>
  <si>
    <t xml:space="preserve">https://african-miningweek.com/sponsors/typhoon | https://african-miningweek.com/attend/conference-speakers</t>
  </si>
  <si>
    <t xml:space="preserve">U.S. Commercial Service (U.S. Department of Commerce / ITA)</t>
  </si>
  <si>
    <t xml:space="preserve">https://www.trade.gov</t>
  </si>
  <si>
    <t xml:space="preserve">Washington, D.C.</t>
  </si>
  <si>
    <t xml:space="preserve">State-owned (US government agency)</t>
  </si>
  <si>
    <t xml:space="preserve">US government trade-promotion arm; its Principal Commercial Officer joins the U.S.–Africa Roundtable.</t>
  </si>
  <si>
    <t xml:space="preserve">U.S. International Development Finance Corporation (DFC)</t>
  </si>
  <si>
    <t xml:space="preserve">https://www.dfc.gov</t>
  </si>
  <si>
    <t xml:space="preserve">US development finance institution; its regional head for Africa speaks at the opening dialogue and the U.S.–Africa Roundtable.</t>
  </si>
  <si>
    <t xml:space="preserve">Uganda Chamber of Energy and Minerals</t>
  </si>
  <si>
    <t xml:space="preserve">Uganda</t>
  </si>
  <si>
    <t xml:space="preserve">Ugandan energy and minerals industry chamber; its CEO speaks on ASGM formalisation.</t>
  </si>
  <si>
    <t xml:space="preserve">https://african-miningweek.com/sponsors/uganda-chamber-energy-minerals | https://african-miningweek.com/attend/conference-speakers</t>
  </si>
  <si>
    <t xml:space="preserve">United Scientific Pty Ltd</t>
  </si>
  <si>
    <t xml:space="preserve">https://african-miningweek.com/sponsors/united-scientific-pty</t>
  </si>
  <si>
    <t xml:space="preserve">UR Energy Limited (UR Xenergi Limited Tanzania)</t>
  </si>
  <si>
    <t xml:space="preserve">Tanzania</t>
  </si>
  <si>
    <t xml:space="preserve">Energy/power</t>
  </si>
  <si>
    <t xml:space="preserve">Power-focused company (per press-release headline) whose founder speaks on infrastructure for value-addition corridors.</t>
  </si>
  <si>
    <t xml:space="preserve">https://african-miningweek.com/news/ur-energys-abel-manumbu-brings-regional-power-focus-amw-2026 | https://african-miningweek.com/attend/conference-speakers</t>
  </si>
  <si>
    <t xml:space="preserve">Vumila Intelligence</t>
  </si>
  <si>
    <t xml:space="preserve">Firm whose founder-CEO speaks on local content; no further profile on the event site.</t>
  </si>
  <si>
    <t xml:space="preserve">World Mining Investment</t>
  </si>
  <si>
    <t xml:space="preserve">Global stakeholder (logo); Speaker organisation (1); Advisory Board organisation</t>
  </si>
  <si>
    <t xml:space="preserve">Investment-focused firm; its CEO Didier Rault sits on the AMW advisory board.</t>
  </si>
  <si>
    <t xml:space="preserve">https://african-miningweek.com/sponsors/world-mining-investment | https://african-miningweek.com/attend/conference-speakers</t>
  </si>
  <si>
    <t xml:space="preserve">World Nuclear Association</t>
  </si>
  <si>
    <t xml:space="preserve">https://world-nuclear.org</t>
  </si>
  <si>
    <t xml:space="preserve">Uranium</t>
  </si>
  <si>
    <t xml:space="preserve">Non-profit association</t>
  </si>
  <si>
    <t xml:space="preserve">International industry association for the nuclear sector; its Director General speaks on linking African uranium to nuclear power.</t>
  </si>
  <si>
    <t xml:space="preserve">https://african-miningweek.com/sponsors/world-nuclear-association | https://african-miningweek.com/attend/conference-speakers</t>
  </si>
  <si>
    <t xml:space="preserve">Zambia Chamber of Mines</t>
  </si>
  <si>
    <t xml:space="preserve">Zambian mining industry chamber; its CEO speaks on mineral infrastructure financing.</t>
  </si>
  <si>
    <t xml:space="preserve">Zijin Golden Ridge Limited</t>
  </si>
  <si>
    <t xml:space="preserve">Company whose finance senior manager speaks on the Africa Gold Forum panel; no further profile on the event site.</t>
  </si>
  <si>
    <t xml:space="preserve">Zimbabwe Environmental Law Organisation (ZELO)</t>
  </si>
  <si>
    <t xml:space="preserve">Zimbabwean environmental law organisation; its Executive Director is listed as a speaker.</t>
  </si>
  <si>
    <t xml:space="preserve">African Mining Market</t>
  </si>
  <si>
    <t xml:space="preserve">Media partner (page carries 2025 wording; 2026 status unconfirmed)</t>
  </si>
  <si>
    <t xml:space="preserve">Media/communications</t>
  </si>
  <si>
    <t xml:space="preserve">Mining media outlet listed on the media partners page.</t>
  </si>
  <si>
    <t xml:space="preserve">https://african-miningweek.com/latest-news/media-partners</t>
  </si>
  <si>
    <t xml:space="preserve">Likely</t>
  </si>
  <si>
    <t xml:space="preserve">Argus Media</t>
  </si>
  <si>
    <t xml:space="preserve">https://www.argusmedia.com</t>
  </si>
  <si>
    <t xml:space="preserve">Price-reporting and commodity-market intelligence publisher listed on the media partners page.</t>
  </si>
  <si>
    <t xml:space="preserve">Business Enquirer</t>
  </si>
  <si>
    <t xml:space="preserve">Media outlet listed on the media partners page.</t>
  </si>
  <si>
    <t xml:space="preserve">Creamer Media's Mining Weekly</t>
  </si>
  <si>
    <t xml:space="preserve">https://www.miningweekly.com</t>
  </si>
  <si>
    <t xml:space="preserve">South African mining trade publication (Creamer Media) listed on the media partners page.</t>
  </si>
  <si>
    <t xml:space="preserve">Department of Planning, Monitoring and Evaluation, South Africa</t>
  </si>
  <si>
    <t xml:space="preserve">Government delegation (Deputy Minister confirmed as speaker, press release)</t>
  </si>
  <si>
    <t xml:space="preserve">South African government department; Deputy Minister Seiso Joel Mohai confirmed as a speaker per an organiser press release (19 Aug 2026).</t>
  </si>
  <si>
    <t xml:space="preserve">https://african-miningweek.com/news/south-africas-deputy-minister-planning-seiso-mohai-confirmed-amw-2026-speaker</t>
  </si>
  <si>
    <t xml:space="preserve">Global Investor Media</t>
  </si>
  <si>
    <t xml:space="preserve">Global Mining Review</t>
  </si>
  <si>
    <t xml:space="preserve">https://www.globalminingreview.com</t>
  </si>
  <si>
    <t xml:space="preserve">International mining trade magazine listed on the media partners page.</t>
  </si>
  <si>
    <t xml:space="preserve">https://african-miningweek.com/latest-news/media-partners | https://african-miningweek.com/sponsors/global-mining-review</t>
  </si>
  <si>
    <t xml:space="preserve">Hibarri</t>
  </si>
  <si>
    <t xml:space="preserve">Global stakeholder (logo)</t>
  </si>
  <si>
    <t xml:space="preserve">Shown among AMW 2026 'global stakeholders' with no stated role; no profile on the event site.</t>
  </si>
  <si>
    <t xml:space="preserve">https://african-miningweek.com/sponsors/hibarri</t>
  </si>
  <si>
    <t xml:space="preserve">International Renewable Energy Agency (IRENA)</t>
  </si>
  <si>
    <t xml:space="preserve">https://www.irena.org</t>
  </si>
  <si>
    <t xml:space="preserve">United Arab Emirates</t>
  </si>
  <si>
    <t xml:space="preserve">Abu Dhabi</t>
  </si>
  <si>
    <t xml:space="preserve">N/A (intergovernmental organisation)</t>
  </si>
  <si>
    <t xml:space="preserve">Intergovernmental agency supporting renewable-energy adoption; shown among AMW 2026 'global stakeholders'.</t>
  </si>
  <si>
    <t xml:space="preserve">https://african-miningweek.com/sponsors/irena</t>
  </si>
  <si>
    <t xml:space="preserve">Isondo Precious Metals</t>
  </si>
  <si>
    <t xml:space="preserve">https://african-miningweek.com/sponsors/isondo-precious-metals</t>
  </si>
  <si>
    <t xml:space="preserve">Ivanhoe Mines</t>
  </si>
  <si>
    <t xml:space="preserve">https://www.ivanhoemines.com</t>
  </si>
  <si>
    <t xml:space="preserve">Democratic Republic of the Congo; South Africa</t>
  </si>
  <si>
    <t xml:space="preserve">Copper; PGMs; Zinc</t>
  </si>
  <si>
    <t xml:space="preserve">Listed (TSX: IVN)</t>
  </si>
  <si>
    <t xml:space="preserve">Canadian-headquartered mining company developing and operating copper, platinum-group-metals and zinc projects in Africa.</t>
  </si>
  <si>
    <t xml:space="preserve">https://african-miningweek.com/sponsors/invanhoe-mines</t>
  </si>
  <si>
    <t xml:space="preserve">Media Xpose</t>
  </si>
  <si>
    <t xml:space="preserve">Minexx</t>
  </si>
  <si>
    <t xml:space="preserve">https://african-miningweek.com/sponsors/minexx</t>
  </si>
  <si>
    <t xml:space="preserve">Mining News Zambia</t>
  </si>
  <si>
    <t xml:space="preserve">Zambian mining news outlet listed on the media partners page.</t>
  </si>
  <si>
    <t xml:space="preserve">Mining Zimbabwe</t>
  </si>
  <si>
    <t xml:space="preserve">Zimbabwean mining news outlet listed on the media partners page.</t>
  </si>
  <si>
    <t xml:space="preserve">Ministry of Mines, Chad</t>
  </si>
  <si>
    <t xml:space="preserve">Chad</t>
  </si>
  <si>
    <t xml:space="preserve">Chad's mining ministry; shown among AMW 2026 'global stakeholders' with no stated role.</t>
  </si>
  <si>
    <t xml:space="preserve">https://african-miningweek.com/sponsors/chad-ministry-mines</t>
  </si>
  <si>
    <t xml:space="preserve">Ministry of Mining, Malawi</t>
  </si>
  <si>
    <t xml:space="preserve">Malawi</t>
  </si>
  <si>
    <t xml:space="preserve">Malawi's mining ministry; shown among AMW 2026 'global stakeholders' with no stated role.</t>
  </si>
  <si>
    <t xml:space="preserve">https://african-miningweek.com/sponsors/republic-malawi-ministry-mining</t>
  </si>
  <si>
    <t xml:space="preserve">Ministry of Solid Minerals Development, Nigeria</t>
  </si>
  <si>
    <t xml:space="preserve">Government delegation (Minister confirmed participation, press release)</t>
  </si>
  <si>
    <t xml:space="preserve">Nigeria's solid-minerals ministry; Minister Dr. Dele Alake confirmed participation per an organiser press release (25 Jun 2026).</t>
  </si>
  <si>
    <t xml:space="preserve">https://african-miningweek.com/news/nigeria-deepens-continental-mining-leadership-minister-dr-dele-alake-confirms-participation-african-mining-week-2026</t>
  </si>
  <si>
    <t xml:space="preserve">NSDV Law</t>
  </si>
  <si>
    <t xml:space="preserve">Law firm (inferred from the name); shown among AMW 2026 'global stakeholders'.</t>
  </si>
  <si>
    <t xml:space="preserve">https://african-miningweek.com/sponsors/nsdv-law</t>
  </si>
  <si>
    <t xml:space="preserve">Pensana Plc</t>
  </si>
  <si>
    <t xml:space="preserve">https://www.pensana.co.uk</t>
  </si>
  <si>
    <t xml:space="preserve">Angola; United Kingdom</t>
  </si>
  <si>
    <t xml:space="preserve">Rare earths</t>
  </si>
  <si>
    <t xml:space="preserve">Listed (LSE: PRE)</t>
  </si>
  <si>
    <t xml:space="preserve">Rare-earths developer building the Longonjo project in Angola and a processing hub in the UK.</t>
  </si>
  <si>
    <t xml:space="preserve">https://african-miningweek.com/sponsors/pensana-plc</t>
  </si>
  <si>
    <t xml:space="preserve">PwC</t>
  </si>
  <si>
    <t xml:space="preserve">https://www.pwc.com</t>
  </si>
  <si>
    <t xml:space="preserve">Private (partnership network)</t>
  </si>
  <si>
    <t xml:space="preserve">Global audit, tax and advisory network; shown among AMW 2026 'global stakeholders'.</t>
  </si>
  <si>
    <t xml:space="preserve">https://african-miningweek.com/sponsors/pwc</t>
  </si>
  <si>
    <t xml:space="preserve">R&amp;A Strategic Communications</t>
  </si>
  <si>
    <t xml:space="preserve">Global stakeholder (logo); Media partner</t>
  </si>
  <si>
    <t xml:space="preserve">Communications firm shown both as a 'global stakeholder' and as a media partner.</t>
  </si>
  <si>
    <t xml:space="preserve">https://african-miningweek.com/sponsors/r-strategic-communications | https://african-miningweek.com/latest-news/media-partners</t>
  </si>
  <si>
    <t xml:space="preserve">Sonangol</t>
  </si>
  <si>
    <t xml:space="preserve">https://www.sonangol.co.ao</t>
  </si>
  <si>
    <t xml:space="preserve">Angola</t>
  </si>
  <si>
    <t xml:space="preserve">Luanda</t>
  </si>
  <si>
    <t xml:space="preserve">Oil &amp; gas</t>
  </si>
  <si>
    <t xml:space="preserve">Angola's national oil company; shown among AMW 2026 'global stakeholders' with no stated role.</t>
  </si>
  <si>
    <t xml:space="preserve">https://african-miningweek.com/sponsors/sonangol</t>
  </si>
  <si>
    <t xml:space="preserve">TechMet</t>
  </si>
  <si>
    <t xml:space="preserve">Investor in critical-minerals projects; shown among AMW 2026 'global stakeholders'.</t>
  </si>
  <si>
    <t xml:space="preserve">https://african-miningweek.com/sponsors/techmet</t>
  </si>
  <si>
    <t xml:space="preserve">Terra Firma</t>
  </si>
  <si>
    <t xml:space="preserve">https://african-miningweek.com/sponsors/terra-firma</t>
  </si>
  <si>
    <t xml:space="preserve">Valterra Platinum</t>
  </si>
  <si>
    <t xml:space="preserve">https://www.valterraplatinum.com</t>
  </si>
  <si>
    <t xml:space="preserve">South Africa; Zimbabwe</t>
  </si>
  <si>
    <t xml:space="preserve">PGMs</t>
  </si>
  <si>
    <t xml:space="preserve">Listed (JSE; ticker not verified)</t>
  </si>
  <si>
    <t xml:space="preserve">Platinum-group-metals miner (formerly Anglo American Platinum); shown among AMW 2026 'global stakeholders'.</t>
  </si>
  <si>
    <t xml:space="preserve">https://african-miningweek.com/sponsors/valt</t>
  </si>
  <si>
    <t xml:space="preserve">Full Name</t>
  </si>
  <si>
    <t xml:space="preserve">Job Title</t>
  </si>
  <si>
    <t xml:space="preserve">Organisation</t>
  </si>
  <si>
    <t xml:space="preserve">Session/Panel Topic</t>
  </si>
  <si>
    <t xml:space="preserve">Country</t>
  </si>
  <si>
    <t xml:space="preserve">LinkedIn or public profile URL</t>
  </si>
  <si>
    <t xml:space="preserve">Daouda Diakite</t>
  </si>
  <si>
    <t xml:space="preserve">Minister's Senior Adviser</t>
  </si>
  <si>
    <t xml:space="preserve">Keynote Speaker</t>
  </si>
  <si>
    <t xml:space="preserve">Keynote Address, 13:15 (14 Oct)</t>
  </si>
  <si>
    <t xml:space="preserve">https://african-miningweek.com/speakers/daouda-diakite</t>
  </si>
  <si>
    <t xml:space="preserve">https://african-miningweek.com/attend/conference-speakers | https://african-miningweek.com/attend/conference-program</t>
  </si>
  <si>
    <t xml:space="preserve">Hon. Losuba Ludoru Wongo</t>
  </si>
  <si>
    <t xml:space="preserve">Minister of Mining</t>
  </si>
  <si>
    <t xml:space="preserve">Ministerial Panel: Strategic Minerals: Developing a Value Chain that Works for Africa (14 Oct)</t>
  </si>
  <si>
    <t xml:space="preserve">https://african-miningweek.com/speakers/hon-losuba-ludoru-wongo-wongo</t>
  </si>
  <si>
    <t xml:space="preserve">H.E. Louis Watum Kabamba</t>
  </si>
  <si>
    <t xml:space="preserve">Minister of Mines</t>
  </si>
  <si>
    <t xml:space="preserve">Opening Ceremony: keynote addresses (14 Oct) | Ministerial Panel: Strategic Minerals: Developing a Value Chain that Works for Africa (14 Oct)</t>
  </si>
  <si>
    <t xml:space="preserve">https://african-miningweek.com/speakers/louis-watum-kabamba</t>
  </si>
  <si>
    <t xml:space="preserve">H.E. Moses Engadu</t>
  </si>
  <si>
    <t xml:space="preserve">Secretary General</t>
  </si>
  <si>
    <t xml:space="preserve">Opening Ceremony: keynote addresses (14 Oct)</t>
  </si>
  <si>
    <t xml:space="preserve">https://african-miningweek.com/speakers/moses-engadu</t>
  </si>
  <si>
    <t xml:space="preserve">Hon. Dr. Polite Kambamura</t>
  </si>
  <si>
    <t xml:space="preserve">Minister of Mines and Mining Development</t>
  </si>
  <si>
    <t xml:space="preserve">https://african-miningweek.com/speakers/hon-dr-polite-kambamura</t>
  </si>
  <si>
    <t xml:space="preserve">Hon. R. Matenokay Tingban</t>
  </si>
  <si>
    <t xml:space="preserve">Minister of Mines and Energy</t>
  </si>
  <si>
    <t xml:space="preserve">https://african-miningweek.com/speakers/hon-matenokay-tingban</t>
  </si>
  <si>
    <t xml:space="preserve">Hon. Rufin Benam-Beltoungou</t>
  </si>
  <si>
    <t xml:space="preserve">Minister of Mines and Geology</t>
  </si>
  <si>
    <t xml:space="preserve">https://african-miningweek.com/speakers/rufin-benam-beltoungou</t>
  </si>
  <si>
    <t xml:space="preserve">Yasser Ramadan</t>
  </si>
  <si>
    <t xml:space="preserve">Chairman</t>
  </si>
  <si>
    <t xml:space="preserve">Keynote Speaker; Advisory Board Member (per press release)</t>
  </si>
  <si>
    <t xml:space="preserve">Keynote Address, 14:10 (14 Oct)</t>
  </si>
  <si>
    <t xml:space="preserve">https://african-miningweek.com/speakers/yasser-ramadan</t>
  </si>
  <si>
    <t xml:space="preserve">Dr. Abdoul Karim Kabèlè-Camara</t>
  </si>
  <si>
    <t xml:space="preserve">Vice President in charge of Government and External Affairs, West Africa</t>
  </si>
  <si>
    <t xml:space="preserve">Speaker</t>
  </si>
  <si>
    <t xml:space="preserve">N/A (not yet assigned to a session in the published programme)</t>
  </si>
  <si>
    <t xml:space="preserve">https://african-miningweek.com/</t>
  </si>
  <si>
    <t xml:space="preserve">Abel Manumbu</t>
  </si>
  <si>
    <t xml:space="preserve">Founder and Managing Director</t>
  </si>
  <si>
    <t xml:space="preserve">Enabling Africa's Value Addition Corridors (14 Oct)</t>
  </si>
  <si>
    <t xml:space="preserve">https://african-miningweek.com/speakers/abel-manumbu</t>
  </si>
  <si>
    <t xml:space="preserve">Ahmed Bello-Maccido</t>
  </si>
  <si>
    <t xml:space="preserve">Associate, Metals &amp; Mining</t>
  </si>
  <si>
    <t xml:space="preserve">Regional Connectivity: Financing Africa's Mineral Infrastructure (14 Oct)</t>
  </si>
  <si>
    <t xml:space="preserve">https://african-miningweek.com/speakers/ahmed-bello-maccido</t>
  </si>
  <si>
    <t xml:space="preserve">Amara Kamara</t>
  </si>
  <si>
    <t xml:space="preserve">President</t>
  </si>
  <si>
    <t xml:space="preserve">Ashley Ndir</t>
  </si>
  <si>
    <t xml:space="preserve">Principal Commercial Officer</t>
  </si>
  <si>
    <t xml:space="preserve">U.S. - Africa Roundtable (15 Oct)</t>
  </si>
  <si>
    <t xml:space="preserve">https://african-miningweek.com/speakers/ashley-ndir</t>
  </si>
  <si>
    <t xml:space="preserve">Dr. Atul Arya</t>
  </si>
  <si>
    <t xml:space="preserve">Chief Energy Strategist</t>
  </si>
  <si>
    <t xml:space="preserve">Ministerial Panel: Strategic Minerals: Developing a Value Chain that Works for Africa (14 Oct) | CERAWeek Leadership Circle roundtable (invite only): Africa's critical minerals journey (14 Oct)</t>
  </si>
  <si>
    <t xml:space="preserve">https://african-miningweek.com/speakers/atul-arya</t>
  </si>
  <si>
    <t xml:space="preserve">Benford Mokoatle</t>
  </si>
  <si>
    <t xml:space="preserve">EVP South Africa</t>
  </si>
  <si>
    <t xml:space="preserve">Speaker; Advisory Board Member</t>
  </si>
  <si>
    <t xml:space="preserve">Africa Gold Forum: Expanding Africa's Gold Output (15 Oct)</t>
  </si>
  <si>
    <t xml:space="preserve">https://african-miningweek.com/speakers/benford-mokoatle</t>
  </si>
  <si>
    <t xml:space="preserve">Bokang Thitoyamore</t>
  </si>
  <si>
    <t xml:space="preserve">Chief Executive Officer</t>
  </si>
  <si>
    <t xml:space="preserve">Strengthening Local Content in Africa's Mining Supply Chain (14 Oct)</t>
  </si>
  <si>
    <t xml:space="preserve">https://african-miningweek.com/speakers/bokang-thitoyamore</t>
  </si>
  <si>
    <t xml:space="preserve">Brooke Bibeault</t>
  </si>
  <si>
    <t xml:space="preserve">CEO and Director</t>
  </si>
  <si>
    <t xml:space="preserve">Accelerating the Formalisation of ASGM (15 Oct)</t>
  </si>
  <si>
    <t xml:space="preserve">https://african-miningweek.com/speakers/brooke-bibeault</t>
  </si>
  <si>
    <t xml:space="preserve">Bryce Dustman</t>
  </si>
  <si>
    <t xml:space="preserve">Global Managing Partner (organisation not stated)</t>
  </si>
  <si>
    <t xml:space="preserve">Charles Obeng Kwarteng</t>
  </si>
  <si>
    <t xml:space="preserve">Senior Manager - Finance</t>
  </si>
  <si>
    <t xml:space="preserve">https://african-miningweek.com/speakers/charles-obeng-kwarteng</t>
  </si>
  <si>
    <t xml:space="preserve">Christopher Vandome</t>
  </si>
  <si>
    <t xml:space="preserve">Senior Research Fellow</t>
  </si>
  <si>
    <t xml:space="preserve">https://african-miningweek.com/speakers/christopher-vandome-a82l</t>
  </si>
  <si>
    <t xml:space="preserve">Danie Dörfling</t>
  </si>
  <si>
    <t xml:space="preserve">Head of Business Development</t>
  </si>
  <si>
    <t xml:space="preserve">Leveraging Advanced Technologies &amp; AI to Transform Mining Practices for Sustainable Growth (15 Oct)</t>
  </si>
  <si>
    <t xml:space="preserve">https://african-miningweek.com/speakers/danie-dorfling</t>
  </si>
  <si>
    <t xml:space="preserve">Deerosh Maharaj</t>
  </si>
  <si>
    <t xml:space="preserve">Executive Head for Energy, Infrastructure &amp; Mining</t>
  </si>
  <si>
    <t xml:space="preserve">Dr. Dele Alake</t>
  </si>
  <si>
    <t xml:space="preserve">Minister of Solid Minerals Development</t>
  </si>
  <si>
    <t xml:space="preserve">Minister; confirmed participation (press release)</t>
  </si>
  <si>
    <t xml:space="preserve">Didier Rault</t>
  </si>
  <si>
    <t xml:space="preserve">Eddy Kioni</t>
  </si>
  <si>
    <t xml:space="preserve">Founder and CEO</t>
  </si>
  <si>
    <t xml:space="preserve">Realigning National and International Goals to Advance Global Investment in Africa's Value Chain (14 Oct)</t>
  </si>
  <si>
    <t xml:space="preserve">https://african-miningweek.com/speakers/eddy-kioni</t>
  </si>
  <si>
    <t xml:space="preserve">Fernando Araya Burchard</t>
  </si>
  <si>
    <t xml:space="preserve">Associate Director - Critical Mineral Supply Chain</t>
  </si>
  <si>
    <t xml:space="preserve">Africa's Pivotal Role in the Global Energy Transition: Market Outlook for Critical Minerals (Technical Track, 15 Oct) | Accelerating Mineral Production: The Energy, Water &amp; Waste Nexus (15 Oct)</t>
  </si>
  <si>
    <t xml:space="preserve">https://african-miningweek.com/speakers/fernando-araya-burchard</t>
  </si>
  <si>
    <t xml:space="preserve">Folaseto Akin-Olugbade</t>
  </si>
  <si>
    <t xml:space="preserve">Investment Director</t>
  </si>
  <si>
    <t xml:space="preserve">https://african-miningweek.com/speakers/folaseto-akin-olugbade</t>
  </si>
  <si>
    <t xml:space="preserve">Fousseni Togola</t>
  </si>
  <si>
    <t xml:space="preserve">https://african-miningweek.com/speakers/fousseni-togola</t>
  </si>
  <si>
    <t xml:space="preserve">Franklin Edochie</t>
  </si>
  <si>
    <t xml:space="preserve">Deputy Director &amp; Head, Metals &amp; Mining</t>
  </si>
  <si>
    <t xml:space="preserve">https://african-miningweek.com/speakers/franklin-edochie-l0er</t>
  </si>
  <si>
    <t xml:space="preserve">Frédéric Moinet</t>
  </si>
  <si>
    <t xml:space="preserve">Co-founder and COO</t>
  </si>
  <si>
    <t xml:space="preserve">https://african-miningweek.com/speakers/frederic-moinet</t>
  </si>
  <si>
    <t xml:space="preserve">Glodiv Ngoie</t>
  </si>
  <si>
    <t xml:space="preserve">Founder and Chief Executive Officer</t>
  </si>
  <si>
    <t xml:space="preserve">https://african-miningweek.com/speakers/glodiv-ngoie</t>
  </si>
  <si>
    <t xml:space="preserve">Géraud Moussarie</t>
  </si>
  <si>
    <t xml:space="preserve">Managing Partner</t>
  </si>
  <si>
    <t xml:space="preserve">Humphrey Asiimwe</t>
  </si>
  <si>
    <t xml:space="preserve">https://african-miningweek.com/speakers/humphrey-asiimwe</t>
  </si>
  <si>
    <t xml:space="preserve">Ileana Ferber</t>
  </si>
  <si>
    <t xml:space="preserve">Chief Executive Officer and Founder</t>
  </si>
  <si>
    <t xml:space="preserve">https://african-miningweek.com/speakers/ileana-ferber</t>
  </si>
  <si>
    <t xml:space="preserve">Dr. Innocent Matshe</t>
  </si>
  <si>
    <t xml:space="preserve">Deputy Governor</t>
  </si>
  <si>
    <t xml:space="preserve">Unlocking Refining Investment (15 Oct)</t>
  </si>
  <si>
    <t xml:space="preserve">https://african-miningweek.com/speakers/dr-innocent-matshe</t>
  </si>
  <si>
    <t xml:space="preserve">Iyunola Adekanye</t>
  </si>
  <si>
    <t xml:space="preserve">Accelerating Mineral Production: The Energy, Water &amp; Waste Nexus (15 Oct)</t>
  </si>
  <si>
    <t xml:space="preserve">https://african-miningweek.com/speakers/iyunola-adekanye-zf7t</t>
  </si>
  <si>
    <t xml:space="preserve">Jason McPherson</t>
  </si>
  <si>
    <t xml:space="preserve">Head of Sourcing and Business Development</t>
  </si>
  <si>
    <t xml:space="preserve">https://african-miningweek.com/speakers/jason-mcpherson</t>
  </si>
  <si>
    <t xml:space="preserve">Jean Van Wetter</t>
  </si>
  <si>
    <t xml:space="preserve">https://african-miningweek.com/speakers/jean-van-wetter</t>
  </si>
  <si>
    <t xml:space="preserve">Joshua Mochumi</t>
  </si>
  <si>
    <t xml:space="preserve">Founder and Principal</t>
  </si>
  <si>
    <t xml:space="preserve">Jude Kearney</t>
  </si>
  <si>
    <t xml:space="preserve">Kiana van Vuuren</t>
  </si>
  <si>
    <t xml:space="preserve">Director- Audit &amp; Head of Mining</t>
  </si>
  <si>
    <t xml:space="preserve">Collaboration for Growth: Unlocking Finance and Scale for Junior Miners (14 Oct)</t>
  </si>
  <si>
    <t xml:space="preserve">https://african-miningweek.com/speakers/kiana-van-vuuren</t>
  </si>
  <si>
    <t xml:space="preserve">Kwaku Nsiah-Asare</t>
  </si>
  <si>
    <t xml:space="preserve">CEO</t>
  </si>
  <si>
    <t xml:space="preserve">https://african-miningweek.com/speakers/kwaku-nsiah-asare</t>
  </si>
  <si>
    <t xml:space="preserve">Matthew Banton</t>
  </si>
  <si>
    <t xml:space="preserve">Head of Energy, Mining and Renewables</t>
  </si>
  <si>
    <t xml:space="preserve">https://african-miningweek.com/speakers/matthew-banton-ngnj</t>
  </si>
  <si>
    <t xml:space="preserve">Mfikeyi Makayi</t>
  </si>
  <si>
    <t xml:space="preserve">https://african-miningweek.com/speakers/mfikeyi-makayi-phzq</t>
  </si>
  <si>
    <t xml:space="preserve">Dr. Mor Bakhoum</t>
  </si>
  <si>
    <t xml:space="preserve">Technical Secretary of the National Committee for Local Content Monitoring (ST-CNSCL)</t>
  </si>
  <si>
    <t xml:space="preserve">Mosa Mabuza</t>
  </si>
  <si>
    <t xml:space="preserve">Delegation lead / speaker (press release)</t>
  </si>
  <si>
    <t xml:space="preserve">https://african-miningweek.com/news/ceo-south-africas-council-geoscience-speak-amw-2026</t>
  </si>
  <si>
    <t xml:space="preserve">Mutuso Dhliwayo</t>
  </si>
  <si>
    <t xml:space="preserve">Executive Director</t>
  </si>
  <si>
    <t xml:space="preserve">Mzila Mthenjane</t>
  </si>
  <si>
    <t xml:space="preserve">Presentation, Strategic Track, 11:00 (14 Oct) | Realigning National and International Goals to Advance Global Investment in Africa's Value Chain (14 Oct)</t>
  </si>
  <si>
    <t xml:space="preserve">https://african-miningweek.com/speakers/mzila-mthenjane</t>
  </si>
  <si>
    <t xml:space="preserve">Nhlanhla Terance Mashobane Nkosi</t>
  </si>
  <si>
    <t xml:space="preserve">Chief Technical, Governance and Sustainability Officer</t>
  </si>
  <si>
    <t xml:space="preserve">Presentation, Strategic Track, 10:45 (15 Oct)</t>
  </si>
  <si>
    <t xml:space="preserve">https://african-miningweek.com/speakers/nhlanhla-terance-mashobane-nkosi</t>
  </si>
  <si>
    <t xml:space="preserve">Olivier Barbeau</t>
  </si>
  <si>
    <t xml:space="preserve">National Mining Company Forum: Mobilizing Africa's Mineral Wealth (15 Oct)</t>
  </si>
  <si>
    <t xml:space="preserve">https://african-miningweek.com/speakers/olivier-barbeau</t>
  </si>
  <si>
    <t xml:space="preserve">Ope Osinubu</t>
  </si>
  <si>
    <t xml:space="preserve">Senior Associate / Senior Lawyer</t>
  </si>
  <si>
    <t xml:space="preserve">https://african-miningweek.com/speakers/ope-osinubu</t>
  </si>
  <si>
    <t xml:space="preserve">Patrick Mulindwa Lubega</t>
  </si>
  <si>
    <t xml:space="preserve">Chief of Staff</t>
  </si>
  <si>
    <t xml:space="preserve">Rahul Kapoor</t>
  </si>
  <si>
    <t xml:space="preserve">Vice-President, Global Head of Shipping &amp; Metals</t>
  </si>
  <si>
    <t xml:space="preserve">CERAWeek Leadership Circle roundtable (invite only): Africa's critical minerals journey (14 Oct) | The New Resource Contract: Balancing Sovereignty, Nationalism, and Investor Certainty (Roundtable, 14 Oct) | Unlocking Refining Investment (15 Oct)</t>
  </si>
  <si>
    <t xml:space="preserve">https://african-miningweek.com/speakers/rahul-kapoor</t>
  </si>
  <si>
    <t xml:space="preserve">Amb. Raúl Santiago Ailán</t>
  </si>
  <si>
    <t xml:space="preserve">Head of Mission</t>
  </si>
  <si>
    <t xml:space="preserve">https://african-miningweek.com/speakers/amb-raul-santiago-ailan</t>
  </si>
  <si>
    <t xml:space="preserve">Dr. Remi Piet</t>
  </si>
  <si>
    <t xml:space="preserve">Founder and Senior Partner</t>
  </si>
  <si>
    <t xml:space="preserve">Critical Supply: Africa in the Global Grid (15 Oct)</t>
  </si>
  <si>
    <t xml:space="preserve">https://african-miningweek.com/speakers/remi-piet</t>
  </si>
  <si>
    <t xml:space="preserve">Russell Baatjies</t>
  </si>
  <si>
    <t xml:space="preserve">Chief Executive</t>
  </si>
  <si>
    <t xml:space="preserve">https://african-miningweek.com/speakers/russell-baatjies</t>
  </si>
  <si>
    <t xml:space="preserve">Dr. Sama Bilbao y Leon</t>
  </si>
  <si>
    <t xml:space="preserve">Director General</t>
  </si>
  <si>
    <t xml:space="preserve">https://african-miningweek.com/speakers/dr-sama-bilbao-y-leon</t>
  </si>
  <si>
    <t xml:space="preserve">Sean Meadon</t>
  </si>
  <si>
    <t xml:space="preserve">Technical Director</t>
  </si>
  <si>
    <t xml:space="preserve">https://african-miningweek.com/speakers/sean-meadon</t>
  </si>
  <si>
    <t xml:space="preserve">Sebastian Wagner</t>
  </si>
  <si>
    <t xml:space="preserve">Head of Natural Resources</t>
  </si>
  <si>
    <t xml:space="preserve">Seiso Joel Mohai</t>
  </si>
  <si>
    <t xml:space="preserve">Deputy Minister of Planning, Monitoring and Evaluation</t>
  </si>
  <si>
    <t xml:space="preserve">Speaker (confirmed per press release)</t>
  </si>
  <si>
    <t xml:space="preserve">Selasie Vondee</t>
  </si>
  <si>
    <t xml:space="preserve">Chief Technology Officer &amp; Co-Founder</t>
  </si>
  <si>
    <t xml:space="preserve">The Intelligent Mine: Connecting AI Across the Full Value Chain, From First Drill Hole to Final Rehabilitation (Technical Track, 14 Oct)</t>
  </si>
  <si>
    <t xml:space="preserve">https://african-miningweek.com/speakers/selasie-vondee</t>
  </si>
  <si>
    <t xml:space="preserve">Seydou Coulibaly</t>
  </si>
  <si>
    <t xml:space="preserve">Deputy Managing Director</t>
  </si>
  <si>
    <t xml:space="preserve">https://african-miningweek.com/speakers/seydou-coulibaly</t>
  </si>
  <si>
    <t xml:space="preserve">Shirley Webber</t>
  </si>
  <si>
    <t xml:space="preserve">Head of Mining</t>
  </si>
  <si>
    <t xml:space="preserve">https://african-miningweek.com/speakers/shirley-webber-rglt</t>
  </si>
  <si>
    <t xml:space="preserve">Silas Olan'g</t>
  </si>
  <si>
    <t xml:space="preserve">Africa Energy Transition Advisor</t>
  </si>
  <si>
    <t xml:space="preserve">Simbarashe Chikarango</t>
  </si>
  <si>
    <t xml:space="preserve">Head of Project and Infrastructure Finance</t>
  </si>
  <si>
    <t xml:space="preserve">https://african-miningweek.com/speakers/simbarashe-chikarango</t>
  </si>
  <si>
    <t xml:space="preserve">Eng. Sokwani W. Chilembo</t>
  </si>
  <si>
    <t xml:space="preserve">https://african-miningweek.com/speakers/eng-sokwani-w-chilembo</t>
  </si>
  <si>
    <t xml:space="preserve">Engr. Dr. Sylvester Akpah</t>
  </si>
  <si>
    <t xml:space="preserve">https://african-miningweek.com/speakers/engr-dr-sylvester-akpah</t>
  </si>
  <si>
    <t xml:space="preserve">Tanisha Schultz</t>
  </si>
  <si>
    <t xml:space="preserve">Senior Analyst</t>
  </si>
  <si>
    <t xml:space="preserve">https://african-miningweek.com/speakers/tanisha-schultz</t>
  </si>
  <si>
    <t xml:space="preserve">Thabiso Sekano</t>
  </si>
  <si>
    <t xml:space="preserve">Head: Mining and Metals</t>
  </si>
  <si>
    <t xml:space="preserve">https://african-miningweek.com/speakers/thabiso-sekano</t>
  </si>
  <si>
    <t xml:space="preserve">Thierry Naweji</t>
  </si>
  <si>
    <t xml:space="preserve">Executive Chairman</t>
  </si>
  <si>
    <t xml:space="preserve">https://african-miningweek.com/speakers/thierry-naweji</t>
  </si>
  <si>
    <t xml:space="preserve">Thomas Rodriguez</t>
  </si>
  <si>
    <t xml:space="preserve">Local Content Director &amp; Developer</t>
  </si>
  <si>
    <t xml:space="preserve">https://african-miningweek.com/speakers/thomas-rodriguez</t>
  </si>
  <si>
    <t xml:space="preserve">Tsietsi Molai</t>
  </si>
  <si>
    <t xml:space="preserve">Managing Director</t>
  </si>
  <si>
    <t xml:space="preserve">https://african-miningweek.com/speakers/tsietsi-molai</t>
  </si>
  <si>
    <t xml:space="preserve">Vera Blei</t>
  </si>
  <si>
    <t xml:space="preserve">Head of Platts</t>
  </si>
  <si>
    <t xml:space="preserve">CERAWeek Leadership Circle roundtable (invite only): Africa's critical minerals journey (14 Oct)</t>
  </si>
  <si>
    <t xml:space="preserve">https://african-miningweek.com/speakers/vera-blei</t>
  </si>
  <si>
    <t xml:space="preserve">Veronica Bolton Smith</t>
  </si>
  <si>
    <t xml:space="preserve">CEO and Founder</t>
  </si>
  <si>
    <t xml:space="preserve">https://african-miningweek.com/speakers/veronica-smith</t>
  </si>
  <si>
    <t xml:space="preserve">Vibhuti Jain</t>
  </si>
  <si>
    <t xml:space="preserve">Regional Head for Africa</t>
  </si>
  <si>
    <t xml:space="preserve">Realigning National and International Goals to Advance Global Investment in Africa's Value Chain (14 Oct) | U.S. - Africa Roundtable (15 Oct)</t>
  </si>
  <si>
    <t xml:space="preserve">https://african-miningweek.com/speakers/vibhuti-jain</t>
  </si>
  <si>
    <t xml:space="preserve">William Mason</t>
  </si>
  <si>
    <t xml:space="preserve">Associate Director, Mining Economics &amp; Emissions</t>
  </si>
  <si>
    <t xml:space="preserve">Bucking the Trend: Africa's Decade-High Exploration Surge and the Rising Cost of Production (Technical Track, 15 Oct) | Leveraging Advanced Technologies &amp; AI to Transform Mining Practices for Sustainable Growth (15 Oct)</t>
  </si>
  <si>
    <t xml:space="preserve">https://african-miningweek.com/speakers/william-mason</t>
  </si>
  <si>
    <t xml:space="preserve">African Mining Week 2026: Participants Workbook Summary</t>
  </si>
  <si>
    <t xml:space="preserve">Event</t>
  </si>
  <si>
    <t xml:space="preserve">African Mining Week 2026 (organiser: Energy Capital &amp; Power)</t>
  </si>
  <si>
    <t xml:space="preserve">Dates / venue</t>
  </si>
  <si>
    <t xml:space="preserve">14–16 October 2026, Cape Town International Convention Centre, Cape Town, South Africa</t>
  </si>
  <si>
    <t xml:space="preserve">Date data collected</t>
  </si>
  <si>
    <t xml:space="preserve">20 September 2026 (lists are still changing; organiser was announcing speakers on 15 September)</t>
  </si>
  <si>
    <t xml:space="preserve">Primary source</t>
  </si>
  <si>
    <t xml:space="preserve">Official event website: african-miningweek.com (partners/exhibitors, speakers, programme, media partners, homepage, press releases)</t>
  </si>
  <si>
    <t xml:space="preserve">Totals</t>
  </si>
  <si>
    <t xml:space="preserve">Organisations (de-duplicated)</t>
  </si>
  <si>
    <t xml:space="preserve">People</t>
  </si>
  <si>
    <t xml:space="preserve">Organisations rated Confirmed</t>
  </si>
  <si>
    <t xml:space="preserve">Organisations rated Likely</t>
  </si>
  <si>
    <t xml:space="preserve">Organisations rated Unverified</t>
  </si>
  <si>
    <t xml:space="preserve">Organisations by business type</t>
  </si>
  <si>
    <t xml:space="preserve">Business type</t>
  </si>
  <si>
    <t xml:space="preserve">Organisations</t>
  </si>
  <si>
    <t xml:space="preserve">Total (check)</t>
  </si>
  <si>
    <t xml:space="preserve">Organisations by headquarters country (as far as identifiable)</t>
  </si>
  <si>
    <t xml:space="preserve">Headquarters country</t>
  </si>
  <si>
    <t xml:space="preserve">Organisations by commodity (an organisation can appear under several)</t>
  </si>
  <si>
    <t xml:space="preserve">Commodity</t>
  </si>
  <si>
    <t xml:space="preserve">Gold</t>
  </si>
  <si>
    <t xml:space="preserve">Silver</t>
  </si>
  <si>
    <t xml:space="preserve">Cobalt</t>
  </si>
  <si>
    <t xml:space="preserve">Zinc</t>
  </si>
  <si>
    <t xml:space="preserve">Lithium</t>
  </si>
  <si>
    <t xml:space="preserve">Nickel</t>
  </si>
  <si>
    <t xml:space="preserve">Known gaps and limitations</t>
  </si>
  <si>
    <t xml:space="preserve">Confidence key (event participation): Confirmed = named on an official partner, sponsor, exhibitor, speaker or programme page; Likely = shown only as a logo with no stated role, on a media-partners page with 2025 wording, or in an organiser press release only; Unverified = could not be cross-checked (none in this version).</t>
  </si>
  <si>
    <t xml:space="preserve">No full attendee/delegate list is public. The organiser claims 2,000+ attendees, 350+ companies and 90+ speakers; this workbook covers only what is publicly named, so it is a partial picture.</t>
  </si>
  <si>
    <t xml:space="preserve">Exhibitor coverage is thin: the exhibitor page lists 1 Bronze and 8 Showcase exhibitors, and Days 1-2 of the programme name speakers while Day 3 is placeholder technical slots.</t>
  </si>
  <si>
    <t xml:space="preserve">'Global stakeholders' are logos on the homepage with no stated role, so they are rated Likely unless another official page confirms them. Ministries and delegations beyond those named are not listed.</t>
  </si>
  <si>
    <t xml:space="preserve">Media partners: the media-partners page still carries 2025 wording, so 2026 participation is rated Likely.</t>
  </si>
  <si>
    <t xml:space="preserve">Speaker lists on the homepage, speakers page and advisory board do not fully agree; all were merged and de-duplicated. Three people appear only in organiser press releases (rated Likely at organisation level).</t>
  </si>
  <si>
    <t xml:space="preserve">Moderators are not labelled on the event site, so none are recorded. Booth numbers and most country delegations are not published.</t>
  </si>
  <si>
    <t xml:space="preserve">Company profile fields (website, HQ, city, business type, commodities, size, listing) are not published by the organiser. Where filled they come from general background knowledge and were not re-checked live in this session; each such row carries the company's own site in 'Profile Source URL' so you can verify. Fields I could not fill with confidence are N/A, and size/revenue are N/A where not clearly known.</t>
  </si>
  <si>
    <t xml:space="preserve">Business type marked 'inferred from the name' is a low-confidence label. Organisation-level speaker counts in 'Role at Event' come from the organiser's speaker listings.</t>
  </si>
  <si>
    <t xml:space="preserve">'Country' on the People sheet is the country of the organisation or government represented, not verified residence. LinkedIn profiles were not verified, so the profile link is the organiser's own public speaker profile page (N/A where the page address was not seen).</t>
  </si>
  <si>
    <t xml:space="preserve">Bryce Dustman appears with a title only ('Global Managing Partner') and no organisation.</t>
  </si>
  <si>
    <t xml:space="preserve">The event site shows a title 'African Mining Week 2025' in some page metadata, but all content and dates are for the 2026 edition.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</si>
</sst>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4"/>
      <name val="Arial"/>
      <family val="0"/>
      <charset val="1"/>
    </font>
    <font>
      <b val="true"/>
      <sz val="10"/>
      <name val="Arial"/>
      <family val="0"/>
      <charset val="1"/>
    </font>
    <font>
      <b val="true"/>
      <sz val="11"/>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2F5597"/>
        <bgColor rgb="FF1F386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44"/>
    <col collapsed="false" customWidth="true" hidden="false" outlineLevel="0" max="3" min="3" style="0" width="22"/>
    <col collapsed="false" customWidth="true" hidden="false" outlineLevel="0" max="4" min="4" style="0" width="32"/>
    <col collapsed="false" customWidth="true" hidden="false" outlineLevel="0" max="5" min="5" style="0" width="20"/>
    <col collapsed="false" customWidth="true" hidden="false" outlineLevel="0" max="6" min="6" style="0" width="16"/>
    <col collapsed="false" customWidth="true" hidden="false" outlineLevel="0" max="7" min="7" style="0" width="30"/>
    <col collapsed="false" customWidth="true" hidden="false" outlineLevel="0" max="8" min="8" style="0" width="28"/>
    <col collapsed="false" customWidth="true" hidden="false" outlineLevel="0" max="9" min="9" style="0" width="26"/>
    <col collapsed="false" customWidth="true" hidden="false" outlineLevel="0" max="10" min="10" style="0" width="14"/>
    <col collapsed="false" customWidth="true" hidden="false" outlineLevel="0" max="11" min="11" style="0" width="34"/>
    <col collapsed="false" customWidth="true" hidden="false" outlineLevel="0" max="12" min="12" style="0" width="70"/>
    <col collapsed="false" customWidth="true" hidden="false" outlineLevel="0" max="13" min="13" style="0" width="60"/>
    <col collapsed="false" customWidth="true" hidden="false" outlineLevel="0" max="14" min="14" style="0" width="12"/>
    <col collapsed="false" customWidth="true" hidden="false" outlineLevel="0" max="15" min="15" style="0" width="32"/>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23.85" hidden="false" customHeight="false" outlineLevel="0" collapsed="false">
      <c r="A2" s="2" t="s">
        <v>15</v>
      </c>
      <c r="B2" s="2" t="s">
        <v>16</v>
      </c>
      <c r="C2" s="3" t="s">
        <v>17</v>
      </c>
      <c r="D2" s="3" t="s">
        <v>18</v>
      </c>
      <c r="E2" s="3" t="s">
        <v>19</v>
      </c>
      <c r="F2" s="3" t="s">
        <v>20</v>
      </c>
      <c r="G2" s="2" t="s">
        <v>17</v>
      </c>
      <c r="H2" s="2" t="s">
        <v>21</v>
      </c>
      <c r="I2" s="2" t="s">
        <v>17</v>
      </c>
      <c r="J2" s="3" t="s">
        <v>22</v>
      </c>
      <c r="K2" s="2" t="s">
        <v>23</v>
      </c>
      <c r="L2" s="2" t="s">
        <v>24</v>
      </c>
      <c r="M2" s="2" t="s">
        <v>25</v>
      </c>
      <c r="N2" s="3" t="s">
        <v>26</v>
      </c>
      <c r="O2" s="3" t="s">
        <v>18</v>
      </c>
    </row>
    <row r="3" customFormat="false" ht="23.85" hidden="false" customHeight="false" outlineLevel="0" collapsed="false">
      <c r="A3" s="2" t="s">
        <v>27</v>
      </c>
      <c r="B3" s="2" t="s">
        <v>28</v>
      </c>
      <c r="C3" s="3" t="s">
        <v>29</v>
      </c>
      <c r="D3" s="3" t="s">
        <v>17</v>
      </c>
      <c r="E3" s="3" t="s">
        <v>17</v>
      </c>
      <c r="F3" s="3" t="s">
        <v>17</v>
      </c>
      <c r="G3" s="2" t="s">
        <v>17</v>
      </c>
      <c r="H3" s="2" t="s">
        <v>30</v>
      </c>
      <c r="I3" s="2" t="s">
        <v>17</v>
      </c>
      <c r="J3" s="3" t="s">
        <v>17</v>
      </c>
      <c r="K3" s="2" t="s">
        <v>17</v>
      </c>
      <c r="L3" s="2" t="s">
        <v>31</v>
      </c>
      <c r="M3" s="2" t="s">
        <v>32</v>
      </c>
      <c r="N3" s="3" t="s">
        <v>26</v>
      </c>
      <c r="O3" s="3" t="s">
        <v>17</v>
      </c>
    </row>
    <row r="4" customFormat="false" ht="15" hidden="false" customHeight="false" outlineLevel="0" collapsed="false">
      <c r="A4" s="2" t="s">
        <v>33</v>
      </c>
      <c r="B4" s="2" t="s">
        <v>34</v>
      </c>
      <c r="C4" s="3" t="s">
        <v>17</v>
      </c>
      <c r="D4" s="3" t="s">
        <v>17</v>
      </c>
      <c r="E4" s="3" t="s">
        <v>35</v>
      </c>
      <c r="F4" s="3" t="s">
        <v>17</v>
      </c>
      <c r="G4" s="2" t="s">
        <v>17</v>
      </c>
      <c r="H4" s="2" t="s">
        <v>21</v>
      </c>
      <c r="I4" s="2" t="s">
        <v>17</v>
      </c>
      <c r="J4" s="3" t="s">
        <v>17</v>
      </c>
      <c r="K4" s="2" t="s">
        <v>17</v>
      </c>
      <c r="L4" s="2" t="s">
        <v>36</v>
      </c>
      <c r="M4" s="2" t="s">
        <v>25</v>
      </c>
      <c r="N4" s="3" t="s">
        <v>26</v>
      </c>
      <c r="O4" s="3" t="s">
        <v>17</v>
      </c>
    </row>
    <row r="5" customFormat="false" ht="23.85" hidden="false" customHeight="false" outlineLevel="0" collapsed="false">
      <c r="A5" s="2" t="s">
        <v>37</v>
      </c>
      <c r="B5" s="2" t="s">
        <v>38</v>
      </c>
      <c r="C5" s="3" t="s">
        <v>39</v>
      </c>
      <c r="D5" s="3" t="s">
        <v>40</v>
      </c>
      <c r="E5" s="3" t="s">
        <v>41</v>
      </c>
      <c r="F5" s="3" t="s">
        <v>42</v>
      </c>
      <c r="G5" s="2" t="s">
        <v>43</v>
      </c>
      <c r="H5" s="2" t="s">
        <v>21</v>
      </c>
      <c r="I5" s="2" t="s">
        <v>17</v>
      </c>
      <c r="J5" s="3" t="s">
        <v>22</v>
      </c>
      <c r="K5" s="2" t="s">
        <v>44</v>
      </c>
      <c r="L5" s="2" t="s">
        <v>45</v>
      </c>
      <c r="M5" s="2" t="s">
        <v>46</v>
      </c>
      <c r="N5" s="3" t="s">
        <v>26</v>
      </c>
      <c r="O5" s="3" t="s">
        <v>40</v>
      </c>
    </row>
    <row r="6" customFormat="false" ht="35.05" hidden="false" customHeight="false" outlineLevel="0" collapsed="false">
      <c r="A6" s="2" t="s">
        <v>47</v>
      </c>
      <c r="B6" s="2" t="s">
        <v>48</v>
      </c>
      <c r="C6" s="3" t="s">
        <v>49</v>
      </c>
      <c r="D6" s="3" t="s">
        <v>17</v>
      </c>
      <c r="E6" s="3" t="s">
        <v>17</v>
      </c>
      <c r="F6" s="3" t="s">
        <v>17</v>
      </c>
      <c r="G6" s="2" t="s">
        <v>17</v>
      </c>
      <c r="H6" s="2" t="s">
        <v>50</v>
      </c>
      <c r="I6" s="2" t="s">
        <v>17</v>
      </c>
      <c r="J6" s="3" t="s">
        <v>17</v>
      </c>
      <c r="K6" s="2" t="s">
        <v>17</v>
      </c>
      <c r="L6" s="2" t="s">
        <v>51</v>
      </c>
      <c r="M6" s="2" t="s">
        <v>52</v>
      </c>
      <c r="N6" s="3" t="s">
        <v>26</v>
      </c>
      <c r="O6" s="3" t="s">
        <v>17</v>
      </c>
    </row>
    <row r="7" customFormat="false" ht="23.85" hidden="false" customHeight="false" outlineLevel="0" collapsed="false">
      <c r="A7" s="2" t="s">
        <v>53</v>
      </c>
      <c r="B7" s="2" t="s">
        <v>34</v>
      </c>
      <c r="C7" s="3" t="s">
        <v>17</v>
      </c>
      <c r="D7" s="3" t="s">
        <v>54</v>
      </c>
      <c r="E7" s="3" t="s">
        <v>55</v>
      </c>
      <c r="F7" s="3" t="s">
        <v>56</v>
      </c>
      <c r="G7" s="2" t="s">
        <v>43</v>
      </c>
      <c r="H7" s="2" t="s">
        <v>21</v>
      </c>
      <c r="I7" s="2" t="s">
        <v>17</v>
      </c>
      <c r="J7" s="3" t="s">
        <v>17</v>
      </c>
      <c r="K7" s="2" t="s">
        <v>57</v>
      </c>
      <c r="L7" s="2" t="s">
        <v>58</v>
      </c>
      <c r="M7" s="2" t="s">
        <v>25</v>
      </c>
      <c r="N7" s="3" t="s">
        <v>26</v>
      </c>
      <c r="O7" s="3" t="s">
        <v>54</v>
      </c>
    </row>
    <row r="8" customFormat="false" ht="15" hidden="false" customHeight="false" outlineLevel="0" collapsed="false">
      <c r="A8" s="2" t="s">
        <v>59</v>
      </c>
      <c r="B8" s="2" t="s">
        <v>34</v>
      </c>
      <c r="C8" s="3" t="s">
        <v>17</v>
      </c>
      <c r="D8" s="3" t="s">
        <v>17</v>
      </c>
      <c r="E8" s="3" t="s">
        <v>17</v>
      </c>
      <c r="F8" s="3" t="s">
        <v>17</v>
      </c>
      <c r="G8" s="2" t="s">
        <v>17</v>
      </c>
      <c r="H8" s="2" t="s">
        <v>21</v>
      </c>
      <c r="I8" s="2" t="s">
        <v>17</v>
      </c>
      <c r="J8" s="3" t="s">
        <v>17</v>
      </c>
      <c r="K8" s="2" t="s">
        <v>17</v>
      </c>
      <c r="L8" s="2" t="s">
        <v>60</v>
      </c>
      <c r="M8" s="2" t="s">
        <v>25</v>
      </c>
      <c r="N8" s="3" t="s">
        <v>26</v>
      </c>
      <c r="O8" s="3" t="s">
        <v>17</v>
      </c>
    </row>
    <row r="9" customFormat="false" ht="35.05" hidden="false" customHeight="false" outlineLevel="0" collapsed="false">
      <c r="A9" s="2" t="s">
        <v>61</v>
      </c>
      <c r="B9" s="2" t="s">
        <v>34</v>
      </c>
      <c r="C9" s="3" t="s">
        <v>17</v>
      </c>
      <c r="D9" s="3" t="s">
        <v>17</v>
      </c>
      <c r="E9" s="3" t="s">
        <v>62</v>
      </c>
      <c r="F9" s="3" t="s">
        <v>17</v>
      </c>
      <c r="G9" s="2" t="s">
        <v>63</v>
      </c>
      <c r="H9" s="2" t="s">
        <v>64</v>
      </c>
      <c r="I9" s="2" t="s">
        <v>17</v>
      </c>
      <c r="J9" s="3" t="s">
        <v>17</v>
      </c>
      <c r="K9" s="2" t="s">
        <v>65</v>
      </c>
      <c r="L9" s="2" t="s">
        <v>66</v>
      </c>
      <c r="M9" s="2" t="s">
        <v>67</v>
      </c>
      <c r="N9" s="3" t="s">
        <v>26</v>
      </c>
      <c r="O9" s="3" t="s">
        <v>17</v>
      </c>
    </row>
    <row r="10" customFormat="false" ht="23.85" hidden="false" customHeight="false" outlineLevel="0" collapsed="false">
      <c r="A10" s="2" t="s">
        <v>68</v>
      </c>
      <c r="B10" s="2" t="s">
        <v>34</v>
      </c>
      <c r="C10" s="3" t="s">
        <v>17</v>
      </c>
      <c r="D10" s="3" t="s">
        <v>17</v>
      </c>
      <c r="E10" s="3" t="s">
        <v>17</v>
      </c>
      <c r="F10" s="3" t="s">
        <v>17</v>
      </c>
      <c r="G10" s="2" t="s">
        <v>17</v>
      </c>
      <c r="H10" s="2" t="s">
        <v>69</v>
      </c>
      <c r="I10" s="2" t="s">
        <v>17</v>
      </c>
      <c r="J10" s="3" t="s">
        <v>17</v>
      </c>
      <c r="K10" s="2" t="s">
        <v>17</v>
      </c>
      <c r="L10" s="2" t="s">
        <v>70</v>
      </c>
      <c r="M10" s="2" t="s">
        <v>25</v>
      </c>
      <c r="N10" s="3" t="s">
        <v>26</v>
      </c>
      <c r="O10" s="3" t="s">
        <v>17</v>
      </c>
    </row>
    <row r="11" customFormat="false" ht="35.05" hidden="false" customHeight="false" outlineLevel="0" collapsed="false">
      <c r="A11" s="2" t="s">
        <v>71</v>
      </c>
      <c r="B11" s="2" t="s">
        <v>34</v>
      </c>
      <c r="C11" s="3" t="s">
        <v>17</v>
      </c>
      <c r="D11" s="3" t="s">
        <v>17</v>
      </c>
      <c r="E11" s="3" t="s">
        <v>72</v>
      </c>
      <c r="F11" s="3" t="s">
        <v>17</v>
      </c>
      <c r="G11" s="2" t="s">
        <v>72</v>
      </c>
      <c r="H11" s="2" t="s">
        <v>73</v>
      </c>
      <c r="I11" s="2" t="s">
        <v>74</v>
      </c>
      <c r="J11" s="3" t="s">
        <v>17</v>
      </c>
      <c r="K11" s="2" t="s">
        <v>17</v>
      </c>
      <c r="L11" s="2" t="s">
        <v>75</v>
      </c>
      <c r="M11" s="2" t="s">
        <v>76</v>
      </c>
      <c r="N11" s="3" t="s">
        <v>26</v>
      </c>
      <c r="O11" s="3" t="s">
        <v>17</v>
      </c>
    </row>
    <row r="12" customFormat="false" ht="23.85" hidden="false" customHeight="false" outlineLevel="0" collapsed="false">
      <c r="A12" s="2" t="s">
        <v>77</v>
      </c>
      <c r="B12" s="2" t="s">
        <v>78</v>
      </c>
      <c r="C12" s="3" t="s">
        <v>79</v>
      </c>
      <c r="D12" s="3" t="s">
        <v>17</v>
      </c>
      <c r="E12" s="3" t="s">
        <v>35</v>
      </c>
      <c r="F12" s="3" t="s">
        <v>17</v>
      </c>
      <c r="G12" s="2" t="s">
        <v>17</v>
      </c>
      <c r="H12" s="2" t="s">
        <v>80</v>
      </c>
      <c r="I12" s="2" t="s">
        <v>17</v>
      </c>
      <c r="J12" s="3" t="s">
        <v>17</v>
      </c>
      <c r="K12" s="2" t="s">
        <v>17</v>
      </c>
      <c r="L12" s="2" t="s">
        <v>81</v>
      </c>
      <c r="M12" s="2" t="s">
        <v>82</v>
      </c>
      <c r="N12" s="3" t="s">
        <v>26</v>
      </c>
      <c r="O12" s="3" t="s">
        <v>17</v>
      </c>
    </row>
    <row r="13" customFormat="false" ht="15" hidden="false" customHeight="false" outlineLevel="0" collapsed="false">
      <c r="A13" s="2" t="s">
        <v>83</v>
      </c>
      <c r="B13" s="2" t="s">
        <v>49</v>
      </c>
      <c r="C13" s="3" t="s">
        <v>49</v>
      </c>
      <c r="D13" s="3" t="s">
        <v>17</v>
      </c>
      <c r="E13" s="3" t="s">
        <v>84</v>
      </c>
      <c r="F13" s="3" t="s">
        <v>85</v>
      </c>
      <c r="G13" s="2" t="s">
        <v>17</v>
      </c>
      <c r="H13" s="2" t="s">
        <v>80</v>
      </c>
      <c r="I13" s="2" t="s">
        <v>17</v>
      </c>
      <c r="J13" s="3" t="s">
        <v>17</v>
      </c>
      <c r="K13" s="2" t="s">
        <v>17</v>
      </c>
      <c r="L13" s="2" t="s">
        <v>86</v>
      </c>
      <c r="M13" s="2" t="s">
        <v>87</v>
      </c>
      <c r="N13" s="3" t="s">
        <v>26</v>
      </c>
      <c r="O13" s="3" t="s">
        <v>17</v>
      </c>
    </row>
    <row r="14" customFormat="false" ht="15" hidden="false" customHeight="false" outlineLevel="0" collapsed="false">
      <c r="A14" s="2" t="s">
        <v>88</v>
      </c>
      <c r="B14" s="2" t="s">
        <v>34</v>
      </c>
      <c r="C14" s="3" t="s">
        <v>17</v>
      </c>
      <c r="D14" s="3" t="s">
        <v>89</v>
      </c>
      <c r="E14" s="3" t="s">
        <v>90</v>
      </c>
      <c r="F14" s="3" t="s">
        <v>91</v>
      </c>
      <c r="G14" s="2" t="s">
        <v>17</v>
      </c>
      <c r="H14" s="2" t="s">
        <v>92</v>
      </c>
      <c r="I14" s="2" t="s">
        <v>17</v>
      </c>
      <c r="J14" s="3" t="s">
        <v>17</v>
      </c>
      <c r="K14" s="2" t="s">
        <v>93</v>
      </c>
      <c r="L14" s="2" t="s">
        <v>94</v>
      </c>
      <c r="M14" s="2" t="s">
        <v>25</v>
      </c>
      <c r="N14" s="3" t="s">
        <v>26</v>
      </c>
      <c r="O14" s="3" t="s">
        <v>89</v>
      </c>
    </row>
    <row r="15" customFormat="false" ht="23.85" hidden="false" customHeight="false" outlineLevel="0" collapsed="false">
      <c r="A15" s="2" t="s">
        <v>95</v>
      </c>
      <c r="B15" s="2" t="s">
        <v>34</v>
      </c>
      <c r="C15" s="3" t="s">
        <v>17</v>
      </c>
      <c r="D15" s="3" t="s">
        <v>17</v>
      </c>
      <c r="E15" s="3" t="s">
        <v>17</v>
      </c>
      <c r="F15" s="3" t="s">
        <v>17</v>
      </c>
      <c r="G15" s="2" t="s">
        <v>17</v>
      </c>
      <c r="H15" s="2" t="s">
        <v>96</v>
      </c>
      <c r="I15" s="2" t="s">
        <v>17</v>
      </c>
      <c r="J15" s="3" t="s">
        <v>17</v>
      </c>
      <c r="K15" s="2" t="s">
        <v>17</v>
      </c>
      <c r="L15" s="2" t="s">
        <v>97</v>
      </c>
      <c r="M15" s="2" t="s">
        <v>25</v>
      </c>
      <c r="N15" s="3" t="s">
        <v>26</v>
      </c>
      <c r="O15" s="3" t="s">
        <v>17</v>
      </c>
    </row>
    <row r="16" customFormat="false" ht="35.05" hidden="false" customHeight="false" outlineLevel="0" collapsed="false">
      <c r="A16" s="2" t="s">
        <v>98</v>
      </c>
      <c r="B16" s="2" t="s">
        <v>34</v>
      </c>
      <c r="C16" s="3" t="s">
        <v>17</v>
      </c>
      <c r="D16" s="3" t="s">
        <v>99</v>
      </c>
      <c r="E16" s="3" t="s">
        <v>90</v>
      </c>
      <c r="F16" s="3" t="s">
        <v>91</v>
      </c>
      <c r="G16" s="2" t="s">
        <v>17</v>
      </c>
      <c r="H16" s="2" t="s">
        <v>69</v>
      </c>
      <c r="I16" s="2" t="s">
        <v>17</v>
      </c>
      <c r="J16" s="3" t="s">
        <v>22</v>
      </c>
      <c r="K16" s="2" t="s">
        <v>100</v>
      </c>
      <c r="L16" s="2" t="s">
        <v>101</v>
      </c>
      <c r="M16" s="2" t="s">
        <v>102</v>
      </c>
      <c r="N16" s="3" t="s">
        <v>26</v>
      </c>
      <c r="O16" s="3" t="s">
        <v>99</v>
      </c>
    </row>
    <row r="17" customFormat="false" ht="23.85" hidden="false" customHeight="false" outlineLevel="0" collapsed="false">
      <c r="A17" s="2" t="s">
        <v>103</v>
      </c>
      <c r="B17" s="2" t="s">
        <v>104</v>
      </c>
      <c r="C17" s="3" t="s">
        <v>49</v>
      </c>
      <c r="D17" s="3" t="s">
        <v>17</v>
      </c>
      <c r="E17" s="3" t="s">
        <v>17</v>
      </c>
      <c r="F17" s="3" t="s">
        <v>17</v>
      </c>
      <c r="G17" s="2" t="s">
        <v>17</v>
      </c>
      <c r="H17" s="2" t="s">
        <v>96</v>
      </c>
      <c r="I17" s="2" t="s">
        <v>17</v>
      </c>
      <c r="J17" s="3" t="s">
        <v>17</v>
      </c>
      <c r="K17" s="2" t="s">
        <v>17</v>
      </c>
      <c r="L17" s="2" t="s">
        <v>105</v>
      </c>
      <c r="M17" s="2" t="s">
        <v>106</v>
      </c>
      <c r="N17" s="3" t="s">
        <v>26</v>
      </c>
      <c r="O17" s="3" t="s">
        <v>17</v>
      </c>
    </row>
    <row r="18" customFormat="false" ht="35.05" hidden="false" customHeight="false" outlineLevel="0" collapsed="false">
      <c r="A18" s="2" t="s">
        <v>107</v>
      </c>
      <c r="B18" s="2" t="s">
        <v>108</v>
      </c>
      <c r="C18" s="3" t="s">
        <v>29</v>
      </c>
      <c r="D18" s="3" t="s">
        <v>109</v>
      </c>
      <c r="E18" s="3" t="s">
        <v>19</v>
      </c>
      <c r="F18" s="3" t="s">
        <v>110</v>
      </c>
      <c r="G18" s="2" t="s">
        <v>17</v>
      </c>
      <c r="H18" s="2" t="s">
        <v>64</v>
      </c>
      <c r="I18" s="2" t="s">
        <v>17</v>
      </c>
      <c r="J18" s="3" t="s">
        <v>17</v>
      </c>
      <c r="K18" s="2" t="s">
        <v>111</v>
      </c>
      <c r="L18" s="2" t="s">
        <v>112</v>
      </c>
      <c r="M18" s="2" t="s">
        <v>113</v>
      </c>
      <c r="N18" s="3" t="s">
        <v>26</v>
      </c>
      <c r="O18" s="3" t="s">
        <v>109</v>
      </c>
    </row>
    <row r="19" customFormat="false" ht="23.85" hidden="false" customHeight="false" outlineLevel="0" collapsed="false">
      <c r="A19" s="2" t="s">
        <v>114</v>
      </c>
      <c r="B19" s="2" t="s">
        <v>115</v>
      </c>
      <c r="C19" s="3" t="s">
        <v>49</v>
      </c>
      <c r="D19" s="3" t="s">
        <v>17</v>
      </c>
      <c r="E19" s="3" t="s">
        <v>17</v>
      </c>
      <c r="F19" s="3" t="s">
        <v>17</v>
      </c>
      <c r="G19" s="2" t="s">
        <v>17</v>
      </c>
      <c r="H19" s="2" t="s">
        <v>17</v>
      </c>
      <c r="I19" s="2" t="s">
        <v>116</v>
      </c>
      <c r="J19" s="3" t="s">
        <v>17</v>
      </c>
      <c r="K19" s="2" t="s">
        <v>17</v>
      </c>
      <c r="L19" s="2" t="s">
        <v>117</v>
      </c>
      <c r="M19" s="2" t="s">
        <v>118</v>
      </c>
      <c r="N19" s="3" t="s">
        <v>26</v>
      </c>
      <c r="O19" s="3" t="s">
        <v>17</v>
      </c>
    </row>
    <row r="20" customFormat="false" ht="35.05" hidden="false" customHeight="false" outlineLevel="0" collapsed="false">
      <c r="A20" s="2" t="s">
        <v>119</v>
      </c>
      <c r="B20" s="2" t="s">
        <v>16</v>
      </c>
      <c r="C20" s="3" t="s">
        <v>17</v>
      </c>
      <c r="D20" s="3" t="s">
        <v>120</v>
      </c>
      <c r="E20" s="3" t="s">
        <v>17</v>
      </c>
      <c r="F20" s="3" t="s">
        <v>17</v>
      </c>
      <c r="G20" s="2" t="s">
        <v>17</v>
      </c>
      <c r="H20" s="2" t="s">
        <v>69</v>
      </c>
      <c r="I20" s="2" t="s">
        <v>17</v>
      </c>
      <c r="J20" s="3" t="s">
        <v>22</v>
      </c>
      <c r="K20" s="2" t="s">
        <v>121</v>
      </c>
      <c r="L20" s="2" t="s">
        <v>122</v>
      </c>
      <c r="M20" s="2" t="s">
        <v>102</v>
      </c>
      <c r="N20" s="3" t="s">
        <v>26</v>
      </c>
      <c r="O20" s="3" t="s">
        <v>120</v>
      </c>
    </row>
    <row r="21" customFormat="false" ht="35.05" hidden="false" customHeight="false" outlineLevel="0" collapsed="false">
      <c r="A21" s="2" t="s">
        <v>123</v>
      </c>
      <c r="B21" s="2" t="s">
        <v>124</v>
      </c>
      <c r="C21" s="3" t="s">
        <v>17</v>
      </c>
      <c r="D21" s="3" t="s">
        <v>17</v>
      </c>
      <c r="E21" s="3" t="s">
        <v>125</v>
      </c>
      <c r="F21" s="3" t="s">
        <v>17</v>
      </c>
      <c r="G21" s="2" t="s">
        <v>17</v>
      </c>
      <c r="H21" s="2" t="s">
        <v>64</v>
      </c>
      <c r="I21" s="2" t="s">
        <v>17</v>
      </c>
      <c r="J21" s="3" t="s">
        <v>17</v>
      </c>
      <c r="K21" s="2" t="s">
        <v>17</v>
      </c>
      <c r="L21" s="2" t="s">
        <v>126</v>
      </c>
      <c r="M21" s="2" t="s">
        <v>127</v>
      </c>
      <c r="N21" s="3" t="s">
        <v>26</v>
      </c>
      <c r="O21" s="3" t="s">
        <v>17</v>
      </c>
    </row>
    <row r="22" customFormat="false" ht="23.85" hidden="false" customHeight="false" outlineLevel="0" collapsed="false">
      <c r="A22" s="2" t="s">
        <v>128</v>
      </c>
      <c r="B22" s="2" t="s">
        <v>129</v>
      </c>
      <c r="C22" s="3" t="s">
        <v>49</v>
      </c>
      <c r="D22" s="3" t="s">
        <v>17</v>
      </c>
      <c r="E22" s="3" t="s">
        <v>17</v>
      </c>
      <c r="F22" s="3" t="s">
        <v>17</v>
      </c>
      <c r="G22" s="2" t="s">
        <v>17</v>
      </c>
      <c r="H22" s="2" t="s">
        <v>96</v>
      </c>
      <c r="I22" s="2" t="s">
        <v>17</v>
      </c>
      <c r="J22" s="3" t="s">
        <v>17</v>
      </c>
      <c r="K22" s="2" t="s">
        <v>17</v>
      </c>
      <c r="L22" s="2" t="s">
        <v>130</v>
      </c>
      <c r="M22" s="2" t="s">
        <v>131</v>
      </c>
      <c r="N22" s="3" t="s">
        <v>26</v>
      </c>
      <c r="O22" s="3" t="s">
        <v>17</v>
      </c>
    </row>
    <row r="23" customFormat="false" ht="23.85" hidden="false" customHeight="false" outlineLevel="0" collapsed="false">
      <c r="A23" s="2" t="s">
        <v>132</v>
      </c>
      <c r="B23" s="2" t="s">
        <v>34</v>
      </c>
      <c r="C23" s="3" t="s">
        <v>17</v>
      </c>
      <c r="D23" s="3" t="s">
        <v>17</v>
      </c>
      <c r="E23" s="3" t="s">
        <v>17</v>
      </c>
      <c r="F23" s="3" t="s">
        <v>17</v>
      </c>
      <c r="G23" s="2" t="s">
        <v>17</v>
      </c>
      <c r="H23" s="2" t="s">
        <v>21</v>
      </c>
      <c r="I23" s="2" t="s">
        <v>17</v>
      </c>
      <c r="J23" s="3" t="s">
        <v>17</v>
      </c>
      <c r="K23" s="2" t="s">
        <v>17</v>
      </c>
      <c r="L23" s="2" t="s">
        <v>133</v>
      </c>
      <c r="M23" s="2" t="s">
        <v>25</v>
      </c>
      <c r="N23" s="3" t="s">
        <v>26</v>
      </c>
      <c r="O23" s="3" t="s">
        <v>17</v>
      </c>
    </row>
    <row r="24" customFormat="false" ht="23.85" hidden="false" customHeight="false" outlineLevel="0" collapsed="false">
      <c r="A24" s="2" t="s">
        <v>134</v>
      </c>
      <c r="B24" s="2" t="s">
        <v>34</v>
      </c>
      <c r="C24" s="3" t="s">
        <v>17</v>
      </c>
      <c r="D24" s="3" t="s">
        <v>135</v>
      </c>
      <c r="E24" s="3" t="s">
        <v>136</v>
      </c>
      <c r="F24" s="3" t="s">
        <v>137</v>
      </c>
      <c r="G24" s="2" t="s">
        <v>17</v>
      </c>
      <c r="H24" s="2" t="s">
        <v>64</v>
      </c>
      <c r="I24" s="2" t="s">
        <v>17</v>
      </c>
      <c r="J24" s="3" t="s">
        <v>17</v>
      </c>
      <c r="K24" s="2" t="s">
        <v>138</v>
      </c>
      <c r="L24" s="2" t="s">
        <v>139</v>
      </c>
      <c r="M24" s="2" t="s">
        <v>25</v>
      </c>
      <c r="N24" s="3" t="s">
        <v>26</v>
      </c>
      <c r="O24" s="3" t="s">
        <v>135</v>
      </c>
    </row>
    <row r="25" customFormat="false" ht="23.85" hidden="false" customHeight="false" outlineLevel="0" collapsed="false">
      <c r="A25" s="2" t="s">
        <v>140</v>
      </c>
      <c r="B25" s="2" t="s">
        <v>49</v>
      </c>
      <c r="C25" s="3" t="s">
        <v>49</v>
      </c>
      <c r="D25" s="3" t="s">
        <v>141</v>
      </c>
      <c r="E25" s="3" t="s">
        <v>142</v>
      </c>
      <c r="F25" s="3" t="s">
        <v>143</v>
      </c>
      <c r="G25" s="2" t="s">
        <v>17</v>
      </c>
      <c r="H25" s="2" t="s">
        <v>144</v>
      </c>
      <c r="I25" s="2" t="s">
        <v>17</v>
      </c>
      <c r="J25" s="3" t="s">
        <v>22</v>
      </c>
      <c r="K25" s="2" t="s">
        <v>145</v>
      </c>
      <c r="L25" s="2" t="s">
        <v>146</v>
      </c>
      <c r="M25" s="2" t="s">
        <v>147</v>
      </c>
      <c r="N25" s="3" t="s">
        <v>26</v>
      </c>
      <c r="O25" s="3" t="s">
        <v>141</v>
      </c>
    </row>
    <row r="26" customFormat="false" ht="23.85" hidden="false" customHeight="false" outlineLevel="0" collapsed="false">
      <c r="A26" s="2" t="s">
        <v>148</v>
      </c>
      <c r="B26" s="2" t="s">
        <v>34</v>
      </c>
      <c r="C26" s="3" t="s">
        <v>17</v>
      </c>
      <c r="D26" s="3" t="s">
        <v>149</v>
      </c>
      <c r="E26" s="3" t="s">
        <v>150</v>
      </c>
      <c r="F26" s="3" t="s">
        <v>151</v>
      </c>
      <c r="G26" s="2" t="s">
        <v>152</v>
      </c>
      <c r="H26" s="2" t="s">
        <v>153</v>
      </c>
      <c r="I26" s="2" t="s">
        <v>154</v>
      </c>
      <c r="J26" s="3" t="s">
        <v>17</v>
      </c>
      <c r="K26" s="2" t="s">
        <v>155</v>
      </c>
      <c r="L26" s="2" t="s">
        <v>156</v>
      </c>
      <c r="M26" s="2" t="s">
        <v>25</v>
      </c>
      <c r="N26" s="3" t="s">
        <v>26</v>
      </c>
      <c r="O26" s="3" t="s">
        <v>149</v>
      </c>
    </row>
    <row r="27" customFormat="false" ht="15" hidden="false" customHeight="false" outlineLevel="0" collapsed="false">
      <c r="A27" s="2" t="s">
        <v>157</v>
      </c>
      <c r="B27" s="2" t="s">
        <v>49</v>
      </c>
      <c r="C27" s="3" t="s">
        <v>49</v>
      </c>
      <c r="D27" s="3" t="s">
        <v>17</v>
      </c>
      <c r="E27" s="3" t="s">
        <v>17</v>
      </c>
      <c r="F27" s="3" t="s">
        <v>17</v>
      </c>
      <c r="G27" s="2" t="s">
        <v>17</v>
      </c>
      <c r="H27" s="2" t="s">
        <v>17</v>
      </c>
      <c r="I27" s="2" t="s">
        <v>17</v>
      </c>
      <c r="J27" s="3" t="s">
        <v>17</v>
      </c>
      <c r="K27" s="2" t="s">
        <v>17</v>
      </c>
      <c r="L27" s="2" t="s">
        <v>158</v>
      </c>
      <c r="M27" s="2" t="s">
        <v>159</v>
      </c>
      <c r="N27" s="3" t="s">
        <v>26</v>
      </c>
      <c r="O27" s="3" t="s">
        <v>17</v>
      </c>
    </row>
    <row r="28" customFormat="false" ht="23.85" hidden="false" customHeight="false" outlineLevel="0" collapsed="false">
      <c r="A28" s="2" t="s">
        <v>160</v>
      </c>
      <c r="B28" s="2" t="s">
        <v>161</v>
      </c>
      <c r="C28" s="3" t="s">
        <v>162</v>
      </c>
      <c r="D28" s="3" t="s">
        <v>17</v>
      </c>
      <c r="E28" s="3" t="s">
        <v>17</v>
      </c>
      <c r="F28" s="3" t="s">
        <v>17</v>
      </c>
      <c r="G28" s="2" t="s">
        <v>163</v>
      </c>
      <c r="H28" s="2" t="s">
        <v>164</v>
      </c>
      <c r="I28" s="2" t="s">
        <v>17</v>
      </c>
      <c r="J28" s="3" t="s">
        <v>17</v>
      </c>
      <c r="K28" s="2" t="s">
        <v>17</v>
      </c>
      <c r="L28" s="2" t="s">
        <v>165</v>
      </c>
      <c r="M28" s="2" t="s">
        <v>166</v>
      </c>
      <c r="N28" s="3" t="s">
        <v>26</v>
      </c>
      <c r="O28" s="3" t="s">
        <v>17</v>
      </c>
    </row>
    <row r="29" customFormat="false" ht="35.05" hidden="false" customHeight="false" outlineLevel="0" collapsed="false">
      <c r="A29" s="2" t="s">
        <v>167</v>
      </c>
      <c r="B29" s="2" t="s">
        <v>16</v>
      </c>
      <c r="C29" s="3" t="s">
        <v>17</v>
      </c>
      <c r="D29" s="3" t="s">
        <v>168</v>
      </c>
      <c r="E29" s="3" t="s">
        <v>19</v>
      </c>
      <c r="F29" s="3" t="s">
        <v>20</v>
      </c>
      <c r="G29" s="2" t="s">
        <v>17</v>
      </c>
      <c r="H29" s="2" t="s">
        <v>153</v>
      </c>
      <c r="I29" s="2" t="s">
        <v>169</v>
      </c>
      <c r="J29" s="3" t="s">
        <v>22</v>
      </c>
      <c r="K29" s="2" t="s">
        <v>170</v>
      </c>
      <c r="L29" s="2" t="s">
        <v>171</v>
      </c>
      <c r="M29" s="2" t="s">
        <v>172</v>
      </c>
      <c r="N29" s="3" t="s">
        <v>26</v>
      </c>
      <c r="O29" s="3" t="s">
        <v>168</v>
      </c>
    </row>
    <row r="30" customFormat="false" ht="23.85" hidden="false" customHeight="false" outlineLevel="0" collapsed="false">
      <c r="A30" s="2" t="s">
        <v>173</v>
      </c>
      <c r="B30" s="2" t="s">
        <v>34</v>
      </c>
      <c r="C30" s="3" t="s">
        <v>17</v>
      </c>
      <c r="D30" s="3" t="s">
        <v>17</v>
      </c>
      <c r="E30" s="3" t="s">
        <v>17</v>
      </c>
      <c r="F30" s="3" t="s">
        <v>17</v>
      </c>
      <c r="G30" s="2" t="s">
        <v>17</v>
      </c>
      <c r="H30" s="2" t="s">
        <v>17</v>
      </c>
      <c r="I30" s="2" t="s">
        <v>17</v>
      </c>
      <c r="J30" s="3" t="s">
        <v>17</v>
      </c>
      <c r="K30" s="2" t="s">
        <v>17</v>
      </c>
      <c r="L30" s="2" t="s">
        <v>174</v>
      </c>
      <c r="M30" s="2" t="s">
        <v>25</v>
      </c>
      <c r="N30" s="3" t="s">
        <v>26</v>
      </c>
      <c r="O30" s="3" t="s">
        <v>17</v>
      </c>
    </row>
    <row r="31" customFormat="false" ht="15" hidden="false" customHeight="false" outlineLevel="0" collapsed="false">
      <c r="A31" s="2" t="s">
        <v>175</v>
      </c>
      <c r="B31" s="2" t="s">
        <v>28</v>
      </c>
      <c r="C31" s="3" t="s">
        <v>29</v>
      </c>
      <c r="D31" s="3" t="s">
        <v>17</v>
      </c>
      <c r="E31" s="3" t="s">
        <v>17</v>
      </c>
      <c r="F31" s="3" t="s">
        <v>17</v>
      </c>
      <c r="G31" s="2" t="s">
        <v>17</v>
      </c>
      <c r="H31" s="2" t="s">
        <v>17</v>
      </c>
      <c r="I31" s="2" t="s">
        <v>17</v>
      </c>
      <c r="J31" s="3" t="s">
        <v>17</v>
      </c>
      <c r="K31" s="2" t="s">
        <v>17</v>
      </c>
      <c r="L31" s="2" t="s">
        <v>176</v>
      </c>
      <c r="M31" s="2" t="s">
        <v>177</v>
      </c>
      <c r="N31" s="3" t="s">
        <v>26</v>
      </c>
      <c r="O31" s="3" t="s">
        <v>17</v>
      </c>
    </row>
    <row r="32" customFormat="false" ht="23.85" hidden="false" customHeight="false" outlineLevel="0" collapsed="false">
      <c r="A32" s="2" t="s">
        <v>178</v>
      </c>
      <c r="B32" s="2" t="s">
        <v>179</v>
      </c>
      <c r="C32" s="3" t="s">
        <v>17</v>
      </c>
      <c r="D32" s="3" t="s">
        <v>180</v>
      </c>
      <c r="E32" s="3" t="s">
        <v>19</v>
      </c>
      <c r="F32" s="3" t="s">
        <v>20</v>
      </c>
      <c r="G32" s="2" t="s">
        <v>17</v>
      </c>
      <c r="H32" s="2" t="s">
        <v>21</v>
      </c>
      <c r="I32" s="2" t="s">
        <v>17</v>
      </c>
      <c r="J32" s="3" t="s">
        <v>22</v>
      </c>
      <c r="K32" s="2" t="s">
        <v>145</v>
      </c>
      <c r="L32" s="2" t="s">
        <v>181</v>
      </c>
      <c r="M32" s="2" t="s">
        <v>182</v>
      </c>
      <c r="N32" s="3" t="s">
        <v>26</v>
      </c>
      <c r="O32" s="3" t="s">
        <v>180</v>
      </c>
    </row>
    <row r="33" customFormat="false" ht="23.85" hidden="false" customHeight="false" outlineLevel="0" collapsed="false">
      <c r="A33" s="2" t="s">
        <v>183</v>
      </c>
      <c r="B33" s="2" t="s">
        <v>34</v>
      </c>
      <c r="C33" s="3" t="s">
        <v>17</v>
      </c>
      <c r="D33" s="3" t="s">
        <v>184</v>
      </c>
      <c r="E33" s="3" t="s">
        <v>185</v>
      </c>
      <c r="F33" s="3" t="s">
        <v>186</v>
      </c>
      <c r="G33" s="2" t="s">
        <v>17</v>
      </c>
      <c r="H33" s="2" t="s">
        <v>187</v>
      </c>
      <c r="I33" s="2" t="s">
        <v>188</v>
      </c>
      <c r="J33" s="3" t="s">
        <v>17</v>
      </c>
      <c r="K33" s="2" t="s">
        <v>121</v>
      </c>
      <c r="L33" s="2" t="s">
        <v>189</v>
      </c>
      <c r="M33" s="2" t="s">
        <v>25</v>
      </c>
      <c r="N33" s="3" t="s">
        <v>26</v>
      </c>
      <c r="O33" s="3" t="s">
        <v>184</v>
      </c>
    </row>
    <row r="34" customFormat="false" ht="15" hidden="false" customHeight="false" outlineLevel="0" collapsed="false">
      <c r="A34" s="2" t="s">
        <v>190</v>
      </c>
      <c r="B34" s="2" t="s">
        <v>28</v>
      </c>
      <c r="C34" s="3" t="s">
        <v>29</v>
      </c>
      <c r="D34" s="3" t="s">
        <v>17</v>
      </c>
      <c r="E34" s="3" t="s">
        <v>17</v>
      </c>
      <c r="F34" s="3" t="s">
        <v>17</v>
      </c>
      <c r="G34" s="2" t="s">
        <v>17</v>
      </c>
      <c r="H34" s="2" t="s">
        <v>17</v>
      </c>
      <c r="I34" s="2" t="s">
        <v>17</v>
      </c>
      <c r="J34" s="3" t="s">
        <v>17</v>
      </c>
      <c r="K34" s="2" t="s">
        <v>17</v>
      </c>
      <c r="L34" s="2" t="s">
        <v>176</v>
      </c>
      <c r="M34" s="2" t="s">
        <v>191</v>
      </c>
      <c r="N34" s="3" t="s">
        <v>26</v>
      </c>
      <c r="O34" s="3" t="s">
        <v>17</v>
      </c>
    </row>
    <row r="35" customFormat="false" ht="15" hidden="false" customHeight="false" outlineLevel="0" collapsed="false">
      <c r="A35" s="2" t="s">
        <v>192</v>
      </c>
      <c r="B35" s="2" t="s">
        <v>34</v>
      </c>
      <c r="C35" s="3" t="s">
        <v>17</v>
      </c>
      <c r="D35" s="3" t="s">
        <v>17</v>
      </c>
      <c r="E35" s="3" t="s">
        <v>193</v>
      </c>
      <c r="F35" s="3" t="s">
        <v>17</v>
      </c>
      <c r="G35" s="2" t="s">
        <v>17</v>
      </c>
      <c r="H35" s="2" t="s">
        <v>80</v>
      </c>
      <c r="I35" s="2" t="s">
        <v>17</v>
      </c>
      <c r="J35" s="3" t="s">
        <v>17</v>
      </c>
      <c r="K35" s="2" t="s">
        <v>17</v>
      </c>
      <c r="L35" s="2" t="s">
        <v>194</v>
      </c>
      <c r="M35" s="2" t="s">
        <v>25</v>
      </c>
      <c r="N35" s="3" t="s">
        <v>26</v>
      </c>
      <c r="O35" s="3" t="s">
        <v>17</v>
      </c>
    </row>
    <row r="36" customFormat="false" ht="35.05" hidden="false" customHeight="false" outlineLevel="0" collapsed="false">
      <c r="A36" s="2" t="s">
        <v>195</v>
      </c>
      <c r="B36" s="2" t="s">
        <v>34</v>
      </c>
      <c r="C36" s="3" t="s">
        <v>17</v>
      </c>
      <c r="D36" s="3" t="s">
        <v>17</v>
      </c>
      <c r="E36" s="3" t="s">
        <v>17</v>
      </c>
      <c r="F36" s="3" t="s">
        <v>17</v>
      </c>
      <c r="G36" s="2" t="s">
        <v>196</v>
      </c>
      <c r="H36" s="2" t="s">
        <v>17</v>
      </c>
      <c r="I36" s="2" t="s">
        <v>197</v>
      </c>
      <c r="J36" s="3" t="s">
        <v>17</v>
      </c>
      <c r="K36" s="2" t="s">
        <v>17</v>
      </c>
      <c r="L36" s="2" t="s">
        <v>198</v>
      </c>
      <c r="M36" s="2" t="s">
        <v>199</v>
      </c>
      <c r="N36" s="3" t="s">
        <v>26</v>
      </c>
      <c r="O36" s="3" t="s">
        <v>17</v>
      </c>
    </row>
    <row r="37" customFormat="false" ht="35.05" hidden="false" customHeight="false" outlineLevel="0" collapsed="false">
      <c r="A37" s="2" t="s">
        <v>200</v>
      </c>
      <c r="B37" s="2" t="s">
        <v>34</v>
      </c>
      <c r="C37" s="3" t="s">
        <v>17</v>
      </c>
      <c r="D37" s="3" t="s">
        <v>201</v>
      </c>
      <c r="E37" s="3" t="s">
        <v>19</v>
      </c>
      <c r="F37" s="3" t="s">
        <v>20</v>
      </c>
      <c r="G37" s="2" t="s">
        <v>17</v>
      </c>
      <c r="H37" s="2" t="s">
        <v>80</v>
      </c>
      <c r="I37" s="2" t="s">
        <v>17</v>
      </c>
      <c r="J37" s="3" t="s">
        <v>17</v>
      </c>
      <c r="K37" s="2" t="s">
        <v>17</v>
      </c>
      <c r="L37" s="2" t="s">
        <v>202</v>
      </c>
      <c r="M37" s="2" t="s">
        <v>203</v>
      </c>
      <c r="N37" s="3" t="s">
        <v>26</v>
      </c>
      <c r="O37" s="3" t="s">
        <v>201</v>
      </c>
    </row>
    <row r="38" customFormat="false" ht="23.85" hidden="false" customHeight="false" outlineLevel="0" collapsed="false">
      <c r="A38" s="2" t="s">
        <v>204</v>
      </c>
      <c r="B38" s="2" t="s">
        <v>34</v>
      </c>
      <c r="C38" s="3" t="s">
        <v>17</v>
      </c>
      <c r="D38" s="3" t="s">
        <v>17</v>
      </c>
      <c r="E38" s="3" t="s">
        <v>193</v>
      </c>
      <c r="F38" s="3" t="s">
        <v>17</v>
      </c>
      <c r="G38" s="2" t="s">
        <v>17</v>
      </c>
      <c r="H38" s="2" t="s">
        <v>64</v>
      </c>
      <c r="I38" s="2" t="s">
        <v>17</v>
      </c>
      <c r="J38" s="3" t="s">
        <v>17</v>
      </c>
      <c r="K38" s="2" t="s">
        <v>17</v>
      </c>
      <c r="L38" s="2" t="s">
        <v>205</v>
      </c>
      <c r="M38" s="2" t="s">
        <v>25</v>
      </c>
      <c r="N38" s="3" t="s">
        <v>26</v>
      </c>
      <c r="O38" s="3" t="s">
        <v>17</v>
      </c>
    </row>
    <row r="39" customFormat="false" ht="23.85" hidden="false" customHeight="false" outlineLevel="0" collapsed="false">
      <c r="A39" s="2" t="s">
        <v>206</v>
      </c>
      <c r="B39" s="2" t="s">
        <v>34</v>
      </c>
      <c r="C39" s="3" t="s">
        <v>17</v>
      </c>
      <c r="D39" s="3" t="s">
        <v>17</v>
      </c>
      <c r="E39" s="3" t="s">
        <v>207</v>
      </c>
      <c r="F39" s="3" t="s">
        <v>17</v>
      </c>
      <c r="G39" s="2" t="s">
        <v>17</v>
      </c>
      <c r="H39" s="2" t="s">
        <v>64</v>
      </c>
      <c r="I39" s="2" t="s">
        <v>17</v>
      </c>
      <c r="J39" s="3" t="s">
        <v>17</v>
      </c>
      <c r="K39" s="2" t="s">
        <v>17</v>
      </c>
      <c r="L39" s="2" t="s">
        <v>208</v>
      </c>
      <c r="M39" s="2" t="s">
        <v>25</v>
      </c>
      <c r="N39" s="3" t="s">
        <v>26</v>
      </c>
      <c r="O39" s="3" t="s">
        <v>17</v>
      </c>
    </row>
    <row r="40" customFormat="false" ht="35.05" hidden="false" customHeight="false" outlineLevel="0" collapsed="false">
      <c r="A40" s="2" t="s">
        <v>209</v>
      </c>
      <c r="B40" s="2" t="s">
        <v>34</v>
      </c>
      <c r="C40" s="3" t="s">
        <v>17</v>
      </c>
      <c r="D40" s="3" t="s">
        <v>17</v>
      </c>
      <c r="E40" s="3" t="s">
        <v>210</v>
      </c>
      <c r="F40" s="3" t="s">
        <v>17</v>
      </c>
      <c r="G40" s="2" t="s">
        <v>17</v>
      </c>
      <c r="H40" s="2" t="s">
        <v>64</v>
      </c>
      <c r="I40" s="2" t="s">
        <v>17</v>
      </c>
      <c r="J40" s="3" t="s">
        <v>17</v>
      </c>
      <c r="K40" s="2" t="s">
        <v>17</v>
      </c>
      <c r="L40" s="2" t="s">
        <v>211</v>
      </c>
      <c r="M40" s="2" t="s">
        <v>212</v>
      </c>
      <c r="N40" s="3" t="s">
        <v>26</v>
      </c>
      <c r="O40" s="3" t="s">
        <v>17</v>
      </c>
    </row>
    <row r="41" customFormat="false" ht="35.05" hidden="false" customHeight="false" outlineLevel="0" collapsed="false">
      <c r="A41" s="2" t="s">
        <v>213</v>
      </c>
      <c r="B41" s="2" t="s">
        <v>214</v>
      </c>
      <c r="C41" s="3" t="s">
        <v>17</v>
      </c>
      <c r="D41" s="3" t="s">
        <v>17</v>
      </c>
      <c r="E41" s="3" t="s">
        <v>84</v>
      </c>
      <c r="F41" s="3" t="s">
        <v>17</v>
      </c>
      <c r="G41" s="2" t="s">
        <v>17</v>
      </c>
      <c r="H41" s="2" t="s">
        <v>64</v>
      </c>
      <c r="I41" s="2" t="s">
        <v>17</v>
      </c>
      <c r="J41" s="3" t="s">
        <v>17</v>
      </c>
      <c r="K41" s="2" t="s">
        <v>17</v>
      </c>
      <c r="L41" s="2" t="s">
        <v>215</v>
      </c>
      <c r="M41" s="2" t="s">
        <v>216</v>
      </c>
      <c r="N41" s="3" t="s">
        <v>26</v>
      </c>
      <c r="O41" s="3" t="s">
        <v>17</v>
      </c>
    </row>
    <row r="42" customFormat="false" ht="35.05" hidden="false" customHeight="false" outlineLevel="0" collapsed="false">
      <c r="A42" s="2" t="s">
        <v>217</v>
      </c>
      <c r="B42" s="2" t="s">
        <v>218</v>
      </c>
      <c r="C42" s="3" t="s">
        <v>17</v>
      </c>
      <c r="D42" s="3" t="s">
        <v>17</v>
      </c>
      <c r="E42" s="3" t="s">
        <v>72</v>
      </c>
      <c r="F42" s="3" t="s">
        <v>17</v>
      </c>
      <c r="G42" s="2" t="s">
        <v>17</v>
      </c>
      <c r="H42" s="2" t="s">
        <v>64</v>
      </c>
      <c r="I42" s="2" t="s">
        <v>17</v>
      </c>
      <c r="J42" s="3" t="s">
        <v>17</v>
      </c>
      <c r="K42" s="2" t="s">
        <v>17</v>
      </c>
      <c r="L42" s="2" t="s">
        <v>219</v>
      </c>
      <c r="M42" s="2" t="s">
        <v>220</v>
      </c>
      <c r="N42" s="3" t="s">
        <v>26</v>
      </c>
      <c r="O42" s="3" t="s">
        <v>17</v>
      </c>
    </row>
    <row r="43" customFormat="false" ht="23.85" hidden="false" customHeight="false" outlineLevel="0" collapsed="false">
      <c r="A43" s="2" t="s">
        <v>221</v>
      </c>
      <c r="B43" s="2" t="s">
        <v>214</v>
      </c>
      <c r="C43" s="3" t="s">
        <v>17</v>
      </c>
      <c r="D43" s="3" t="s">
        <v>17</v>
      </c>
      <c r="E43" s="3" t="s">
        <v>222</v>
      </c>
      <c r="F43" s="3" t="s">
        <v>17</v>
      </c>
      <c r="G43" s="2" t="s">
        <v>17</v>
      </c>
      <c r="H43" s="2" t="s">
        <v>64</v>
      </c>
      <c r="I43" s="2" t="s">
        <v>17</v>
      </c>
      <c r="J43" s="3" t="s">
        <v>17</v>
      </c>
      <c r="K43" s="2" t="s">
        <v>17</v>
      </c>
      <c r="L43" s="2" t="s">
        <v>223</v>
      </c>
      <c r="M43" s="2" t="s">
        <v>224</v>
      </c>
      <c r="N43" s="3" t="s">
        <v>26</v>
      </c>
      <c r="O43" s="3" t="s">
        <v>17</v>
      </c>
    </row>
    <row r="44" customFormat="false" ht="23.85" hidden="false" customHeight="false" outlineLevel="0" collapsed="false">
      <c r="A44" s="2" t="s">
        <v>225</v>
      </c>
      <c r="B44" s="2" t="s">
        <v>226</v>
      </c>
      <c r="C44" s="3" t="s">
        <v>49</v>
      </c>
      <c r="D44" s="3" t="s">
        <v>227</v>
      </c>
      <c r="E44" s="3" t="s">
        <v>90</v>
      </c>
      <c r="F44" s="3" t="s">
        <v>91</v>
      </c>
      <c r="G44" s="2" t="s">
        <v>228</v>
      </c>
      <c r="H44" s="2" t="s">
        <v>69</v>
      </c>
      <c r="I44" s="2" t="s">
        <v>17</v>
      </c>
      <c r="J44" s="3" t="s">
        <v>22</v>
      </c>
      <c r="K44" s="2" t="s">
        <v>229</v>
      </c>
      <c r="L44" s="2" t="s">
        <v>230</v>
      </c>
      <c r="M44" s="2" t="s">
        <v>231</v>
      </c>
      <c r="N44" s="3" t="s">
        <v>26</v>
      </c>
      <c r="O44" s="3" t="s">
        <v>227</v>
      </c>
    </row>
    <row r="45" customFormat="false" ht="35.05" hidden="false" customHeight="false" outlineLevel="0" collapsed="false">
      <c r="A45" s="2" t="s">
        <v>232</v>
      </c>
      <c r="B45" s="2" t="s">
        <v>34</v>
      </c>
      <c r="C45" s="3" t="s">
        <v>17</v>
      </c>
      <c r="D45" s="3" t="s">
        <v>17</v>
      </c>
      <c r="E45" s="3" t="s">
        <v>233</v>
      </c>
      <c r="F45" s="3" t="s">
        <v>17</v>
      </c>
      <c r="G45" s="2" t="s">
        <v>233</v>
      </c>
      <c r="H45" s="2" t="s">
        <v>30</v>
      </c>
      <c r="I45" s="2" t="s">
        <v>17</v>
      </c>
      <c r="J45" s="3" t="s">
        <v>17</v>
      </c>
      <c r="K45" s="2" t="s">
        <v>17</v>
      </c>
      <c r="L45" s="2" t="s">
        <v>234</v>
      </c>
      <c r="M45" s="2" t="s">
        <v>235</v>
      </c>
      <c r="N45" s="3" t="s">
        <v>26</v>
      </c>
      <c r="O45" s="3" t="s">
        <v>17</v>
      </c>
    </row>
    <row r="46" customFormat="false" ht="23.85" hidden="false" customHeight="false" outlineLevel="0" collapsed="false">
      <c r="A46" s="2" t="s">
        <v>236</v>
      </c>
      <c r="B46" s="2" t="s">
        <v>34</v>
      </c>
      <c r="C46" s="3" t="s">
        <v>17</v>
      </c>
      <c r="D46" s="3" t="s">
        <v>17</v>
      </c>
      <c r="E46" s="3" t="s">
        <v>237</v>
      </c>
      <c r="F46" s="3" t="s">
        <v>17</v>
      </c>
      <c r="G46" s="2" t="s">
        <v>17</v>
      </c>
      <c r="H46" s="2" t="s">
        <v>64</v>
      </c>
      <c r="I46" s="2" t="s">
        <v>17</v>
      </c>
      <c r="J46" s="3" t="s">
        <v>17</v>
      </c>
      <c r="K46" s="2" t="s">
        <v>17</v>
      </c>
      <c r="L46" s="2" t="s">
        <v>238</v>
      </c>
      <c r="M46" s="2" t="s">
        <v>25</v>
      </c>
      <c r="N46" s="3" t="s">
        <v>26</v>
      </c>
      <c r="O46" s="3" t="s">
        <v>17</v>
      </c>
    </row>
    <row r="47" customFormat="false" ht="23.85" hidden="false" customHeight="false" outlineLevel="0" collapsed="false">
      <c r="A47" s="2" t="s">
        <v>239</v>
      </c>
      <c r="B47" s="2" t="s">
        <v>34</v>
      </c>
      <c r="C47" s="3" t="s">
        <v>17</v>
      </c>
      <c r="D47" s="3" t="s">
        <v>240</v>
      </c>
      <c r="E47" s="3" t="s">
        <v>185</v>
      </c>
      <c r="F47" s="3" t="s">
        <v>241</v>
      </c>
      <c r="G47" s="2" t="s">
        <v>17</v>
      </c>
      <c r="H47" s="2" t="s">
        <v>92</v>
      </c>
      <c r="I47" s="2" t="s">
        <v>17</v>
      </c>
      <c r="J47" s="3" t="s">
        <v>17</v>
      </c>
      <c r="K47" s="2" t="s">
        <v>93</v>
      </c>
      <c r="L47" s="2" t="s">
        <v>242</v>
      </c>
      <c r="M47" s="2" t="s">
        <v>25</v>
      </c>
      <c r="N47" s="3" t="s">
        <v>26</v>
      </c>
      <c r="O47" s="3" t="s">
        <v>240</v>
      </c>
    </row>
    <row r="48" customFormat="false" ht="15" hidden="false" customHeight="false" outlineLevel="0" collapsed="false">
      <c r="A48" s="2" t="s">
        <v>243</v>
      </c>
      <c r="B48" s="2" t="s">
        <v>28</v>
      </c>
      <c r="C48" s="3" t="s">
        <v>29</v>
      </c>
      <c r="D48" s="3" t="s">
        <v>17</v>
      </c>
      <c r="E48" s="3" t="s">
        <v>17</v>
      </c>
      <c r="F48" s="3" t="s">
        <v>17</v>
      </c>
      <c r="G48" s="2" t="s">
        <v>17</v>
      </c>
      <c r="H48" s="2" t="s">
        <v>69</v>
      </c>
      <c r="I48" s="2" t="s">
        <v>17</v>
      </c>
      <c r="J48" s="3" t="s">
        <v>17</v>
      </c>
      <c r="K48" s="2" t="s">
        <v>17</v>
      </c>
      <c r="L48" s="2" t="s">
        <v>244</v>
      </c>
      <c r="M48" s="2" t="s">
        <v>245</v>
      </c>
      <c r="N48" s="3" t="s">
        <v>26</v>
      </c>
      <c r="O48" s="3" t="s">
        <v>17</v>
      </c>
    </row>
    <row r="49" customFormat="false" ht="23.85" hidden="false" customHeight="false" outlineLevel="0" collapsed="false">
      <c r="A49" s="2" t="s">
        <v>246</v>
      </c>
      <c r="B49" s="2" t="s">
        <v>179</v>
      </c>
      <c r="C49" s="3" t="s">
        <v>17</v>
      </c>
      <c r="D49" s="3" t="s">
        <v>17</v>
      </c>
      <c r="E49" s="3" t="s">
        <v>17</v>
      </c>
      <c r="F49" s="3" t="s">
        <v>17</v>
      </c>
      <c r="G49" s="2" t="s">
        <v>17</v>
      </c>
      <c r="H49" s="2" t="s">
        <v>96</v>
      </c>
      <c r="I49" s="2" t="s">
        <v>17</v>
      </c>
      <c r="J49" s="3" t="s">
        <v>17</v>
      </c>
      <c r="K49" s="2" t="s">
        <v>17</v>
      </c>
      <c r="L49" s="2" t="s">
        <v>247</v>
      </c>
      <c r="M49" s="2" t="s">
        <v>248</v>
      </c>
      <c r="N49" s="3" t="s">
        <v>26</v>
      </c>
      <c r="O49" s="3" t="s">
        <v>17</v>
      </c>
    </row>
    <row r="50" customFormat="false" ht="23.85" hidden="false" customHeight="false" outlineLevel="0" collapsed="false">
      <c r="A50" s="2" t="s">
        <v>249</v>
      </c>
      <c r="B50" s="2" t="s">
        <v>250</v>
      </c>
      <c r="C50" s="3" t="s">
        <v>39</v>
      </c>
      <c r="D50" s="3" t="s">
        <v>251</v>
      </c>
      <c r="E50" s="3" t="s">
        <v>19</v>
      </c>
      <c r="F50" s="3" t="s">
        <v>252</v>
      </c>
      <c r="G50" s="2" t="s">
        <v>17</v>
      </c>
      <c r="H50" s="2" t="s">
        <v>73</v>
      </c>
      <c r="I50" s="2" t="s">
        <v>154</v>
      </c>
      <c r="J50" s="3" t="s">
        <v>17</v>
      </c>
      <c r="K50" s="2" t="s">
        <v>253</v>
      </c>
      <c r="L50" s="2" t="s">
        <v>254</v>
      </c>
      <c r="M50" s="2" t="s">
        <v>255</v>
      </c>
      <c r="N50" s="3" t="s">
        <v>26</v>
      </c>
      <c r="O50" s="3" t="s">
        <v>251</v>
      </c>
    </row>
    <row r="51" customFormat="false" ht="15" hidden="false" customHeight="false" outlineLevel="0" collapsed="false">
      <c r="A51" s="2" t="s">
        <v>256</v>
      </c>
      <c r="B51" s="2" t="s">
        <v>34</v>
      </c>
      <c r="C51" s="3" t="s">
        <v>17</v>
      </c>
      <c r="D51" s="3" t="s">
        <v>257</v>
      </c>
      <c r="E51" s="3" t="s">
        <v>84</v>
      </c>
      <c r="F51" s="3" t="s">
        <v>85</v>
      </c>
      <c r="G51" s="2" t="s">
        <v>17</v>
      </c>
      <c r="H51" s="2" t="s">
        <v>64</v>
      </c>
      <c r="I51" s="2" t="s">
        <v>17</v>
      </c>
      <c r="J51" s="3" t="s">
        <v>17</v>
      </c>
      <c r="K51" s="2" t="s">
        <v>258</v>
      </c>
      <c r="L51" s="2" t="s">
        <v>259</v>
      </c>
      <c r="M51" s="2" t="s">
        <v>25</v>
      </c>
      <c r="N51" s="3" t="s">
        <v>26</v>
      </c>
      <c r="O51" s="3" t="s">
        <v>257</v>
      </c>
    </row>
    <row r="52" customFormat="false" ht="23.85" hidden="false" customHeight="false" outlineLevel="0" collapsed="false">
      <c r="A52" s="2" t="s">
        <v>260</v>
      </c>
      <c r="B52" s="2" t="s">
        <v>261</v>
      </c>
      <c r="C52" s="3" t="s">
        <v>49</v>
      </c>
      <c r="D52" s="3" t="s">
        <v>262</v>
      </c>
      <c r="E52" s="3" t="s">
        <v>185</v>
      </c>
      <c r="F52" s="3" t="s">
        <v>241</v>
      </c>
      <c r="G52" s="2" t="s">
        <v>17</v>
      </c>
      <c r="H52" s="2" t="s">
        <v>92</v>
      </c>
      <c r="I52" s="2" t="s">
        <v>263</v>
      </c>
      <c r="J52" s="3" t="s">
        <v>22</v>
      </c>
      <c r="K52" s="2" t="s">
        <v>264</v>
      </c>
      <c r="L52" s="2" t="s">
        <v>265</v>
      </c>
      <c r="M52" s="2" t="s">
        <v>266</v>
      </c>
      <c r="N52" s="3" t="s">
        <v>26</v>
      </c>
      <c r="O52" s="3" t="s">
        <v>262</v>
      </c>
    </row>
    <row r="53" customFormat="false" ht="23.85" hidden="false" customHeight="false" outlineLevel="0" collapsed="false">
      <c r="A53" s="2" t="s">
        <v>267</v>
      </c>
      <c r="B53" s="2" t="s">
        <v>104</v>
      </c>
      <c r="C53" s="3" t="s">
        <v>49</v>
      </c>
      <c r="D53" s="3" t="s">
        <v>17</v>
      </c>
      <c r="E53" s="3" t="s">
        <v>17</v>
      </c>
      <c r="F53" s="3" t="s">
        <v>17</v>
      </c>
      <c r="G53" s="2" t="s">
        <v>268</v>
      </c>
      <c r="H53" s="2" t="s">
        <v>80</v>
      </c>
      <c r="I53" s="2" t="s">
        <v>17</v>
      </c>
      <c r="J53" s="3" t="s">
        <v>17</v>
      </c>
      <c r="K53" s="2" t="s">
        <v>17</v>
      </c>
      <c r="L53" s="2" t="s">
        <v>269</v>
      </c>
      <c r="M53" s="2" t="s">
        <v>270</v>
      </c>
      <c r="N53" s="3" t="s">
        <v>26</v>
      </c>
      <c r="O53" s="3" t="s">
        <v>17</v>
      </c>
    </row>
    <row r="54" customFormat="false" ht="15" hidden="false" customHeight="false" outlineLevel="0" collapsed="false">
      <c r="A54" s="2" t="s">
        <v>271</v>
      </c>
      <c r="B54" s="2" t="s">
        <v>34</v>
      </c>
      <c r="C54" s="3" t="s">
        <v>17</v>
      </c>
      <c r="D54" s="3" t="s">
        <v>17</v>
      </c>
      <c r="E54" s="3" t="s">
        <v>17</v>
      </c>
      <c r="F54" s="3" t="s">
        <v>17</v>
      </c>
      <c r="G54" s="2" t="s">
        <v>17</v>
      </c>
      <c r="H54" s="2" t="s">
        <v>21</v>
      </c>
      <c r="I54" s="2" t="s">
        <v>17</v>
      </c>
      <c r="J54" s="3" t="s">
        <v>17</v>
      </c>
      <c r="K54" s="2" t="s">
        <v>17</v>
      </c>
      <c r="L54" s="2" t="s">
        <v>272</v>
      </c>
      <c r="M54" s="2" t="s">
        <v>25</v>
      </c>
      <c r="N54" s="3" t="s">
        <v>26</v>
      </c>
      <c r="O54" s="3" t="s">
        <v>17</v>
      </c>
    </row>
    <row r="55" customFormat="false" ht="23.85" hidden="false" customHeight="false" outlineLevel="0" collapsed="false">
      <c r="A55" s="2" t="s">
        <v>273</v>
      </c>
      <c r="B55" s="2" t="s">
        <v>274</v>
      </c>
      <c r="C55" s="3" t="s">
        <v>29</v>
      </c>
      <c r="D55" s="3" t="s">
        <v>17</v>
      </c>
      <c r="E55" s="3" t="s">
        <v>275</v>
      </c>
      <c r="F55" s="3" t="s">
        <v>17</v>
      </c>
      <c r="G55" s="2" t="s">
        <v>275</v>
      </c>
      <c r="H55" s="2" t="s">
        <v>164</v>
      </c>
      <c r="I55" s="2" t="s">
        <v>17</v>
      </c>
      <c r="J55" s="3" t="s">
        <v>17</v>
      </c>
      <c r="K55" s="2" t="s">
        <v>17</v>
      </c>
      <c r="L55" s="2" t="s">
        <v>276</v>
      </c>
      <c r="M55" s="2" t="s">
        <v>277</v>
      </c>
      <c r="N55" s="3" t="s">
        <v>26</v>
      </c>
      <c r="O55" s="3" t="s">
        <v>17</v>
      </c>
    </row>
    <row r="56" customFormat="false" ht="23.85" hidden="false" customHeight="false" outlineLevel="0" collapsed="false">
      <c r="A56" s="2" t="s">
        <v>278</v>
      </c>
      <c r="B56" s="2" t="s">
        <v>16</v>
      </c>
      <c r="C56" s="3" t="s">
        <v>17</v>
      </c>
      <c r="D56" s="3" t="s">
        <v>279</v>
      </c>
      <c r="E56" s="3" t="s">
        <v>19</v>
      </c>
      <c r="F56" s="3" t="s">
        <v>20</v>
      </c>
      <c r="G56" s="2" t="s">
        <v>17</v>
      </c>
      <c r="H56" s="2" t="s">
        <v>21</v>
      </c>
      <c r="I56" s="2" t="s">
        <v>17</v>
      </c>
      <c r="J56" s="3" t="s">
        <v>22</v>
      </c>
      <c r="K56" s="2" t="s">
        <v>280</v>
      </c>
      <c r="L56" s="2" t="s">
        <v>281</v>
      </c>
      <c r="M56" s="2" t="s">
        <v>25</v>
      </c>
      <c r="N56" s="3" t="s">
        <v>26</v>
      </c>
      <c r="O56" s="3" t="s">
        <v>279</v>
      </c>
    </row>
    <row r="57" customFormat="false" ht="23.85" hidden="false" customHeight="false" outlineLevel="0" collapsed="false">
      <c r="A57" s="2" t="s">
        <v>282</v>
      </c>
      <c r="B57" s="2" t="s">
        <v>34</v>
      </c>
      <c r="C57" s="3" t="s">
        <v>17</v>
      </c>
      <c r="D57" s="3" t="s">
        <v>17</v>
      </c>
      <c r="E57" s="3" t="s">
        <v>17</v>
      </c>
      <c r="F57" s="3" t="s">
        <v>17</v>
      </c>
      <c r="G57" s="2" t="s">
        <v>17</v>
      </c>
      <c r="H57" s="2" t="s">
        <v>17</v>
      </c>
      <c r="I57" s="2" t="s">
        <v>17</v>
      </c>
      <c r="J57" s="3" t="s">
        <v>17</v>
      </c>
      <c r="K57" s="2" t="s">
        <v>17</v>
      </c>
      <c r="L57" s="2" t="s">
        <v>283</v>
      </c>
      <c r="M57" s="2" t="s">
        <v>25</v>
      </c>
      <c r="N57" s="3" t="s">
        <v>26</v>
      </c>
      <c r="O57" s="3" t="s">
        <v>17</v>
      </c>
    </row>
    <row r="58" customFormat="false" ht="23.85" hidden="false" customHeight="false" outlineLevel="0" collapsed="false">
      <c r="A58" s="2" t="s">
        <v>284</v>
      </c>
      <c r="B58" s="2" t="s">
        <v>34</v>
      </c>
      <c r="C58" s="3" t="s">
        <v>17</v>
      </c>
      <c r="D58" s="3" t="s">
        <v>285</v>
      </c>
      <c r="E58" s="3" t="s">
        <v>286</v>
      </c>
      <c r="F58" s="3" t="s">
        <v>287</v>
      </c>
      <c r="G58" s="2" t="s">
        <v>17</v>
      </c>
      <c r="H58" s="2" t="s">
        <v>21</v>
      </c>
      <c r="I58" s="2" t="s">
        <v>17</v>
      </c>
      <c r="J58" s="3" t="s">
        <v>17</v>
      </c>
      <c r="K58" s="2" t="s">
        <v>288</v>
      </c>
      <c r="L58" s="2" t="s">
        <v>289</v>
      </c>
      <c r="M58" s="2" t="s">
        <v>25</v>
      </c>
      <c r="N58" s="3" t="s">
        <v>26</v>
      </c>
      <c r="O58" s="3" t="s">
        <v>285</v>
      </c>
    </row>
    <row r="59" customFormat="false" ht="35.05" hidden="false" customHeight="false" outlineLevel="0" collapsed="false">
      <c r="A59" s="2" t="s">
        <v>290</v>
      </c>
      <c r="B59" s="2" t="s">
        <v>34</v>
      </c>
      <c r="C59" s="3" t="s">
        <v>17</v>
      </c>
      <c r="D59" s="3" t="s">
        <v>291</v>
      </c>
      <c r="E59" s="3" t="s">
        <v>19</v>
      </c>
      <c r="F59" s="3" t="s">
        <v>20</v>
      </c>
      <c r="G59" s="2" t="s">
        <v>17</v>
      </c>
      <c r="H59" s="2" t="s">
        <v>144</v>
      </c>
      <c r="I59" s="2" t="s">
        <v>17</v>
      </c>
      <c r="J59" s="3" t="s">
        <v>22</v>
      </c>
      <c r="K59" s="2" t="s">
        <v>292</v>
      </c>
      <c r="L59" s="2" t="s">
        <v>293</v>
      </c>
      <c r="M59" s="2" t="s">
        <v>294</v>
      </c>
      <c r="N59" s="3" t="s">
        <v>26</v>
      </c>
      <c r="O59" s="3" t="s">
        <v>291</v>
      </c>
    </row>
    <row r="60" customFormat="false" ht="23.85" hidden="false" customHeight="false" outlineLevel="0" collapsed="false">
      <c r="A60" s="2" t="s">
        <v>295</v>
      </c>
      <c r="B60" s="2" t="s">
        <v>296</v>
      </c>
      <c r="C60" s="3" t="s">
        <v>297</v>
      </c>
      <c r="D60" s="3" t="s">
        <v>17</v>
      </c>
      <c r="E60" s="3" t="s">
        <v>17</v>
      </c>
      <c r="F60" s="3" t="s">
        <v>17</v>
      </c>
      <c r="G60" s="2" t="s">
        <v>17</v>
      </c>
      <c r="H60" s="2" t="s">
        <v>17</v>
      </c>
      <c r="I60" s="2" t="s">
        <v>17</v>
      </c>
      <c r="J60" s="3" t="s">
        <v>17</v>
      </c>
      <c r="K60" s="2" t="s">
        <v>17</v>
      </c>
      <c r="L60" s="2" t="s">
        <v>298</v>
      </c>
      <c r="M60" s="2" t="s">
        <v>299</v>
      </c>
      <c r="N60" s="3" t="s">
        <v>26</v>
      </c>
      <c r="O60" s="3" t="s">
        <v>17</v>
      </c>
    </row>
    <row r="61" customFormat="false" ht="35.05" hidden="false" customHeight="false" outlineLevel="0" collapsed="false">
      <c r="A61" s="2" t="s">
        <v>300</v>
      </c>
      <c r="B61" s="2" t="s">
        <v>34</v>
      </c>
      <c r="C61" s="3" t="s">
        <v>17</v>
      </c>
      <c r="D61" s="3" t="s">
        <v>301</v>
      </c>
      <c r="E61" s="3" t="s">
        <v>185</v>
      </c>
      <c r="F61" s="3" t="s">
        <v>302</v>
      </c>
      <c r="G61" s="2" t="s">
        <v>17</v>
      </c>
      <c r="H61" s="2" t="s">
        <v>64</v>
      </c>
      <c r="I61" s="2" t="s">
        <v>17</v>
      </c>
      <c r="J61" s="3" t="s">
        <v>17</v>
      </c>
      <c r="K61" s="2" t="s">
        <v>303</v>
      </c>
      <c r="L61" s="2" t="s">
        <v>304</v>
      </c>
      <c r="M61" s="2" t="s">
        <v>67</v>
      </c>
      <c r="N61" s="3" t="s">
        <v>26</v>
      </c>
      <c r="O61" s="3" t="s">
        <v>301</v>
      </c>
    </row>
    <row r="62" customFormat="false" ht="23.85" hidden="false" customHeight="false" outlineLevel="0" collapsed="false">
      <c r="A62" s="2" t="s">
        <v>305</v>
      </c>
      <c r="B62" s="2" t="s">
        <v>34</v>
      </c>
      <c r="C62" s="3" t="s">
        <v>17</v>
      </c>
      <c r="D62" s="3" t="s">
        <v>306</v>
      </c>
      <c r="E62" s="3" t="s">
        <v>185</v>
      </c>
      <c r="F62" s="3" t="s">
        <v>302</v>
      </c>
      <c r="G62" s="2" t="s">
        <v>17</v>
      </c>
      <c r="H62" s="2" t="s">
        <v>21</v>
      </c>
      <c r="I62" s="2" t="s">
        <v>17</v>
      </c>
      <c r="J62" s="3" t="s">
        <v>17</v>
      </c>
      <c r="K62" s="2" t="s">
        <v>303</v>
      </c>
      <c r="L62" s="2" t="s">
        <v>307</v>
      </c>
      <c r="M62" s="2" t="s">
        <v>25</v>
      </c>
      <c r="N62" s="3" t="s">
        <v>26</v>
      </c>
      <c r="O62" s="3" t="s">
        <v>306</v>
      </c>
    </row>
    <row r="63" customFormat="false" ht="23.85" hidden="false" customHeight="false" outlineLevel="0" collapsed="false">
      <c r="A63" s="2" t="s">
        <v>308</v>
      </c>
      <c r="B63" s="2" t="s">
        <v>129</v>
      </c>
      <c r="C63" s="3" t="s">
        <v>49</v>
      </c>
      <c r="D63" s="3" t="s">
        <v>17</v>
      </c>
      <c r="E63" s="3" t="s">
        <v>309</v>
      </c>
      <c r="F63" s="3" t="s">
        <v>17</v>
      </c>
      <c r="G63" s="2" t="s">
        <v>17</v>
      </c>
      <c r="H63" s="2" t="s">
        <v>80</v>
      </c>
      <c r="I63" s="2" t="s">
        <v>17</v>
      </c>
      <c r="J63" s="3" t="s">
        <v>17</v>
      </c>
      <c r="K63" s="2" t="s">
        <v>17</v>
      </c>
      <c r="L63" s="2" t="s">
        <v>310</v>
      </c>
      <c r="M63" s="2" t="s">
        <v>311</v>
      </c>
      <c r="N63" s="3" t="s">
        <v>26</v>
      </c>
      <c r="O63" s="3" t="s">
        <v>17</v>
      </c>
    </row>
    <row r="64" customFormat="false" ht="15" hidden="false" customHeight="false" outlineLevel="0" collapsed="false">
      <c r="A64" s="2" t="s">
        <v>312</v>
      </c>
      <c r="B64" s="2" t="s">
        <v>28</v>
      </c>
      <c r="C64" s="3" t="s">
        <v>29</v>
      </c>
      <c r="D64" s="3" t="s">
        <v>17</v>
      </c>
      <c r="E64" s="3" t="s">
        <v>17</v>
      </c>
      <c r="F64" s="3" t="s">
        <v>17</v>
      </c>
      <c r="G64" s="2" t="s">
        <v>17</v>
      </c>
      <c r="H64" s="2" t="s">
        <v>17</v>
      </c>
      <c r="I64" s="2" t="s">
        <v>17</v>
      </c>
      <c r="J64" s="3" t="s">
        <v>17</v>
      </c>
      <c r="K64" s="2" t="s">
        <v>17</v>
      </c>
      <c r="L64" s="2" t="s">
        <v>176</v>
      </c>
      <c r="M64" s="2" t="s">
        <v>313</v>
      </c>
      <c r="N64" s="3" t="s">
        <v>26</v>
      </c>
      <c r="O64" s="3" t="s">
        <v>17</v>
      </c>
    </row>
    <row r="65" customFormat="false" ht="35.05" hidden="false" customHeight="false" outlineLevel="0" collapsed="false">
      <c r="A65" s="2" t="s">
        <v>314</v>
      </c>
      <c r="B65" s="2" t="s">
        <v>34</v>
      </c>
      <c r="C65" s="3" t="s">
        <v>17</v>
      </c>
      <c r="D65" s="3" t="s">
        <v>17</v>
      </c>
      <c r="E65" s="3" t="s">
        <v>315</v>
      </c>
      <c r="F65" s="3" t="s">
        <v>17</v>
      </c>
      <c r="G65" s="2" t="s">
        <v>17</v>
      </c>
      <c r="H65" s="2" t="s">
        <v>316</v>
      </c>
      <c r="I65" s="2" t="s">
        <v>17</v>
      </c>
      <c r="J65" s="3" t="s">
        <v>17</v>
      </c>
      <c r="K65" s="2" t="s">
        <v>17</v>
      </c>
      <c r="L65" s="2" t="s">
        <v>317</v>
      </c>
      <c r="M65" s="2" t="s">
        <v>318</v>
      </c>
      <c r="N65" s="3" t="s">
        <v>26</v>
      </c>
      <c r="O65" s="3" t="s">
        <v>17</v>
      </c>
    </row>
    <row r="66" customFormat="false" ht="15" hidden="false" customHeight="false" outlineLevel="0" collapsed="false">
      <c r="A66" s="2" t="s">
        <v>319</v>
      </c>
      <c r="B66" s="2" t="s">
        <v>34</v>
      </c>
      <c r="C66" s="3" t="s">
        <v>17</v>
      </c>
      <c r="D66" s="3" t="s">
        <v>17</v>
      </c>
      <c r="E66" s="3" t="s">
        <v>17</v>
      </c>
      <c r="F66" s="3" t="s">
        <v>17</v>
      </c>
      <c r="G66" s="2" t="s">
        <v>17</v>
      </c>
      <c r="H66" s="2" t="s">
        <v>17</v>
      </c>
      <c r="I66" s="2" t="s">
        <v>17</v>
      </c>
      <c r="J66" s="3" t="s">
        <v>17</v>
      </c>
      <c r="K66" s="2" t="s">
        <v>17</v>
      </c>
      <c r="L66" s="2" t="s">
        <v>320</v>
      </c>
      <c r="M66" s="2" t="s">
        <v>25</v>
      </c>
      <c r="N66" s="3" t="s">
        <v>26</v>
      </c>
      <c r="O66" s="3" t="s">
        <v>17</v>
      </c>
    </row>
    <row r="67" customFormat="false" ht="23.85" hidden="false" customHeight="false" outlineLevel="0" collapsed="false">
      <c r="A67" s="2" t="s">
        <v>321</v>
      </c>
      <c r="B67" s="2" t="s">
        <v>322</v>
      </c>
      <c r="C67" s="3" t="s">
        <v>17</v>
      </c>
      <c r="D67" s="3" t="s">
        <v>17</v>
      </c>
      <c r="E67" s="3" t="s">
        <v>17</v>
      </c>
      <c r="F67" s="3" t="s">
        <v>17</v>
      </c>
      <c r="G67" s="2" t="s">
        <v>17</v>
      </c>
      <c r="H67" s="2" t="s">
        <v>17</v>
      </c>
      <c r="I67" s="2" t="s">
        <v>17</v>
      </c>
      <c r="J67" s="3" t="s">
        <v>17</v>
      </c>
      <c r="K67" s="2" t="s">
        <v>17</v>
      </c>
      <c r="L67" s="2" t="s">
        <v>323</v>
      </c>
      <c r="M67" s="2" t="s">
        <v>324</v>
      </c>
      <c r="N67" s="3" t="s">
        <v>26</v>
      </c>
      <c r="O67" s="3" t="s">
        <v>17</v>
      </c>
    </row>
    <row r="68" customFormat="false" ht="23.85" hidden="false" customHeight="false" outlineLevel="0" collapsed="false">
      <c r="A68" s="2" t="s">
        <v>325</v>
      </c>
      <c r="B68" s="2" t="s">
        <v>129</v>
      </c>
      <c r="C68" s="3" t="s">
        <v>49</v>
      </c>
      <c r="D68" s="3" t="s">
        <v>326</v>
      </c>
      <c r="E68" s="3" t="s">
        <v>90</v>
      </c>
      <c r="F68" s="3" t="s">
        <v>91</v>
      </c>
      <c r="G68" s="2" t="s">
        <v>17</v>
      </c>
      <c r="H68" s="2" t="s">
        <v>80</v>
      </c>
      <c r="I68" s="2" t="s">
        <v>327</v>
      </c>
      <c r="J68" s="3" t="s">
        <v>17</v>
      </c>
      <c r="K68" s="2" t="s">
        <v>328</v>
      </c>
      <c r="L68" s="2" t="s">
        <v>329</v>
      </c>
      <c r="M68" s="2" t="s">
        <v>330</v>
      </c>
      <c r="N68" s="3" t="s">
        <v>26</v>
      </c>
      <c r="O68" s="3" t="s">
        <v>326</v>
      </c>
    </row>
    <row r="69" customFormat="false" ht="15" hidden="false" customHeight="false" outlineLevel="0" collapsed="false">
      <c r="A69" s="2" t="s">
        <v>331</v>
      </c>
      <c r="B69" s="2" t="s">
        <v>34</v>
      </c>
      <c r="C69" s="3" t="s">
        <v>17</v>
      </c>
      <c r="D69" s="3" t="s">
        <v>17</v>
      </c>
      <c r="E69" s="3" t="s">
        <v>196</v>
      </c>
      <c r="F69" s="3" t="s">
        <v>17</v>
      </c>
      <c r="G69" s="2" t="s">
        <v>17</v>
      </c>
      <c r="H69" s="2" t="s">
        <v>80</v>
      </c>
      <c r="I69" s="2" t="s">
        <v>17</v>
      </c>
      <c r="J69" s="3" t="s">
        <v>17</v>
      </c>
      <c r="K69" s="2" t="s">
        <v>17</v>
      </c>
      <c r="L69" s="2" t="s">
        <v>332</v>
      </c>
      <c r="M69" s="2" t="s">
        <v>25</v>
      </c>
      <c r="N69" s="3" t="s">
        <v>26</v>
      </c>
      <c r="O69" s="3" t="s">
        <v>17</v>
      </c>
    </row>
    <row r="70" customFormat="false" ht="23.85" hidden="false" customHeight="false" outlineLevel="0" collapsed="false">
      <c r="A70" s="2" t="s">
        <v>333</v>
      </c>
      <c r="B70" s="2" t="s">
        <v>34</v>
      </c>
      <c r="C70" s="3" t="s">
        <v>17</v>
      </c>
      <c r="D70" s="3" t="s">
        <v>17</v>
      </c>
      <c r="E70" s="3" t="s">
        <v>17</v>
      </c>
      <c r="F70" s="3" t="s">
        <v>17</v>
      </c>
      <c r="G70" s="2" t="s">
        <v>17</v>
      </c>
      <c r="H70" s="2" t="s">
        <v>17</v>
      </c>
      <c r="I70" s="2" t="s">
        <v>17</v>
      </c>
      <c r="J70" s="3" t="s">
        <v>17</v>
      </c>
      <c r="K70" s="2" t="s">
        <v>17</v>
      </c>
      <c r="L70" s="2" t="s">
        <v>334</v>
      </c>
      <c r="M70" s="2" t="s">
        <v>25</v>
      </c>
      <c r="N70" s="3" t="s">
        <v>26</v>
      </c>
      <c r="O70" s="3" t="s">
        <v>17</v>
      </c>
    </row>
    <row r="71" customFormat="false" ht="23.85" hidden="false" customHeight="false" outlineLevel="0" collapsed="false">
      <c r="A71" s="2" t="s">
        <v>335</v>
      </c>
      <c r="B71" s="2" t="s">
        <v>34</v>
      </c>
      <c r="C71" s="3" t="s">
        <v>17</v>
      </c>
      <c r="D71" s="3" t="s">
        <v>17</v>
      </c>
      <c r="E71" s="3" t="s">
        <v>84</v>
      </c>
      <c r="F71" s="3" t="s">
        <v>17</v>
      </c>
      <c r="G71" s="2" t="s">
        <v>17</v>
      </c>
      <c r="H71" s="2" t="s">
        <v>92</v>
      </c>
      <c r="I71" s="2" t="s">
        <v>17</v>
      </c>
      <c r="J71" s="3" t="s">
        <v>17</v>
      </c>
      <c r="K71" s="2" t="s">
        <v>17</v>
      </c>
      <c r="L71" s="2" t="s">
        <v>336</v>
      </c>
      <c r="M71" s="2" t="s">
        <v>25</v>
      </c>
      <c r="N71" s="3" t="s">
        <v>26</v>
      </c>
      <c r="O71" s="3" t="s">
        <v>17</v>
      </c>
    </row>
    <row r="72" customFormat="false" ht="23.85" hidden="false" customHeight="false" outlineLevel="0" collapsed="false">
      <c r="A72" s="2" t="s">
        <v>337</v>
      </c>
      <c r="B72" s="2" t="s">
        <v>338</v>
      </c>
      <c r="C72" s="3" t="s">
        <v>17</v>
      </c>
      <c r="D72" s="3" t="s">
        <v>17</v>
      </c>
      <c r="E72" s="3" t="s">
        <v>17</v>
      </c>
      <c r="F72" s="3" t="s">
        <v>17</v>
      </c>
      <c r="G72" s="2" t="s">
        <v>17</v>
      </c>
      <c r="H72" s="2" t="s">
        <v>339</v>
      </c>
      <c r="I72" s="2" t="s">
        <v>17</v>
      </c>
      <c r="J72" s="3" t="s">
        <v>17</v>
      </c>
      <c r="K72" s="2" t="s">
        <v>17</v>
      </c>
      <c r="L72" s="2" t="s">
        <v>340</v>
      </c>
      <c r="M72" s="2" t="s">
        <v>341</v>
      </c>
      <c r="N72" s="3" t="s">
        <v>342</v>
      </c>
      <c r="O72" s="3" t="s">
        <v>17</v>
      </c>
    </row>
    <row r="73" customFormat="false" ht="23.85" hidden="false" customHeight="false" outlineLevel="0" collapsed="false">
      <c r="A73" s="2" t="s">
        <v>343</v>
      </c>
      <c r="B73" s="2" t="s">
        <v>338</v>
      </c>
      <c r="C73" s="3" t="s">
        <v>17</v>
      </c>
      <c r="D73" s="3" t="s">
        <v>344</v>
      </c>
      <c r="E73" s="3" t="s">
        <v>90</v>
      </c>
      <c r="F73" s="3" t="s">
        <v>91</v>
      </c>
      <c r="G73" s="2" t="s">
        <v>17</v>
      </c>
      <c r="H73" s="2" t="s">
        <v>339</v>
      </c>
      <c r="I73" s="2" t="s">
        <v>263</v>
      </c>
      <c r="J73" s="3" t="s">
        <v>17</v>
      </c>
      <c r="K73" s="2" t="s">
        <v>121</v>
      </c>
      <c r="L73" s="2" t="s">
        <v>345</v>
      </c>
      <c r="M73" s="2" t="s">
        <v>341</v>
      </c>
      <c r="N73" s="3" t="s">
        <v>342</v>
      </c>
      <c r="O73" s="3" t="s">
        <v>344</v>
      </c>
    </row>
    <row r="74" customFormat="false" ht="23.85" hidden="false" customHeight="false" outlineLevel="0" collapsed="false">
      <c r="A74" s="2" t="s">
        <v>346</v>
      </c>
      <c r="B74" s="2" t="s">
        <v>338</v>
      </c>
      <c r="C74" s="3" t="s">
        <v>17</v>
      </c>
      <c r="D74" s="3" t="s">
        <v>17</v>
      </c>
      <c r="E74" s="3" t="s">
        <v>17</v>
      </c>
      <c r="F74" s="3" t="s">
        <v>17</v>
      </c>
      <c r="G74" s="2" t="s">
        <v>17</v>
      </c>
      <c r="H74" s="2" t="s">
        <v>339</v>
      </c>
      <c r="I74" s="2" t="s">
        <v>17</v>
      </c>
      <c r="J74" s="3" t="s">
        <v>17</v>
      </c>
      <c r="K74" s="2" t="s">
        <v>17</v>
      </c>
      <c r="L74" s="2" t="s">
        <v>347</v>
      </c>
      <c r="M74" s="2" t="s">
        <v>341</v>
      </c>
      <c r="N74" s="3" t="s">
        <v>342</v>
      </c>
      <c r="O74" s="3" t="s">
        <v>17</v>
      </c>
    </row>
    <row r="75" customFormat="false" ht="23.85" hidden="false" customHeight="false" outlineLevel="0" collapsed="false">
      <c r="A75" s="2" t="s">
        <v>348</v>
      </c>
      <c r="B75" s="2" t="s">
        <v>338</v>
      </c>
      <c r="C75" s="3" t="s">
        <v>17</v>
      </c>
      <c r="D75" s="3" t="s">
        <v>349</v>
      </c>
      <c r="E75" s="3" t="s">
        <v>19</v>
      </c>
      <c r="F75" s="3" t="s">
        <v>20</v>
      </c>
      <c r="G75" s="2" t="s">
        <v>17</v>
      </c>
      <c r="H75" s="2" t="s">
        <v>339</v>
      </c>
      <c r="I75" s="2" t="s">
        <v>17</v>
      </c>
      <c r="J75" s="3" t="s">
        <v>17</v>
      </c>
      <c r="K75" s="2" t="s">
        <v>121</v>
      </c>
      <c r="L75" s="2" t="s">
        <v>350</v>
      </c>
      <c r="M75" s="2" t="s">
        <v>341</v>
      </c>
      <c r="N75" s="3" t="s">
        <v>342</v>
      </c>
      <c r="O75" s="3" t="s">
        <v>349</v>
      </c>
    </row>
    <row r="76" customFormat="false" ht="23.85" hidden="false" customHeight="false" outlineLevel="0" collapsed="false">
      <c r="A76" s="2" t="s">
        <v>351</v>
      </c>
      <c r="B76" s="2" t="s">
        <v>352</v>
      </c>
      <c r="C76" s="3" t="s">
        <v>17</v>
      </c>
      <c r="D76" s="3" t="s">
        <v>17</v>
      </c>
      <c r="E76" s="3" t="s">
        <v>19</v>
      </c>
      <c r="F76" s="3" t="s">
        <v>17</v>
      </c>
      <c r="G76" s="2" t="s">
        <v>17</v>
      </c>
      <c r="H76" s="2" t="s">
        <v>64</v>
      </c>
      <c r="I76" s="2" t="s">
        <v>17</v>
      </c>
      <c r="J76" s="3" t="s">
        <v>17</v>
      </c>
      <c r="K76" s="2" t="s">
        <v>17</v>
      </c>
      <c r="L76" s="2" t="s">
        <v>353</v>
      </c>
      <c r="M76" s="2" t="s">
        <v>354</v>
      </c>
      <c r="N76" s="3" t="s">
        <v>342</v>
      </c>
      <c r="O76" s="3" t="s">
        <v>17</v>
      </c>
    </row>
    <row r="77" customFormat="false" ht="23.85" hidden="false" customHeight="false" outlineLevel="0" collapsed="false">
      <c r="A77" s="2" t="s">
        <v>355</v>
      </c>
      <c r="B77" s="2" t="s">
        <v>338</v>
      </c>
      <c r="C77" s="3" t="s">
        <v>17</v>
      </c>
      <c r="D77" s="3" t="s">
        <v>17</v>
      </c>
      <c r="E77" s="3" t="s">
        <v>17</v>
      </c>
      <c r="F77" s="3" t="s">
        <v>17</v>
      </c>
      <c r="G77" s="2" t="s">
        <v>17</v>
      </c>
      <c r="H77" s="2" t="s">
        <v>339</v>
      </c>
      <c r="I77" s="2" t="s">
        <v>17</v>
      </c>
      <c r="J77" s="3" t="s">
        <v>17</v>
      </c>
      <c r="K77" s="2" t="s">
        <v>17</v>
      </c>
      <c r="L77" s="2" t="s">
        <v>347</v>
      </c>
      <c r="M77" s="2" t="s">
        <v>341</v>
      </c>
      <c r="N77" s="3" t="s">
        <v>342</v>
      </c>
      <c r="O77" s="3" t="s">
        <v>17</v>
      </c>
    </row>
    <row r="78" customFormat="false" ht="23.85" hidden="false" customHeight="false" outlineLevel="0" collapsed="false">
      <c r="A78" s="2" t="s">
        <v>356</v>
      </c>
      <c r="B78" s="2" t="s">
        <v>338</v>
      </c>
      <c r="C78" s="3" t="s">
        <v>17</v>
      </c>
      <c r="D78" s="3" t="s">
        <v>357</v>
      </c>
      <c r="E78" s="3" t="s">
        <v>90</v>
      </c>
      <c r="F78" s="3" t="s">
        <v>17</v>
      </c>
      <c r="G78" s="2" t="s">
        <v>17</v>
      </c>
      <c r="H78" s="2" t="s">
        <v>339</v>
      </c>
      <c r="I78" s="2" t="s">
        <v>17</v>
      </c>
      <c r="J78" s="3" t="s">
        <v>17</v>
      </c>
      <c r="K78" s="2" t="s">
        <v>121</v>
      </c>
      <c r="L78" s="2" t="s">
        <v>358</v>
      </c>
      <c r="M78" s="2" t="s">
        <v>359</v>
      </c>
      <c r="N78" s="3" t="s">
        <v>342</v>
      </c>
      <c r="O78" s="3" t="s">
        <v>357</v>
      </c>
    </row>
    <row r="79" customFormat="false" ht="23.85" hidden="false" customHeight="false" outlineLevel="0" collapsed="false">
      <c r="A79" s="2" t="s">
        <v>360</v>
      </c>
      <c r="B79" s="2" t="s">
        <v>361</v>
      </c>
      <c r="C79" s="3" t="s">
        <v>17</v>
      </c>
      <c r="D79" s="3" t="s">
        <v>17</v>
      </c>
      <c r="E79" s="3" t="s">
        <v>17</v>
      </c>
      <c r="F79" s="3" t="s">
        <v>17</v>
      </c>
      <c r="G79" s="2" t="s">
        <v>17</v>
      </c>
      <c r="H79" s="2" t="s">
        <v>17</v>
      </c>
      <c r="I79" s="2" t="s">
        <v>17</v>
      </c>
      <c r="J79" s="3" t="s">
        <v>17</v>
      </c>
      <c r="K79" s="2" t="s">
        <v>17</v>
      </c>
      <c r="L79" s="2" t="s">
        <v>362</v>
      </c>
      <c r="M79" s="2" t="s">
        <v>363</v>
      </c>
      <c r="N79" s="3" t="s">
        <v>342</v>
      </c>
      <c r="O79" s="3" t="s">
        <v>17</v>
      </c>
    </row>
    <row r="80" customFormat="false" ht="23.85" hidden="false" customHeight="false" outlineLevel="0" collapsed="false">
      <c r="A80" s="2" t="s">
        <v>364</v>
      </c>
      <c r="B80" s="2" t="s">
        <v>361</v>
      </c>
      <c r="C80" s="3" t="s">
        <v>17</v>
      </c>
      <c r="D80" s="3" t="s">
        <v>365</v>
      </c>
      <c r="E80" s="3" t="s">
        <v>366</v>
      </c>
      <c r="F80" s="3" t="s">
        <v>367</v>
      </c>
      <c r="G80" s="2" t="s">
        <v>17</v>
      </c>
      <c r="H80" s="2" t="s">
        <v>50</v>
      </c>
      <c r="I80" s="2" t="s">
        <v>17</v>
      </c>
      <c r="J80" s="3" t="s">
        <v>17</v>
      </c>
      <c r="K80" s="2" t="s">
        <v>368</v>
      </c>
      <c r="L80" s="2" t="s">
        <v>369</v>
      </c>
      <c r="M80" s="2" t="s">
        <v>370</v>
      </c>
      <c r="N80" s="3" t="s">
        <v>342</v>
      </c>
      <c r="O80" s="3" t="s">
        <v>365</v>
      </c>
    </row>
    <row r="81" customFormat="false" ht="23.85" hidden="false" customHeight="false" outlineLevel="0" collapsed="false">
      <c r="A81" s="2" t="s">
        <v>371</v>
      </c>
      <c r="B81" s="2" t="s">
        <v>361</v>
      </c>
      <c r="C81" s="3" t="s">
        <v>17</v>
      </c>
      <c r="D81" s="3" t="s">
        <v>17</v>
      </c>
      <c r="E81" s="3" t="s">
        <v>17</v>
      </c>
      <c r="F81" s="3" t="s">
        <v>17</v>
      </c>
      <c r="G81" s="2" t="s">
        <v>17</v>
      </c>
      <c r="H81" s="2" t="s">
        <v>17</v>
      </c>
      <c r="I81" s="2" t="s">
        <v>17</v>
      </c>
      <c r="J81" s="3" t="s">
        <v>17</v>
      </c>
      <c r="K81" s="2" t="s">
        <v>17</v>
      </c>
      <c r="L81" s="2" t="s">
        <v>362</v>
      </c>
      <c r="M81" s="2" t="s">
        <v>372</v>
      </c>
      <c r="N81" s="3" t="s">
        <v>342</v>
      </c>
      <c r="O81" s="3" t="s">
        <v>17</v>
      </c>
    </row>
    <row r="82" customFormat="false" ht="23.85" hidden="false" customHeight="false" outlineLevel="0" collapsed="false">
      <c r="A82" s="2" t="s">
        <v>373</v>
      </c>
      <c r="B82" s="2" t="s">
        <v>361</v>
      </c>
      <c r="C82" s="3" t="s">
        <v>17</v>
      </c>
      <c r="D82" s="3" t="s">
        <v>374</v>
      </c>
      <c r="E82" s="3" t="s">
        <v>150</v>
      </c>
      <c r="F82" s="3" t="s">
        <v>151</v>
      </c>
      <c r="G82" s="2" t="s">
        <v>375</v>
      </c>
      <c r="H82" s="2" t="s">
        <v>153</v>
      </c>
      <c r="I82" s="2" t="s">
        <v>376</v>
      </c>
      <c r="J82" s="3" t="s">
        <v>22</v>
      </c>
      <c r="K82" s="2" t="s">
        <v>377</v>
      </c>
      <c r="L82" s="2" t="s">
        <v>378</v>
      </c>
      <c r="M82" s="2" t="s">
        <v>379</v>
      </c>
      <c r="N82" s="3" t="s">
        <v>342</v>
      </c>
      <c r="O82" s="3" t="s">
        <v>374</v>
      </c>
    </row>
    <row r="83" customFormat="false" ht="23.85" hidden="false" customHeight="false" outlineLevel="0" collapsed="false">
      <c r="A83" s="2" t="s">
        <v>380</v>
      </c>
      <c r="B83" s="2" t="s">
        <v>338</v>
      </c>
      <c r="C83" s="3" t="s">
        <v>17</v>
      </c>
      <c r="D83" s="3" t="s">
        <v>17</v>
      </c>
      <c r="E83" s="3" t="s">
        <v>17</v>
      </c>
      <c r="F83" s="3" t="s">
        <v>17</v>
      </c>
      <c r="G83" s="2" t="s">
        <v>17</v>
      </c>
      <c r="H83" s="2" t="s">
        <v>339</v>
      </c>
      <c r="I83" s="2" t="s">
        <v>17</v>
      </c>
      <c r="J83" s="3" t="s">
        <v>17</v>
      </c>
      <c r="K83" s="2" t="s">
        <v>17</v>
      </c>
      <c r="L83" s="2" t="s">
        <v>347</v>
      </c>
      <c r="M83" s="2" t="s">
        <v>341</v>
      </c>
      <c r="N83" s="3" t="s">
        <v>342</v>
      </c>
      <c r="O83" s="3" t="s">
        <v>17</v>
      </c>
    </row>
    <row r="84" customFormat="false" ht="23.85" hidden="false" customHeight="false" outlineLevel="0" collapsed="false">
      <c r="A84" s="2" t="s">
        <v>381</v>
      </c>
      <c r="B84" s="2" t="s">
        <v>361</v>
      </c>
      <c r="C84" s="3" t="s">
        <v>17</v>
      </c>
      <c r="D84" s="3" t="s">
        <v>17</v>
      </c>
      <c r="E84" s="3" t="s">
        <v>17</v>
      </c>
      <c r="F84" s="3" t="s">
        <v>17</v>
      </c>
      <c r="G84" s="2" t="s">
        <v>17</v>
      </c>
      <c r="H84" s="2" t="s">
        <v>17</v>
      </c>
      <c r="I84" s="2" t="s">
        <v>17</v>
      </c>
      <c r="J84" s="3" t="s">
        <v>17</v>
      </c>
      <c r="K84" s="2" t="s">
        <v>17</v>
      </c>
      <c r="L84" s="2" t="s">
        <v>362</v>
      </c>
      <c r="M84" s="2" t="s">
        <v>382</v>
      </c>
      <c r="N84" s="3" t="s">
        <v>342</v>
      </c>
      <c r="O84" s="3" t="s">
        <v>17</v>
      </c>
    </row>
    <row r="85" customFormat="false" ht="23.85" hidden="false" customHeight="false" outlineLevel="0" collapsed="false">
      <c r="A85" s="2" t="s">
        <v>383</v>
      </c>
      <c r="B85" s="2" t="s">
        <v>338</v>
      </c>
      <c r="C85" s="3" t="s">
        <v>17</v>
      </c>
      <c r="D85" s="3" t="s">
        <v>17</v>
      </c>
      <c r="E85" s="3" t="s">
        <v>196</v>
      </c>
      <c r="F85" s="3" t="s">
        <v>17</v>
      </c>
      <c r="G85" s="2" t="s">
        <v>17</v>
      </c>
      <c r="H85" s="2" t="s">
        <v>339</v>
      </c>
      <c r="I85" s="2" t="s">
        <v>17</v>
      </c>
      <c r="J85" s="3" t="s">
        <v>17</v>
      </c>
      <c r="K85" s="2" t="s">
        <v>17</v>
      </c>
      <c r="L85" s="2" t="s">
        <v>384</v>
      </c>
      <c r="M85" s="2" t="s">
        <v>341</v>
      </c>
      <c r="N85" s="3" t="s">
        <v>342</v>
      </c>
      <c r="O85" s="3" t="s">
        <v>17</v>
      </c>
    </row>
    <row r="86" customFormat="false" ht="23.85" hidden="false" customHeight="false" outlineLevel="0" collapsed="false">
      <c r="A86" s="2" t="s">
        <v>385</v>
      </c>
      <c r="B86" s="2" t="s">
        <v>338</v>
      </c>
      <c r="C86" s="3" t="s">
        <v>17</v>
      </c>
      <c r="D86" s="3" t="s">
        <v>17</v>
      </c>
      <c r="E86" s="3" t="s">
        <v>84</v>
      </c>
      <c r="F86" s="3" t="s">
        <v>17</v>
      </c>
      <c r="G86" s="2" t="s">
        <v>17</v>
      </c>
      <c r="H86" s="2" t="s">
        <v>339</v>
      </c>
      <c r="I86" s="2" t="s">
        <v>17</v>
      </c>
      <c r="J86" s="3" t="s">
        <v>17</v>
      </c>
      <c r="K86" s="2" t="s">
        <v>17</v>
      </c>
      <c r="L86" s="2" t="s">
        <v>386</v>
      </c>
      <c r="M86" s="2" t="s">
        <v>341</v>
      </c>
      <c r="N86" s="3" t="s">
        <v>342</v>
      </c>
      <c r="O86" s="3" t="s">
        <v>17</v>
      </c>
    </row>
    <row r="87" customFormat="false" ht="23.85" hidden="false" customHeight="false" outlineLevel="0" collapsed="false">
      <c r="A87" s="2" t="s">
        <v>387</v>
      </c>
      <c r="B87" s="2" t="s">
        <v>361</v>
      </c>
      <c r="C87" s="3" t="s">
        <v>17</v>
      </c>
      <c r="D87" s="3" t="s">
        <v>17</v>
      </c>
      <c r="E87" s="3" t="s">
        <v>388</v>
      </c>
      <c r="F87" s="3" t="s">
        <v>17</v>
      </c>
      <c r="G87" s="2" t="s">
        <v>17</v>
      </c>
      <c r="H87" s="2" t="s">
        <v>64</v>
      </c>
      <c r="I87" s="2" t="s">
        <v>17</v>
      </c>
      <c r="J87" s="3" t="s">
        <v>17</v>
      </c>
      <c r="K87" s="2" t="s">
        <v>17</v>
      </c>
      <c r="L87" s="2" t="s">
        <v>389</v>
      </c>
      <c r="M87" s="2" t="s">
        <v>390</v>
      </c>
      <c r="N87" s="3" t="s">
        <v>342</v>
      </c>
      <c r="O87" s="3" t="s">
        <v>17</v>
      </c>
    </row>
    <row r="88" customFormat="false" ht="23.85" hidden="false" customHeight="false" outlineLevel="0" collapsed="false">
      <c r="A88" s="2" t="s">
        <v>391</v>
      </c>
      <c r="B88" s="2" t="s">
        <v>361</v>
      </c>
      <c r="C88" s="3" t="s">
        <v>17</v>
      </c>
      <c r="D88" s="3" t="s">
        <v>17</v>
      </c>
      <c r="E88" s="3" t="s">
        <v>392</v>
      </c>
      <c r="F88" s="3" t="s">
        <v>17</v>
      </c>
      <c r="G88" s="2" t="s">
        <v>17</v>
      </c>
      <c r="H88" s="2" t="s">
        <v>64</v>
      </c>
      <c r="I88" s="2" t="s">
        <v>17</v>
      </c>
      <c r="J88" s="3" t="s">
        <v>17</v>
      </c>
      <c r="K88" s="2" t="s">
        <v>17</v>
      </c>
      <c r="L88" s="2" t="s">
        <v>393</v>
      </c>
      <c r="M88" s="2" t="s">
        <v>394</v>
      </c>
      <c r="N88" s="3" t="s">
        <v>342</v>
      </c>
      <c r="O88" s="3" t="s">
        <v>17</v>
      </c>
    </row>
    <row r="89" customFormat="false" ht="35.05" hidden="false" customHeight="false" outlineLevel="0" collapsed="false">
      <c r="A89" s="2" t="s">
        <v>395</v>
      </c>
      <c r="B89" s="2" t="s">
        <v>396</v>
      </c>
      <c r="C89" s="3" t="s">
        <v>17</v>
      </c>
      <c r="D89" s="3" t="s">
        <v>17</v>
      </c>
      <c r="E89" s="3" t="s">
        <v>41</v>
      </c>
      <c r="F89" s="3" t="s">
        <v>17</v>
      </c>
      <c r="G89" s="2" t="s">
        <v>17</v>
      </c>
      <c r="H89" s="2" t="s">
        <v>64</v>
      </c>
      <c r="I89" s="2" t="s">
        <v>17</v>
      </c>
      <c r="J89" s="3" t="s">
        <v>17</v>
      </c>
      <c r="K89" s="2" t="s">
        <v>17</v>
      </c>
      <c r="L89" s="2" t="s">
        <v>397</v>
      </c>
      <c r="M89" s="2" t="s">
        <v>398</v>
      </c>
      <c r="N89" s="3" t="s">
        <v>342</v>
      </c>
      <c r="O89" s="3" t="s">
        <v>17</v>
      </c>
    </row>
    <row r="90" customFormat="false" ht="15" hidden="false" customHeight="false" outlineLevel="0" collapsed="false">
      <c r="A90" s="2" t="s">
        <v>399</v>
      </c>
      <c r="B90" s="2" t="s">
        <v>361</v>
      </c>
      <c r="C90" s="3" t="s">
        <v>17</v>
      </c>
      <c r="D90" s="3" t="s">
        <v>17</v>
      </c>
      <c r="E90" s="3" t="s">
        <v>17</v>
      </c>
      <c r="F90" s="3" t="s">
        <v>17</v>
      </c>
      <c r="G90" s="2" t="s">
        <v>17</v>
      </c>
      <c r="H90" s="2" t="s">
        <v>69</v>
      </c>
      <c r="I90" s="2" t="s">
        <v>17</v>
      </c>
      <c r="J90" s="3" t="s">
        <v>17</v>
      </c>
      <c r="K90" s="2" t="s">
        <v>17</v>
      </c>
      <c r="L90" s="2" t="s">
        <v>400</v>
      </c>
      <c r="M90" s="2" t="s">
        <v>401</v>
      </c>
      <c r="N90" s="3" t="s">
        <v>342</v>
      </c>
      <c r="O90" s="3" t="s">
        <v>17</v>
      </c>
    </row>
    <row r="91" customFormat="false" ht="23.85" hidden="false" customHeight="false" outlineLevel="0" collapsed="false">
      <c r="A91" s="2" t="s">
        <v>402</v>
      </c>
      <c r="B91" s="2" t="s">
        <v>361</v>
      </c>
      <c r="C91" s="3" t="s">
        <v>17</v>
      </c>
      <c r="D91" s="3" t="s">
        <v>403</v>
      </c>
      <c r="E91" s="3" t="s">
        <v>90</v>
      </c>
      <c r="F91" s="3" t="s">
        <v>91</v>
      </c>
      <c r="G91" s="2" t="s">
        <v>404</v>
      </c>
      <c r="H91" s="2" t="s">
        <v>187</v>
      </c>
      <c r="I91" s="2" t="s">
        <v>405</v>
      </c>
      <c r="J91" s="3" t="s">
        <v>17</v>
      </c>
      <c r="K91" s="2" t="s">
        <v>406</v>
      </c>
      <c r="L91" s="2" t="s">
        <v>407</v>
      </c>
      <c r="M91" s="2" t="s">
        <v>408</v>
      </c>
      <c r="N91" s="3" t="s">
        <v>342</v>
      </c>
      <c r="O91" s="3" t="s">
        <v>403</v>
      </c>
    </row>
    <row r="92" customFormat="false" ht="23.85" hidden="false" customHeight="false" outlineLevel="0" collapsed="false">
      <c r="A92" s="2" t="s">
        <v>409</v>
      </c>
      <c r="B92" s="2" t="s">
        <v>361</v>
      </c>
      <c r="C92" s="3" t="s">
        <v>17</v>
      </c>
      <c r="D92" s="3" t="s">
        <v>410</v>
      </c>
      <c r="E92" s="3" t="s">
        <v>90</v>
      </c>
      <c r="F92" s="3" t="s">
        <v>91</v>
      </c>
      <c r="G92" s="2" t="s">
        <v>17</v>
      </c>
      <c r="H92" s="2" t="s">
        <v>69</v>
      </c>
      <c r="I92" s="2" t="s">
        <v>17</v>
      </c>
      <c r="J92" s="3" t="s">
        <v>22</v>
      </c>
      <c r="K92" s="2" t="s">
        <v>411</v>
      </c>
      <c r="L92" s="2" t="s">
        <v>412</v>
      </c>
      <c r="M92" s="2" t="s">
        <v>413</v>
      </c>
      <c r="N92" s="3" t="s">
        <v>342</v>
      </c>
      <c r="O92" s="3" t="s">
        <v>410</v>
      </c>
    </row>
    <row r="93" customFormat="false" ht="23.85" hidden="false" customHeight="false" outlineLevel="0" collapsed="false">
      <c r="A93" s="2" t="s">
        <v>414</v>
      </c>
      <c r="B93" s="2" t="s">
        <v>415</v>
      </c>
      <c r="C93" s="3" t="s">
        <v>17</v>
      </c>
      <c r="D93" s="3" t="s">
        <v>17</v>
      </c>
      <c r="E93" s="3" t="s">
        <v>17</v>
      </c>
      <c r="F93" s="3" t="s">
        <v>17</v>
      </c>
      <c r="G93" s="2" t="s">
        <v>17</v>
      </c>
      <c r="H93" s="2" t="s">
        <v>339</v>
      </c>
      <c r="I93" s="2" t="s">
        <v>17</v>
      </c>
      <c r="J93" s="3" t="s">
        <v>17</v>
      </c>
      <c r="K93" s="2" t="s">
        <v>17</v>
      </c>
      <c r="L93" s="2" t="s">
        <v>416</v>
      </c>
      <c r="M93" s="2" t="s">
        <v>417</v>
      </c>
      <c r="N93" s="3" t="s">
        <v>342</v>
      </c>
      <c r="O93" s="3" t="s">
        <v>17</v>
      </c>
    </row>
    <row r="94" customFormat="false" ht="23.85" hidden="false" customHeight="false" outlineLevel="0" collapsed="false">
      <c r="A94" s="2" t="s">
        <v>418</v>
      </c>
      <c r="B94" s="2" t="s">
        <v>361</v>
      </c>
      <c r="C94" s="3" t="s">
        <v>17</v>
      </c>
      <c r="D94" s="3" t="s">
        <v>419</v>
      </c>
      <c r="E94" s="3" t="s">
        <v>420</v>
      </c>
      <c r="F94" s="3" t="s">
        <v>421</v>
      </c>
      <c r="G94" s="2" t="s">
        <v>17</v>
      </c>
      <c r="H94" s="2" t="s">
        <v>316</v>
      </c>
      <c r="I94" s="2" t="s">
        <v>422</v>
      </c>
      <c r="J94" s="3" t="s">
        <v>22</v>
      </c>
      <c r="K94" s="2" t="s">
        <v>145</v>
      </c>
      <c r="L94" s="2" t="s">
        <v>423</v>
      </c>
      <c r="M94" s="2" t="s">
        <v>424</v>
      </c>
      <c r="N94" s="3" t="s">
        <v>342</v>
      </c>
      <c r="O94" s="3" t="s">
        <v>419</v>
      </c>
    </row>
    <row r="95" customFormat="false" ht="15" hidden="false" customHeight="false" outlineLevel="0" collapsed="false">
      <c r="A95" s="2" t="s">
        <v>425</v>
      </c>
      <c r="B95" s="2" t="s">
        <v>361</v>
      </c>
      <c r="C95" s="3" t="s">
        <v>17</v>
      </c>
      <c r="D95" s="3" t="s">
        <v>17</v>
      </c>
      <c r="E95" s="3" t="s">
        <v>90</v>
      </c>
      <c r="F95" s="3" t="s">
        <v>17</v>
      </c>
      <c r="G95" s="2" t="s">
        <v>17</v>
      </c>
      <c r="H95" s="2" t="s">
        <v>21</v>
      </c>
      <c r="I95" s="2" t="s">
        <v>116</v>
      </c>
      <c r="J95" s="3" t="s">
        <v>17</v>
      </c>
      <c r="K95" s="2" t="s">
        <v>121</v>
      </c>
      <c r="L95" s="2" t="s">
        <v>426</v>
      </c>
      <c r="M95" s="2" t="s">
        <v>427</v>
      </c>
      <c r="N95" s="3" t="s">
        <v>342</v>
      </c>
      <c r="O95" s="3" t="s">
        <v>17</v>
      </c>
    </row>
    <row r="96" customFormat="false" ht="23.85" hidden="false" customHeight="false" outlineLevel="0" collapsed="false">
      <c r="A96" s="2" t="s">
        <v>428</v>
      </c>
      <c r="B96" s="2" t="s">
        <v>361</v>
      </c>
      <c r="C96" s="3" t="s">
        <v>17</v>
      </c>
      <c r="D96" s="3" t="s">
        <v>17</v>
      </c>
      <c r="E96" s="3" t="s">
        <v>17</v>
      </c>
      <c r="F96" s="3" t="s">
        <v>17</v>
      </c>
      <c r="G96" s="2" t="s">
        <v>17</v>
      </c>
      <c r="H96" s="2" t="s">
        <v>17</v>
      </c>
      <c r="I96" s="2" t="s">
        <v>17</v>
      </c>
      <c r="J96" s="3" t="s">
        <v>17</v>
      </c>
      <c r="K96" s="2" t="s">
        <v>17</v>
      </c>
      <c r="L96" s="2" t="s">
        <v>362</v>
      </c>
      <c r="M96" s="2" t="s">
        <v>429</v>
      </c>
      <c r="N96" s="3" t="s">
        <v>342</v>
      </c>
      <c r="O96" s="3" t="s">
        <v>17</v>
      </c>
    </row>
    <row r="97" customFormat="false" ht="23.85" hidden="false" customHeight="false" outlineLevel="0" collapsed="false">
      <c r="A97" s="2" t="s">
        <v>430</v>
      </c>
      <c r="B97" s="2" t="s">
        <v>361</v>
      </c>
      <c r="C97" s="3" t="s">
        <v>17</v>
      </c>
      <c r="D97" s="3" t="s">
        <v>431</v>
      </c>
      <c r="E97" s="3" t="s">
        <v>19</v>
      </c>
      <c r="F97" s="3" t="s">
        <v>20</v>
      </c>
      <c r="G97" s="2" t="s">
        <v>432</v>
      </c>
      <c r="H97" s="2" t="s">
        <v>153</v>
      </c>
      <c r="I97" s="2" t="s">
        <v>433</v>
      </c>
      <c r="J97" s="3" t="s">
        <v>22</v>
      </c>
      <c r="K97" s="2" t="s">
        <v>434</v>
      </c>
      <c r="L97" s="2" t="s">
        <v>435</v>
      </c>
      <c r="M97" s="2" t="s">
        <v>436</v>
      </c>
      <c r="N97" s="3" t="s">
        <v>342</v>
      </c>
      <c r="O97" s="3" t="s">
        <v>431</v>
      </c>
    </row>
  </sheetData>
  <autoFilter ref="A1:O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2"/>
    <col collapsed="false" customWidth="true" hidden="false" outlineLevel="0" max="3" min="3" style="0" width="44"/>
    <col collapsed="false" customWidth="true" hidden="false" outlineLevel="0" max="4" min="4" style="0" width="30"/>
    <col collapsed="false" customWidth="true" hidden="false" outlineLevel="0" max="5" min="5" style="0" width="70"/>
    <col collapsed="false" customWidth="true" hidden="false" outlineLevel="0" max="6" min="6" style="0" width="22"/>
    <col collapsed="false" customWidth="true" hidden="false" outlineLevel="0" max="7" min="7" style="0" width="52"/>
    <col collapsed="false" customWidth="true" hidden="false" outlineLevel="0" max="8" min="8" style="0" width="60"/>
  </cols>
  <sheetData>
    <row r="1" customFormat="false" ht="31.5" hidden="false" customHeight="true" outlineLevel="0" collapsed="false">
      <c r="A1" s="1" t="s">
        <v>437</v>
      </c>
      <c r="B1" s="1" t="s">
        <v>438</v>
      </c>
      <c r="C1" s="1" t="s">
        <v>439</v>
      </c>
      <c r="D1" s="1" t="s">
        <v>1</v>
      </c>
      <c r="E1" s="1" t="s">
        <v>440</v>
      </c>
      <c r="F1" s="1" t="s">
        <v>441</v>
      </c>
      <c r="G1" s="1" t="s">
        <v>442</v>
      </c>
      <c r="H1" s="1" t="s">
        <v>12</v>
      </c>
    </row>
    <row r="2" customFormat="false" ht="23.85" hidden="false" customHeight="false" outlineLevel="0" collapsed="false">
      <c r="A2" s="3" t="s">
        <v>443</v>
      </c>
      <c r="B2" s="2" t="s">
        <v>444</v>
      </c>
      <c r="C2" s="2" t="s">
        <v>209</v>
      </c>
      <c r="D2" s="2" t="s">
        <v>445</v>
      </c>
      <c r="E2" s="2" t="s">
        <v>446</v>
      </c>
      <c r="F2" s="3" t="s">
        <v>210</v>
      </c>
      <c r="G2" s="3" t="s">
        <v>447</v>
      </c>
      <c r="H2" s="2" t="s">
        <v>448</v>
      </c>
    </row>
    <row r="3" customFormat="false" ht="23.85" hidden="false" customHeight="false" outlineLevel="0" collapsed="false">
      <c r="A3" s="3" t="s">
        <v>449</v>
      </c>
      <c r="B3" s="2" t="s">
        <v>450</v>
      </c>
      <c r="C3" s="2" t="s">
        <v>221</v>
      </c>
      <c r="D3" s="2" t="s">
        <v>445</v>
      </c>
      <c r="E3" s="2" t="s">
        <v>451</v>
      </c>
      <c r="F3" s="3" t="s">
        <v>222</v>
      </c>
      <c r="G3" s="3" t="s">
        <v>452</v>
      </c>
      <c r="H3" s="2" t="s">
        <v>448</v>
      </c>
    </row>
    <row r="4" customFormat="false" ht="23.85" hidden="false" customHeight="false" outlineLevel="0" collapsed="false">
      <c r="A4" s="3" t="s">
        <v>453</v>
      </c>
      <c r="B4" s="2" t="s">
        <v>454</v>
      </c>
      <c r="C4" s="2" t="s">
        <v>217</v>
      </c>
      <c r="D4" s="2" t="s">
        <v>445</v>
      </c>
      <c r="E4" s="2" t="s">
        <v>455</v>
      </c>
      <c r="F4" s="3" t="s">
        <v>72</v>
      </c>
      <c r="G4" s="3" t="s">
        <v>456</v>
      </c>
      <c r="H4" s="2" t="s">
        <v>448</v>
      </c>
    </row>
    <row r="5" customFormat="false" ht="23.85" hidden="false" customHeight="false" outlineLevel="0" collapsed="false">
      <c r="A5" s="3" t="s">
        <v>457</v>
      </c>
      <c r="B5" s="2" t="s">
        <v>458</v>
      </c>
      <c r="C5" s="2" t="s">
        <v>47</v>
      </c>
      <c r="D5" s="2" t="s">
        <v>445</v>
      </c>
      <c r="E5" s="2" t="s">
        <v>459</v>
      </c>
      <c r="F5" s="3" t="s">
        <v>17</v>
      </c>
      <c r="G5" s="3" t="s">
        <v>460</v>
      </c>
      <c r="H5" s="2" t="s">
        <v>448</v>
      </c>
    </row>
    <row r="6" customFormat="false" ht="23.85" hidden="false" customHeight="false" outlineLevel="0" collapsed="false">
      <c r="A6" s="3" t="s">
        <v>461</v>
      </c>
      <c r="B6" s="2" t="s">
        <v>462</v>
      </c>
      <c r="C6" s="2" t="s">
        <v>213</v>
      </c>
      <c r="D6" s="2" t="s">
        <v>445</v>
      </c>
      <c r="E6" s="2" t="s">
        <v>451</v>
      </c>
      <c r="F6" s="3" t="s">
        <v>84</v>
      </c>
      <c r="G6" s="3" t="s">
        <v>463</v>
      </c>
      <c r="H6" s="2" t="s">
        <v>448</v>
      </c>
    </row>
    <row r="7" customFormat="false" ht="23.85" hidden="false" customHeight="false" outlineLevel="0" collapsed="false">
      <c r="A7" s="3" t="s">
        <v>464</v>
      </c>
      <c r="B7" s="2" t="s">
        <v>465</v>
      </c>
      <c r="C7" s="2" t="s">
        <v>204</v>
      </c>
      <c r="D7" s="2" t="s">
        <v>445</v>
      </c>
      <c r="E7" s="2" t="s">
        <v>451</v>
      </c>
      <c r="F7" s="3" t="s">
        <v>193</v>
      </c>
      <c r="G7" s="3" t="s">
        <v>466</v>
      </c>
      <c r="H7" s="2" t="s">
        <v>448</v>
      </c>
    </row>
    <row r="8" customFormat="false" ht="23.85" hidden="false" customHeight="false" outlineLevel="0" collapsed="false">
      <c r="A8" s="3" t="s">
        <v>467</v>
      </c>
      <c r="B8" s="2" t="s">
        <v>468</v>
      </c>
      <c r="C8" s="2" t="s">
        <v>206</v>
      </c>
      <c r="D8" s="2" t="s">
        <v>445</v>
      </c>
      <c r="E8" s="2" t="s">
        <v>451</v>
      </c>
      <c r="F8" s="3" t="s">
        <v>207</v>
      </c>
      <c r="G8" s="3" t="s">
        <v>469</v>
      </c>
      <c r="H8" s="2" t="s">
        <v>448</v>
      </c>
    </row>
    <row r="9" customFormat="false" ht="23.85" hidden="false" customHeight="false" outlineLevel="0" collapsed="false">
      <c r="A9" s="3" t="s">
        <v>470</v>
      </c>
      <c r="B9" s="2" t="s">
        <v>471</v>
      </c>
      <c r="C9" s="2" t="s">
        <v>123</v>
      </c>
      <c r="D9" s="2" t="s">
        <v>472</v>
      </c>
      <c r="E9" s="2" t="s">
        <v>473</v>
      </c>
      <c r="F9" s="3" t="s">
        <v>125</v>
      </c>
      <c r="G9" s="3" t="s">
        <v>474</v>
      </c>
      <c r="H9" s="2" t="s">
        <v>448</v>
      </c>
    </row>
    <row r="10" customFormat="false" ht="23.85" hidden="false" customHeight="false" outlineLevel="0" collapsed="false">
      <c r="A10" s="3" t="s">
        <v>475</v>
      </c>
      <c r="B10" s="2" t="s">
        <v>476</v>
      </c>
      <c r="C10" s="2" t="s">
        <v>148</v>
      </c>
      <c r="D10" s="2" t="s">
        <v>477</v>
      </c>
      <c r="E10" s="2" t="s">
        <v>478</v>
      </c>
      <c r="F10" s="3" t="s">
        <v>150</v>
      </c>
      <c r="G10" s="3" t="s">
        <v>17</v>
      </c>
      <c r="H10" s="2" t="s">
        <v>479</v>
      </c>
    </row>
    <row r="11" customFormat="false" ht="23.85" hidden="false" customHeight="false" outlineLevel="0" collapsed="false">
      <c r="A11" s="3" t="s">
        <v>480</v>
      </c>
      <c r="B11" s="2" t="s">
        <v>481</v>
      </c>
      <c r="C11" s="2" t="s">
        <v>314</v>
      </c>
      <c r="D11" s="2" t="s">
        <v>477</v>
      </c>
      <c r="E11" s="2" t="s">
        <v>482</v>
      </c>
      <c r="F11" s="3" t="s">
        <v>315</v>
      </c>
      <c r="G11" s="3" t="s">
        <v>483</v>
      </c>
      <c r="H11" s="2" t="s">
        <v>448</v>
      </c>
    </row>
    <row r="12" customFormat="false" ht="23.85" hidden="false" customHeight="false" outlineLevel="0" collapsed="false">
      <c r="A12" s="3" t="s">
        <v>484</v>
      </c>
      <c r="B12" s="2" t="s">
        <v>485</v>
      </c>
      <c r="C12" s="2" t="s">
        <v>37</v>
      </c>
      <c r="D12" s="2" t="s">
        <v>477</v>
      </c>
      <c r="E12" s="2" t="s">
        <v>486</v>
      </c>
      <c r="F12" s="3" t="s">
        <v>41</v>
      </c>
      <c r="G12" s="3" t="s">
        <v>487</v>
      </c>
      <c r="H12" s="2" t="s">
        <v>448</v>
      </c>
    </row>
    <row r="13" customFormat="false" ht="15" hidden="false" customHeight="false" outlineLevel="0" collapsed="false">
      <c r="A13" s="3" t="s">
        <v>488</v>
      </c>
      <c r="B13" s="2" t="s">
        <v>489</v>
      </c>
      <c r="C13" s="2" t="s">
        <v>192</v>
      </c>
      <c r="D13" s="2" t="s">
        <v>477</v>
      </c>
      <c r="E13" s="2" t="s">
        <v>478</v>
      </c>
      <c r="F13" s="3" t="s">
        <v>193</v>
      </c>
      <c r="G13" s="3" t="s">
        <v>17</v>
      </c>
      <c r="H13" s="2" t="s">
        <v>25</v>
      </c>
    </row>
    <row r="14" customFormat="false" ht="23.85" hidden="false" customHeight="false" outlineLevel="0" collapsed="false">
      <c r="A14" s="3" t="s">
        <v>490</v>
      </c>
      <c r="B14" s="2" t="s">
        <v>491</v>
      </c>
      <c r="C14" s="2" t="s">
        <v>300</v>
      </c>
      <c r="D14" s="2" t="s">
        <v>477</v>
      </c>
      <c r="E14" s="2" t="s">
        <v>492</v>
      </c>
      <c r="F14" s="3" t="s">
        <v>185</v>
      </c>
      <c r="G14" s="3" t="s">
        <v>493</v>
      </c>
      <c r="H14" s="2" t="s">
        <v>448</v>
      </c>
    </row>
    <row r="15" customFormat="false" ht="35.05" hidden="false" customHeight="false" outlineLevel="0" collapsed="false">
      <c r="A15" s="3" t="s">
        <v>494</v>
      </c>
      <c r="B15" s="2" t="s">
        <v>495</v>
      </c>
      <c r="C15" s="2" t="s">
        <v>260</v>
      </c>
      <c r="D15" s="2" t="s">
        <v>477</v>
      </c>
      <c r="E15" s="2" t="s">
        <v>496</v>
      </c>
      <c r="F15" s="3" t="s">
        <v>185</v>
      </c>
      <c r="G15" s="3" t="s">
        <v>497</v>
      </c>
      <c r="H15" s="2" t="s">
        <v>448</v>
      </c>
    </row>
    <row r="16" customFormat="false" ht="23.85" hidden="false" customHeight="false" outlineLevel="0" collapsed="false">
      <c r="A16" s="3" t="s">
        <v>498</v>
      </c>
      <c r="B16" s="2" t="s">
        <v>499</v>
      </c>
      <c r="C16" s="2" t="s">
        <v>167</v>
      </c>
      <c r="D16" s="2" t="s">
        <v>500</v>
      </c>
      <c r="E16" s="2" t="s">
        <v>501</v>
      </c>
      <c r="F16" s="3" t="s">
        <v>19</v>
      </c>
      <c r="G16" s="3" t="s">
        <v>502</v>
      </c>
      <c r="H16" s="2" t="s">
        <v>448</v>
      </c>
    </row>
    <row r="17" customFormat="false" ht="23.85" hidden="false" customHeight="false" outlineLevel="0" collapsed="false">
      <c r="A17" s="3" t="s">
        <v>503</v>
      </c>
      <c r="B17" s="2" t="s">
        <v>504</v>
      </c>
      <c r="C17" s="2" t="s">
        <v>232</v>
      </c>
      <c r="D17" s="2" t="s">
        <v>477</v>
      </c>
      <c r="E17" s="2" t="s">
        <v>505</v>
      </c>
      <c r="F17" s="3" t="s">
        <v>233</v>
      </c>
      <c r="G17" s="3" t="s">
        <v>506</v>
      </c>
      <c r="H17" s="2" t="s">
        <v>448</v>
      </c>
    </row>
    <row r="18" customFormat="false" ht="23.85" hidden="false" customHeight="false" outlineLevel="0" collapsed="false">
      <c r="A18" s="3" t="s">
        <v>507</v>
      </c>
      <c r="B18" s="2" t="s">
        <v>508</v>
      </c>
      <c r="C18" s="2" t="s">
        <v>195</v>
      </c>
      <c r="D18" s="2" t="s">
        <v>477</v>
      </c>
      <c r="E18" s="2" t="s">
        <v>509</v>
      </c>
      <c r="F18" s="3" t="s">
        <v>17</v>
      </c>
      <c r="G18" s="3" t="s">
        <v>510</v>
      </c>
      <c r="H18" s="2" t="s">
        <v>448</v>
      </c>
    </row>
    <row r="19" customFormat="false" ht="15" hidden="false" customHeight="false" outlineLevel="0" collapsed="false">
      <c r="A19" s="3" t="s">
        <v>511</v>
      </c>
      <c r="B19" s="2" t="s">
        <v>512</v>
      </c>
      <c r="C19" s="2" t="s">
        <v>17</v>
      </c>
      <c r="D19" s="2" t="s">
        <v>477</v>
      </c>
      <c r="E19" s="2" t="s">
        <v>478</v>
      </c>
      <c r="F19" s="3" t="s">
        <v>17</v>
      </c>
      <c r="G19" s="3" t="s">
        <v>17</v>
      </c>
      <c r="H19" s="2" t="s">
        <v>479</v>
      </c>
    </row>
    <row r="20" customFormat="false" ht="23.85" hidden="false" customHeight="false" outlineLevel="0" collapsed="false">
      <c r="A20" s="3" t="s">
        <v>513</v>
      </c>
      <c r="B20" s="2" t="s">
        <v>514</v>
      </c>
      <c r="C20" s="2" t="s">
        <v>333</v>
      </c>
      <c r="D20" s="2" t="s">
        <v>477</v>
      </c>
      <c r="E20" s="2" t="s">
        <v>501</v>
      </c>
      <c r="F20" s="3" t="s">
        <v>17</v>
      </c>
      <c r="G20" s="3" t="s">
        <v>515</v>
      </c>
      <c r="H20" s="2" t="s">
        <v>448</v>
      </c>
    </row>
    <row r="21" customFormat="false" ht="23.85" hidden="false" customHeight="false" outlineLevel="0" collapsed="false">
      <c r="A21" s="3" t="s">
        <v>516</v>
      </c>
      <c r="B21" s="2" t="s">
        <v>517</v>
      </c>
      <c r="C21" s="2" t="s">
        <v>88</v>
      </c>
      <c r="D21" s="2" t="s">
        <v>477</v>
      </c>
      <c r="E21" s="2" t="s">
        <v>509</v>
      </c>
      <c r="F21" s="3" t="s">
        <v>90</v>
      </c>
      <c r="G21" s="3" t="s">
        <v>518</v>
      </c>
      <c r="H21" s="2" t="s">
        <v>448</v>
      </c>
    </row>
    <row r="22" customFormat="false" ht="23.85" hidden="false" customHeight="false" outlineLevel="0" collapsed="false">
      <c r="A22" s="3" t="s">
        <v>519</v>
      </c>
      <c r="B22" s="2" t="s">
        <v>520</v>
      </c>
      <c r="C22" s="2" t="s">
        <v>225</v>
      </c>
      <c r="D22" s="2" t="s">
        <v>477</v>
      </c>
      <c r="E22" s="2" t="s">
        <v>521</v>
      </c>
      <c r="F22" s="3" t="s">
        <v>90</v>
      </c>
      <c r="G22" s="3" t="s">
        <v>522</v>
      </c>
      <c r="H22" s="2" t="s">
        <v>448</v>
      </c>
    </row>
    <row r="23" customFormat="false" ht="15" hidden="false" customHeight="false" outlineLevel="0" collapsed="false">
      <c r="A23" s="3" t="s">
        <v>523</v>
      </c>
      <c r="B23" s="2" t="s">
        <v>524</v>
      </c>
      <c r="C23" s="2" t="s">
        <v>278</v>
      </c>
      <c r="D23" s="2" t="s">
        <v>500</v>
      </c>
      <c r="E23" s="2" t="s">
        <v>478</v>
      </c>
      <c r="F23" s="3" t="s">
        <v>19</v>
      </c>
      <c r="G23" s="3" t="s">
        <v>17</v>
      </c>
      <c r="H23" s="2" t="s">
        <v>25</v>
      </c>
    </row>
    <row r="24" customFormat="false" ht="35.05" hidden="false" customHeight="false" outlineLevel="0" collapsed="false">
      <c r="A24" s="3" t="s">
        <v>525</v>
      </c>
      <c r="B24" s="2" t="s">
        <v>526</v>
      </c>
      <c r="C24" s="2" t="s">
        <v>395</v>
      </c>
      <c r="D24" s="2" t="s">
        <v>527</v>
      </c>
      <c r="E24" s="2" t="s">
        <v>478</v>
      </c>
      <c r="F24" s="3" t="s">
        <v>41</v>
      </c>
      <c r="G24" s="3" t="s">
        <v>17</v>
      </c>
      <c r="H24" s="2" t="s">
        <v>398</v>
      </c>
    </row>
    <row r="25" customFormat="false" ht="15" hidden="false" customHeight="false" outlineLevel="0" collapsed="false">
      <c r="A25" s="3" t="s">
        <v>528</v>
      </c>
      <c r="B25" s="2" t="s">
        <v>504</v>
      </c>
      <c r="C25" s="2" t="s">
        <v>321</v>
      </c>
      <c r="D25" s="2" t="s">
        <v>500</v>
      </c>
      <c r="E25" s="2" t="s">
        <v>478</v>
      </c>
      <c r="F25" s="3" t="s">
        <v>17</v>
      </c>
      <c r="G25" s="3" t="s">
        <v>17</v>
      </c>
      <c r="H25" s="2" t="s">
        <v>25</v>
      </c>
    </row>
    <row r="26" customFormat="false" ht="23.85" hidden="false" customHeight="false" outlineLevel="0" collapsed="false">
      <c r="A26" s="3" t="s">
        <v>529</v>
      </c>
      <c r="B26" s="2" t="s">
        <v>530</v>
      </c>
      <c r="C26" s="2" t="s">
        <v>71</v>
      </c>
      <c r="D26" s="2" t="s">
        <v>477</v>
      </c>
      <c r="E26" s="2" t="s">
        <v>531</v>
      </c>
      <c r="F26" s="3" t="s">
        <v>72</v>
      </c>
      <c r="G26" s="3" t="s">
        <v>532</v>
      </c>
      <c r="H26" s="2" t="s">
        <v>448</v>
      </c>
    </row>
    <row r="27" customFormat="false" ht="35.05" hidden="false" customHeight="false" outlineLevel="0" collapsed="false">
      <c r="A27" s="3" t="s">
        <v>533</v>
      </c>
      <c r="B27" s="2" t="s">
        <v>534</v>
      </c>
      <c r="C27" s="2" t="s">
        <v>260</v>
      </c>
      <c r="D27" s="2" t="s">
        <v>477</v>
      </c>
      <c r="E27" s="2" t="s">
        <v>535</v>
      </c>
      <c r="F27" s="3" t="s">
        <v>185</v>
      </c>
      <c r="G27" s="3" t="s">
        <v>536</v>
      </c>
      <c r="H27" s="2" t="s">
        <v>448</v>
      </c>
    </row>
    <row r="28" customFormat="false" ht="23.85" hidden="false" customHeight="false" outlineLevel="0" collapsed="false">
      <c r="A28" s="3" t="s">
        <v>537</v>
      </c>
      <c r="B28" s="2" t="s">
        <v>538</v>
      </c>
      <c r="C28" s="2" t="s">
        <v>53</v>
      </c>
      <c r="D28" s="2" t="s">
        <v>477</v>
      </c>
      <c r="E28" s="2" t="s">
        <v>531</v>
      </c>
      <c r="F28" s="3" t="s">
        <v>55</v>
      </c>
      <c r="G28" s="3" t="s">
        <v>539</v>
      </c>
      <c r="H28" s="2" t="s">
        <v>448</v>
      </c>
    </row>
    <row r="29" customFormat="false" ht="23.85" hidden="false" customHeight="false" outlineLevel="0" collapsed="false">
      <c r="A29" s="3" t="s">
        <v>540</v>
      </c>
      <c r="B29" s="2" t="s">
        <v>489</v>
      </c>
      <c r="C29" s="2" t="s">
        <v>77</v>
      </c>
      <c r="D29" s="2" t="s">
        <v>477</v>
      </c>
      <c r="E29" s="2" t="s">
        <v>501</v>
      </c>
      <c r="F29" s="3" t="s">
        <v>35</v>
      </c>
      <c r="G29" s="3" t="s">
        <v>541</v>
      </c>
      <c r="H29" s="2" t="s">
        <v>448</v>
      </c>
    </row>
    <row r="30" customFormat="false" ht="23.85" hidden="false" customHeight="false" outlineLevel="0" collapsed="false">
      <c r="A30" s="3" t="s">
        <v>542</v>
      </c>
      <c r="B30" s="2" t="s">
        <v>543</v>
      </c>
      <c r="C30" s="2" t="s">
        <v>37</v>
      </c>
      <c r="D30" s="2" t="s">
        <v>477</v>
      </c>
      <c r="E30" s="2" t="s">
        <v>459</v>
      </c>
      <c r="F30" s="3" t="s">
        <v>41</v>
      </c>
      <c r="G30" s="3" t="s">
        <v>544</v>
      </c>
      <c r="H30" s="2" t="s">
        <v>448</v>
      </c>
    </row>
    <row r="31" customFormat="false" ht="23.85" hidden="false" customHeight="false" outlineLevel="0" collapsed="false">
      <c r="A31" s="3" t="s">
        <v>545</v>
      </c>
      <c r="B31" s="2" t="s">
        <v>546</v>
      </c>
      <c r="C31" s="2" t="s">
        <v>160</v>
      </c>
      <c r="D31" s="2" t="s">
        <v>477</v>
      </c>
      <c r="E31" s="2" t="s">
        <v>521</v>
      </c>
      <c r="F31" s="3" t="s">
        <v>17</v>
      </c>
      <c r="G31" s="3" t="s">
        <v>547</v>
      </c>
      <c r="H31" s="2" t="s">
        <v>448</v>
      </c>
    </row>
    <row r="32" customFormat="false" ht="23.85" hidden="false" customHeight="false" outlineLevel="0" collapsed="false">
      <c r="A32" s="3" t="s">
        <v>548</v>
      </c>
      <c r="B32" s="2" t="s">
        <v>549</v>
      </c>
      <c r="C32" s="2" t="s">
        <v>319</v>
      </c>
      <c r="D32" s="2" t="s">
        <v>477</v>
      </c>
      <c r="E32" s="2" t="s">
        <v>505</v>
      </c>
      <c r="F32" s="3" t="s">
        <v>17</v>
      </c>
      <c r="G32" s="3" t="s">
        <v>550</v>
      </c>
      <c r="H32" s="2" t="s">
        <v>448</v>
      </c>
    </row>
    <row r="33" customFormat="false" ht="15" hidden="false" customHeight="false" outlineLevel="0" collapsed="false">
      <c r="A33" s="3" t="s">
        <v>551</v>
      </c>
      <c r="B33" s="2" t="s">
        <v>552</v>
      </c>
      <c r="C33" s="2" t="s">
        <v>282</v>
      </c>
      <c r="D33" s="2" t="s">
        <v>477</v>
      </c>
      <c r="E33" s="2" t="s">
        <v>478</v>
      </c>
      <c r="F33" s="3" t="s">
        <v>17</v>
      </c>
      <c r="G33" s="3" t="s">
        <v>17</v>
      </c>
      <c r="H33" s="2" t="s">
        <v>25</v>
      </c>
    </row>
    <row r="34" customFormat="false" ht="23.85" hidden="false" customHeight="false" outlineLevel="0" collapsed="false">
      <c r="A34" s="3" t="s">
        <v>553</v>
      </c>
      <c r="B34" s="2" t="s">
        <v>504</v>
      </c>
      <c r="C34" s="2" t="s">
        <v>308</v>
      </c>
      <c r="D34" s="2" t="s">
        <v>477</v>
      </c>
      <c r="E34" s="2" t="s">
        <v>509</v>
      </c>
      <c r="F34" s="3" t="s">
        <v>309</v>
      </c>
      <c r="G34" s="3" t="s">
        <v>554</v>
      </c>
      <c r="H34" s="2" t="s">
        <v>448</v>
      </c>
    </row>
    <row r="35" customFormat="false" ht="23.85" hidden="false" customHeight="false" outlineLevel="0" collapsed="false">
      <c r="A35" s="3" t="s">
        <v>555</v>
      </c>
      <c r="B35" s="2" t="s">
        <v>556</v>
      </c>
      <c r="C35" s="2" t="s">
        <v>103</v>
      </c>
      <c r="D35" s="2" t="s">
        <v>477</v>
      </c>
      <c r="E35" s="2" t="s">
        <v>505</v>
      </c>
      <c r="F35" s="3" t="s">
        <v>17</v>
      </c>
      <c r="G35" s="3" t="s">
        <v>557</v>
      </c>
      <c r="H35" s="2" t="s">
        <v>448</v>
      </c>
    </row>
    <row r="36" customFormat="false" ht="23.85" hidden="false" customHeight="false" outlineLevel="0" collapsed="false">
      <c r="A36" s="3" t="s">
        <v>558</v>
      </c>
      <c r="B36" s="2" t="s">
        <v>559</v>
      </c>
      <c r="C36" s="2" t="s">
        <v>256</v>
      </c>
      <c r="D36" s="2" t="s">
        <v>477</v>
      </c>
      <c r="E36" s="2" t="s">
        <v>560</v>
      </c>
      <c r="F36" s="3" t="s">
        <v>84</v>
      </c>
      <c r="G36" s="3" t="s">
        <v>561</v>
      </c>
      <c r="H36" s="2" t="s">
        <v>448</v>
      </c>
    </row>
    <row r="37" customFormat="false" ht="23.85" hidden="false" customHeight="false" outlineLevel="0" collapsed="false">
      <c r="A37" s="3" t="s">
        <v>562</v>
      </c>
      <c r="B37" s="2" t="s">
        <v>49</v>
      </c>
      <c r="C37" s="2" t="s">
        <v>119</v>
      </c>
      <c r="D37" s="2" t="s">
        <v>500</v>
      </c>
      <c r="E37" s="2" t="s">
        <v>563</v>
      </c>
      <c r="F37" s="3" t="s">
        <v>17</v>
      </c>
      <c r="G37" s="3" t="s">
        <v>564</v>
      </c>
      <c r="H37" s="2" t="s">
        <v>448</v>
      </c>
    </row>
    <row r="38" customFormat="false" ht="23.85" hidden="false" customHeight="false" outlineLevel="0" collapsed="false">
      <c r="A38" s="3" t="s">
        <v>565</v>
      </c>
      <c r="B38" s="2" t="s">
        <v>566</v>
      </c>
      <c r="C38" s="2" t="s">
        <v>249</v>
      </c>
      <c r="D38" s="2" t="s">
        <v>477</v>
      </c>
      <c r="E38" s="2" t="s">
        <v>509</v>
      </c>
      <c r="F38" s="3" t="s">
        <v>19</v>
      </c>
      <c r="G38" s="3" t="s">
        <v>567</v>
      </c>
      <c r="H38" s="2" t="s">
        <v>448</v>
      </c>
    </row>
    <row r="39" customFormat="false" ht="23.85" hidden="false" customHeight="false" outlineLevel="0" collapsed="false">
      <c r="A39" s="3" t="s">
        <v>568</v>
      </c>
      <c r="B39" s="2" t="s">
        <v>504</v>
      </c>
      <c r="C39" s="2" t="s">
        <v>134</v>
      </c>
      <c r="D39" s="2" t="s">
        <v>477</v>
      </c>
      <c r="E39" s="2" t="s">
        <v>482</v>
      </c>
      <c r="F39" s="3" t="s">
        <v>136</v>
      </c>
      <c r="G39" s="3" t="s">
        <v>569</v>
      </c>
      <c r="H39" s="2" t="s">
        <v>448</v>
      </c>
    </row>
    <row r="40" customFormat="false" ht="15" hidden="false" customHeight="false" outlineLevel="0" collapsed="false">
      <c r="A40" s="3" t="s">
        <v>570</v>
      </c>
      <c r="B40" s="2" t="s">
        <v>571</v>
      </c>
      <c r="C40" s="2" t="s">
        <v>271</v>
      </c>
      <c r="D40" s="2" t="s">
        <v>477</v>
      </c>
      <c r="E40" s="2" t="s">
        <v>478</v>
      </c>
      <c r="F40" s="3" t="s">
        <v>17</v>
      </c>
      <c r="G40" s="3" t="s">
        <v>17</v>
      </c>
      <c r="H40" s="2" t="s">
        <v>479</v>
      </c>
    </row>
    <row r="41" customFormat="false" ht="15" hidden="false" customHeight="false" outlineLevel="0" collapsed="false">
      <c r="A41" s="3" t="s">
        <v>572</v>
      </c>
      <c r="B41" s="2" t="s">
        <v>552</v>
      </c>
      <c r="C41" s="2" t="s">
        <v>68</v>
      </c>
      <c r="D41" s="2" t="s">
        <v>477</v>
      </c>
      <c r="E41" s="2" t="s">
        <v>478</v>
      </c>
      <c r="F41" s="3" t="s">
        <v>17</v>
      </c>
      <c r="G41" s="3" t="s">
        <v>17</v>
      </c>
      <c r="H41" s="2" t="s">
        <v>479</v>
      </c>
    </row>
    <row r="42" customFormat="false" ht="23.85" hidden="false" customHeight="false" outlineLevel="0" collapsed="false">
      <c r="A42" s="3" t="s">
        <v>573</v>
      </c>
      <c r="B42" s="2" t="s">
        <v>574</v>
      </c>
      <c r="C42" s="2" t="s">
        <v>225</v>
      </c>
      <c r="D42" s="2" t="s">
        <v>477</v>
      </c>
      <c r="E42" s="2" t="s">
        <v>575</v>
      </c>
      <c r="F42" s="3" t="s">
        <v>90</v>
      </c>
      <c r="G42" s="3" t="s">
        <v>576</v>
      </c>
      <c r="H42" s="2" t="s">
        <v>448</v>
      </c>
    </row>
    <row r="43" customFormat="false" ht="23.85" hidden="false" customHeight="false" outlineLevel="0" collapsed="false">
      <c r="A43" s="3" t="s">
        <v>577</v>
      </c>
      <c r="B43" s="2" t="s">
        <v>578</v>
      </c>
      <c r="C43" s="2" t="s">
        <v>295</v>
      </c>
      <c r="D43" s="2" t="s">
        <v>477</v>
      </c>
      <c r="E43" s="2" t="s">
        <v>509</v>
      </c>
      <c r="F43" s="3" t="s">
        <v>17</v>
      </c>
      <c r="G43" s="3" t="s">
        <v>579</v>
      </c>
      <c r="H43" s="2" t="s">
        <v>448</v>
      </c>
    </row>
    <row r="44" customFormat="false" ht="23.85" hidden="false" customHeight="false" outlineLevel="0" collapsed="false">
      <c r="A44" s="3" t="s">
        <v>580</v>
      </c>
      <c r="B44" s="2" t="s">
        <v>581</v>
      </c>
      <c r="C44" s="2" t="s">
        <v>225</v>
      </c>
      <c r="D44" s="2" t="s">
        <v>477</v>
      </c>
      <c r="E44" s="2" t="s">
        <v>501</v>
      </c>
      <c r="F44" s="3" t="s">
        <v>90</v>
      </c>
      <c r="G44" s="3" t="s">
        <v>582</v>
      </c>
      <c r="H44" s="2" t="s">
        <v>448</v>
      </c>
    </row>
    <row r="45" customFormat="false" ht="23.85" hidden="false" customHeight="false" outlineLevel="0" collapsed="false">
      <c r="A45" s="3" t="s">
        <v>583</v>
      </c>
      <c r="B45" s="2" t="s">
        <v>504</v>
      </c>
      <c r="C45" s="2" t="s">
        <v>183</v>
      </c>
      <c r="D45" s="2" t="s">
        <v>477</v>
      </c>
      <c r="E45" s="2" t="s">
        <v>521</v>
      </c>
      <c r="F45" s="3" t="s">
        <v>185</v>
      </c>
      <c r="G45" s="3" t="s">
        <v>584</v>
      </c>
      <c r="H45" s="2" t="s">
        <v>448</v>
      </c>
    </row>
    <row r="46" customFormat="false" ht="23.85" hidden="false" customHeight="false" outlineLevel="0" collapsed="false">
      <c r="A46" s="3" t="s">
        <v>585</v>
      </c>
      <c r="B46" s="2" t="s">
        <v>586</v>
      </c>
      <c r="C46" s="2" t="s">
        <v>236</v>
      </c>
      <c r="D46" s="2" t="s">
        <v>477</v>
      </c>
      <c r="E46" s="2" t="s">
        <v>478</v>
      </c>
      <c r="F46" s="3" t="s">
        <v>237</v>
      </c>
      <c r="G46" s="3" t="s">
        <v>17</v>
      </c>
      <c r="H46" s="2" t="s">
        <v>479</v>
      </c>
    </row>
    <row r="47" customFormat="false" ht="23.85" hidden="false" customHeight="false" outlineLevel="0" collapsed="false">
      <c r="A47" s="3" t="s">
        <v>587</v>
      </c>
      <c r="B47" s="2" t="s">
        <v>578</v>
      </c>
      <c r="C47" s="2" t="s">
        <v>107</v>
      </c>
      <c r="D47" s="2" t="s">
        <v>588</v>
      </c>
      <c r="E47" s="2" t="s">
        <v>478</v>
      </c>
      <c r="F47" s="3" t="s">
        <v>19</v>
      </c>
      <c r="G47" s="3" t="s">
        <v>17</v>
      </c>
      <c r="H47" s="2" t="s">
        <v>589</v>
      </c>
    </row>
    <row r="48" customFormat="false" ht="15" hidden="false" customHeight="false" outlineLevel="0" collapsed="false">
      <c r="A48" s="3" t="s">
        <v>590</v>
      </c>
      <c r="B48" s="2" t="s">
        <v>591</v>
      </c>
      <c r="C48" s="2" t="s">
        <v>335</v>
      </c>
      <c r="D48" s="2" t="s">
        <v>477</v>
      </c>
      <c r="E48" s="2" t="s">
        <v>478</v>
      </c>
      <c r="F48" s="3" t="s">
        <v>84</v>
      </c>
      <c r="G48" s="3" t="s">
        <v>17</v>
      </c>
      <c r="H48" s="2" t="s">
        <v>479</v>
      </c>
    </row>
    <row r="49" customFormat="false" ht="23.85" hidden="false" customHeight="false" outlineLevel="0" collapsed="false">
      <c r="A49" s="3" t="s">
        <v>592</v>
      </c>
      <c r="B49" s="2" t="s">
        <v>578</v>
      </c>
      <c r="C49" s="2" t="s">
        <v>200</v>
      </c>
      <c r="D49" s="2" t="s">
        <v>477</v>
      </c>
      <c r="E49" s="2" t="s">
        <v>593</v>
      </c>
      <c r="F49" s="3" t="s">
        <v>19</v>
      </c>
      <c r="G49" s="3" t="s">
        <v>594</v>
      </c>
      <c r="H49" s="2" t="s">
        <v>448</v>
      </c>
    </row>
    <row r="50" customFormat="false" ht="23.85" hidden="false" customHeight="false" outlineLevel="0" collapsed="false">
      <c r="A50" s="3" t="s">
        <v>595</v>
      </c>
      <c r="B50" s="2" t="s">
        <v>596</v>
      </c>
      <c r="C50" s="2" t="s">
        <v>249</v>
      </c>
      <c r="D50" s="2" t="s">
        <v>477</v>
      </c>
      <c r="E50" s="2" t="s">
        <v>597</v>
      </c>
      <c r="F50" s="3" t="s">
        <v>19</v>
      </c>
      <c r="G50" s="3" t="s">
        <v>598</v>
      </c>
      <c r="H50" s="2" t="s">
        <v>448</v>
      </c>
    </row>
    <row r="51" customFormat="false" ht="23.85" hidden="false" customHeight="false" outlineLevel="0" collapsed="false">
      <c r="A51" s="3" t="s">
        <v>599</v>
      </c>
      <c r="B51" s="2" t="s">
        <v>552</v>
      </c>
      <c r="C51" s="2" t="s">
        <v>225</v>
      </c>
      <c r="D51" s="2" t="s">
        <v>477</v>
      </c>
      <c r="E51" s="2" t="s">
        <v>600</v>
      </c>
      <c r="F51" s="3" t="s">
        <v>90</v>
      </c>
      <c r="G51" s="3" t="s">
        <v>601</v>
      </c>
      <c r="H51" s="2" t="s">
        <v>448</v>
      </c>
    </row>
    <row r="52" customFormat="false" ht="23.85" hidden="false" customHeight="false" outlineLevel="0" collapsed="false">
      <c r="A52" s="3" t="s">
        <v>602</v>
      </c>
      <c r="B52" s="2" t="s">
        <v>603</v>
      </c>
      <c r="C52" s="2" t="s">
        <v>98</v>
      </c>
      <c r="D52" s="2" t="s">
        <v>477</v>
      </c>
      <c r="E52" s="2" t="s">
        <v>486</v>
      </c>
      <c r="F52" s="3" t="s">
        <v>90</v>
      </c>
      <c r="G52" s="3" t="s">
        <v>604</v>
      </c>
      <c r="H52" s="2" t="s">
        <v>448</v>
      </c>
    </row>
    <row r="53" customFormat="false" ht="15" hidden="false" customHeight="false" outlineLevel="0" collapsed="false">
      <c r="A53" s="3" t="s">
        <v>605</v>
      </c>
      <c r="B53" s="2" t="s">
        <v>606</v>
      </c>
      <c r="C53" s="2" t="s">
        <v>47</v>
      </c>
      <c r="D53" s="2" t="s">
        <v>500</v>
      </c>
      <c r="E53" s="2" t="s">
        <v>478</v>
      </c>
      <c r="F53" s="3" t="s">
        <v>17</v>
      </c>
      <c r="G53" s="3" t="s">
        <v>17</v>
      </c>
      <c r="H53" s="2" t="s">
        <v>25</v>
      </c>
    </row>
    <row r="54" customFormat="false" ht="35.05" hidden="false" customHeight="false" outlineLevel="0" collapsed="false">
      <c r="A54" s="3" t="s">
        <v>607</v>
      </c>
      <c r="B54" s="2" t="s">
        <v>608</v>
      </c>
      <c r="C54" s="2" t="s">
        <v>260</v>
      </c>
      <c r="D54" s="2" t="s">
        <v>477</v>
      </c>
      <c r="E54" s="2" t="s">
        <v>609</v>
      </c>
      <c r="F54" s="3" t="s">
        <v>185</v>
      </c>
      <c r="G54" s="3" t="s">
        <v>610</v>
      </c>
      <c r="H54" s="2" t="s">
        <v>448</v>
      </c>
    </row>
    <row r="55" customFormat="false" ht="23.85" hidden="false" customHeight="false" outlineLevel="0" collapsed="false">
      <c r="A55" s="3" t="s">
        <v>611</v>
      </c>
      <c r="B55" s="2" t="s">
        <v>612</v>
      </c>
      <c r="C55" s="2" t="s">
        <v>61</v>
      </c>
      <c r="D55" s="2" t="s">
        <v>477</v>
      </c>
      <c r="E55" s="2" t="s">
        <v>531</v>
      </c>
      <c r="F55" s="3" t="s">
        <v>62</v>
      </c>
      <c r="G55" s="3" t="s">
        <v>613</v>
      </c>
      <c r="H55" s="2" t="s">
        <v>479</v>
      </c>
    </row>
    <row r="56" customFormat="false" ht="23.85" hidden="false" customHeight="false" outlineLevel="0" collapsed="false">
      <c r="A56" s="3" t="s">
        <v>614</v>
      </c>
      <c r="B56" s="2" t="s">
        <v>615</v>
      </c>
      <c r="C56" s="2" t="s">
        <v>128</v>
      </c>
      <c r="D56" s="2" t="s">
        <v>477</v>
      </c>
      <c r="E56" s="2" t="s">
        <v>616</v>
      </c>
      <c r="F56" s="3" t="s">
        <v>17</v>
      </c>
      <c r="G56" s="3" t="s">
        <v>617</v>
      </c>
      <c r="H56" s="2" t="s">
        <v>448</v>
      </c>
    </row>
    <row r="57" customFormat="false" ht="23.85" hidden="false" customHeight="false" outlineLevel="0" collapsed="false">
      <c r="A57" s="3" t="s">
        <v>618</v>
      </c>
      <c r="B57" s="2" t="s">
        <v>619</v>
      </c>
      <c r="C57" s="2" t="s">
        <v>290</v>
      </c>
      <c r="D57" s="2" t="s">
        <v>477</v>
      </c>
      <c r="E57" s="2" t="s">
        <v>486</v>
      </c>
      <c r="F57" s="3" t="s">
        <v>19</v>
      </c>
      <c r="G57" s="3" t="s">
        <v>620</v>
      </c>
      <c r="H57" s="2" t="s">
        <v>448</v>
      </c>
    </row>
    <row r="58" customFormat="false" ht="23.85" hidden="false" customHeight="false" outlineLevel="0" collapsed="false">
      <c r="A58" s="3" t="s">
        <v>621</v>
      </c>
      <c r="B58" s="2" t="s">
        <v>622</v>
      </c>
      <c r="C58" s="2" t="s">
        <v>325</v>
      </c>
      <c r="D58" s="2" t="s">
        <v>477</v>
      </c>
      <c r="E58" s="2" t="s">
        <v>616</v>
      </c>
      <c r="F58" s="3" t="s">
        <v>90</v>
      </c>
      <c r="G58" s="3" t="s">
        <v>623</v>
      </c>
      <c r="H58" s="2" t="s">
        <v>448</v>
      </c>
    </row>
    <row r="59" customFormat="false" ht="23.85" hidden="false" customHeight="false" outlineLevel="0" collapsed="false">
      <c r="A59" s="3" t="s">
        <v>624</v>
      </c>
      <c r="B59" s="2" t="s">
        <v>625</v>
      </c>
      <c r="C59" s="2" t="s">
        <v>173</v>
      </c>
      <c r="D59" s="2" t="s">
        <v>477</v>
      </c>
      <c r="E59" s="2" t="s">
        <v>575</v>
      </c>
      <c r="F59" s="3" t="s">
        <v>17</v>
      </c>
      <c r="G59" s="3" t="s">
        <v>626</v>
      </c>
      <c r="H59" s="2" t="s">
        <v>448</v>
      </c>
    </row>
    <row r="60" customFormat="false" ht="15" hidden="false" customHeight="false" outlineLevel="0" collapsed="false">
      <c r="A60" s="3" t="s">
        <v>627</v>
      </c>
      <c r="B60" s="2" t="s">
        <v>628</v>
      </c>
      <c r="C60" s="2" t="s">
        <v>59</v>
      </c>
      <c r="D60" s="2" t="s">
        <v>477</v>
      </c>
      <c r="E60" s="2" t="s">
        <v>478</v>
      </c>
      <c r="F60" s="3" t="s">
        <v>17</v>
      </c>
      <c r="G60" s="3" t="s">
        <v>17</v>
      </c>
      <c r="H60" s="2" t="s">
        <v>25</v>
      </c>
    </row>
    <row r="61" customFormat="false" ht="23.85" hidden="false" customHeight="false" outlineLevel="0" collapsed="false">
      <c r="A61" s="3" t="s">
        <v>629</v>
      </c>
      <c r="B61" s="2" t="s">
        <v>630</v>
      </c>
      <c r="C61" s="2" t="s">
        <v>351</v>
      </c>
      <c r="D61" s="2" t="s">
        <v>631</v>
      </c>
      <c r="E61" s="2" t="s">
        <v>478</v>
      </c>
      <c r="F61" s="3" t="s">
        <v>19</v>
      </c>
      <c r="G61" s="3" t="s">
        <v>17</v>
      </c>
      <c r="H61" s="2" t="s">
        <v>354</v>
      </c>
    </row>
    <row r="62" customFormat="false" ht="23.85" hidden="false" customHeight="false" outlineLevel="0" collapsed="false">
      <c r="A62" s="3" t="s">
        <v>632</v>
      </c>
      <c r="B62" s="2" t="s">
        <v>633</v>
      </c>
      <c r="C62" s="2" t="s">
        <v>273</v>
      </c>
      <c r="D62" s="2" t="s">
        <v>477</v>
      </c>
      <c r="E62" s="2" t="s">
        <v>634</v>
      </c>
      <c r="F62" s="3" t="s">
        <v>275</v>
      </c>
      <c r="G62" s="3" t="s">
        <v>635</v>
      </c>
      <c r="H62" s="2" t="s">
        <v>479</v>
      </c>
    </row>
    <row r="63" customFormat="false" ht="23.85" hidden="false" customHeight="false" outlineLevel="0" collapsed="false">
      <c r="A63" s="3" t="s">
        <v>636</v>
      </c>
      <c r="B63" s="2" t="s">
        <v>637</v>
      </c>
      <c r="C63" s="2" t="s">
        <v>33</v>
      </c>
      <c r="D63" s="2" t="s">
        <v>477</v>
      </c>
      <c r="E63" s="2" t="s">
        <v>509</v>
      </c>
      <c r="F63" s="3" t="s">
        <v>35</v>
      </c>
      <c r="G63" s="3" t="s">
        <v>638</v>
      </c>
      <c r="H63" s="2" t="s">
        <v>448</v>
      </c>
    </row>
    <row r="64" customFormat="false" ht="23.85" hidden="false" customHeight="false" outlineLevel="0" collapsed="false">
      <c r="A64" s="3" t="s">
        <v>639</v>
      </c>
      <c r="B64" s="2" t="s">
        <v>640</v>
      </c>
      <c r="C64" s="2" t="s">
        <v>15</v>
      </c>
      <c r="D64" s="2" t="s">
        <v>500</v>
      </c>
      <c r="E64" s="2" t="s">
        <v>482</v>
      </c>
      <c r="F64" s="3" t="s">
        <v>19</v>
      </c>
      <c r="G64" s="3" t="s">
        <v>641</v>
      </c>
      <c r="H64" s="2" t="s">
        <v>448</v>
      </c>
    </row>
    <row r="65" customFormat="false" ht="15" hidden="false" customHeight="false" outlineLevel="0" collapsed="false">
      <c r="A65" s="3" t="s">
        <v>642</v>
      </c>
      <c r="B65" s="2" t="s">
        <v>643</v>
      </c>
      <c r="C65" s="2" t="s">
        <v>239</v>
      </c>
      <c r="D65" s="2" t="s">
        <v>477</v>
      </c>
      <c r="E65" s="2" t="s">
        <v>478</v>
      </c>
      <c r="F65" s="3" t="s">
        <v>185</v>
      </c>
      <c r="G65" s="3" t="s">
        <v>17</v>
      </c>
      <c r="H65" s="2" t="s">
        <v>479</v>
      </c>
    </row>
    <row r="66" customFormat="false" ht="23.85" hidden="false" customHeight="false" outlineLevel="0" collapsed="false">
      <c r="A66" s="3" t="s">
        <v>644</v>
      </c>
      <c r="B66" s="2" t="s">
        <v>645</v>
      </c>
      <c r="C66" s="2" t="s">
        <v>284</v>
      </c>
      <c r="D66" s="2" t="s">
        <v>477</v>
      </c>
      <c r="E66" s="2" t="s">
        <v>486</v>
      </c>
      <c r="F66" s="3" t="s">
        <v>286</v>
      </c>
      <c r="G66" s="3" t="s">
        <v>646</v>
      </c>
      <c r="H66" s="2" t="s">
        <v>448</v>
      </c>
    </row>
    <row r="67" customFormat="false" ht="23.85" hidden="false" customHeight="false" outlineLevel="0" collapsed="false">
      <c r="A67" s="3" t="s">
        <v>647</v>
      </c>
      <c r="B67" s="2" t="s">
        <v>504</v>
      </c>
      <c r="C67" s="2" t="s">
        <v>331</v>
      </c>
      <c r="D67" s="2" t="s">
        <v>477</v>
      </c>
      <c r="E67" s="2" t="s">
        <v>486</v>
      </c>
      <c r="F67" s="3" t="s">
        <v>196</v>
      </c>
      <c r="G67" s="3" t="s">
        <v>648</v>
      </c>
      <c r="H67" s="2" t="s">
        <v>448</v>
      </c>
    </row>
    <row r="68" customFormat="false" ht="23.85" hidden="false" customHeight="false" outlineLevel="0" collapsed="false">
      <c r="A68" s="3" t="s">
        <v>649</v>
      </c>
      <c r="B68" s="2" t="s">
        <v>504</v>
      </c>
      <c r="C68" s="2" t="s">
        <v>273</v>
      </c>
      <c r="D68" s="2" t="s">
        <v>477</v>
      </c>
      <c r="E68" s="2" t="s">
        <v>521</v>
      </c>
      <c r="F68" s="3" t="s">
        <v>275</v>
      </c>
      <c r="G68" s="3" t="s">
        <v>650</v>
      </c>
      <c r="H68" s="2" t="s">
        <v>448</v>
      </c>
    </row>
    <row r="69" customFormat="false" ht="23.85" hidden="false" customHeight="false" outlineLevel="0" collapsed="false">
      <c r="A69" s="3" t="s">
        <v>651</v>
      </c>
      <c r="B69" s="2" t="s">
        <v>652</v>
      </c>
      <c r="C69" s="2" t="s">
        <v>246</v>
      </c>
      <c r="D69" s="2" t="s">
        <v>477</v>
      </c>
      <c r="E69" s="2" t="s">
        <v>563</v>
      </c>
      <c r="F69" s="3" t="s">
        <v>17</v>
      </c>
      <c r="G69" s="3" t="s">
        <v>653</v>
      </c>
      <c r="H69" s="2" t="s">
        <v>448</v>
      </c>
    </row>
    <row r="70" customFormat="false" ht="23.85" hidden="false" customHeight="false" outlineLevel="0" collapsed="false">
      <c r="A70" s="3" t="s">
        <v>654</v>
      </c>
      <c r="B70" s="2" t="s">
        <v>655</v>
      </c>
      <c r="C70" s="2" t="s">
        <v>178</v>
      </c>
      <c r="D70" s="2" t="s">
        <v>477</v>
      </c>
      <c r="E70" s="2" t="s">
        <v>575</v>
      </c>
      <c r="F70" s="3" t="s">
        <v>19</v>
      </c>
      <c r="G70" s="3" t="s">
        <v>656</v>
      </c>
      <c r="H70" s="2" t="s">
        <v>448</v>
      </c>
    </row>
    <row r="71" customFormat="false" ht="23.85" hidden="false" customHeight="false" outlineLevel="0" collapsed="false">
      <c r="A71" s="3" t="s">
        <v>657</v>
      </c>
      <c r="B71" s="2" t="s">
        <v>658</v>
      </c>
      <c r="C71" s="2" t="s">
        <v>267</v>
      </c>
      <c r="D71" s="2" t="s">
        <v>477</v>
      </c>
      <c r="E71" s="2" t="s">
        <v>563</v>
      </c>
      <c r="F71" s="3" t="s">
        <v>17</v>
      </c>
      <c r="G71" s="3" t="s">
        <v>659</v>
      </c>
      <c r="H71" s="2" t="s">
        <v>448</v>
      </c>
    </row>
    <row r="72" customFormat="false" ht="23.85" hidden="false" customHeight="false" outlineLevel="0" collapsed="false">
      <c r="A72" s="3" t="s">
        <v>660</v>
      </c>
      <c r="B72" s="2" t="s">
        <v>661</v>
      </c>
      <c r="C72" s="2" t="s">
        <v>95</v>
      </c>
      <c r="D72" s="2" t="s">
        <v>477</v>
      </c>
      <c r="E72" s="2" t="s">
        <v>616</v>
      </c>
      <c r="F72" s="3" t="s">
        <v>17</v>
      </c>
      <c r="G72" s="3" t="s">
        <v>662</v>
      </c>
      <c r="H72" s="2" t="s">
        <v>448</v>
      </c>
    </row>
    <row r="73" customFormat="false" ht="23.85" hidden="false" customHeight="false" outlineLevel="0" collapsed="false">
      <c r="A73" s="3" t="s">
        <v>663</v>
      </c>
      <c r="B73" s="2" t="s">
        <v>664</v>
      </c>
      <c r="C73" s="2" t="s">
        <v>132</v>
      </c>
      <c r="D73" s="2" t="s">
        <v>477</v>
      </c>
      <c r="E73" s="2" t="s">
        <v>575</v>
      </c>
      <c r="F73" s="3" t="s">
        <v>17</v>
      </c>
      <c r="G73" s="3" t="s">
        <v>665</v>
      </c>
      <c r="H73" s="2" t="s">
        <v>448</v>
      </c>
    </row>
    <row r="74" customFormat="false" ht="23.85" hidden="false" customHeight="false" outlineLevel="0" collapsed="false">
      <c r="A74" s="3" t="s">
        <v>666</v>
      </c>
      <c r="B74" s="2" t="s">
        <v>667</v>
      </c>
      <c r="C74" s="2" t="s">
        <v>260</v>
      </c>
      <c r="D74" s="2" t="s">
        <v>477</v>
      </c>
      <c r="E74" s="2" t="s">
        <v>668</v>
      </c>
      <c r="F74" s="3" t="s">
        <v>185</v>
      </c>
      <c r="G74" s="3" t="s">
        <v>669</v>
      </c>
      <c r="H74" s="2" t="s">
        <v>448</v>
      </c>
    </row>
    <row r="75" customFormat="false" ht="23.85" hidden="false" customHeight="false" outlineLevel="0" collapsed="false">
      <c r="A75" s="3" t="s">
        <v>670</v>
      </c>
      <c r="B75" s="2" t="s">
        <v>671</v>
      </c>
      <c r="C75" s="2" t="s">
        <v>114</v>
      </c>
      <c r="D75" s="2" t="s">
        <v>500</v>
      </c>
      <c r="E75" s="2" t="s">
        <v>531</v>
      </c>
      <c r="F75" s="3" t="s">
        <v>17</v>
      </c>
      <c r="G75" s="3" t="s">
        <v>672</v>
      </c>
      <c r="H75" s="2" t="s">
        <v>448</v>
      </c>
    </row>
    <row r="76" customFormat="false" ht="23.85" hidden="false" customHeight="false" outlineLevel="0" collapsed="false">
      <c r="A76" s="3" t="s">
        <v>673</v>
      </c>
      <c r="B76" s="2" t="s">
        <v>674</v>
      </c>
      <c r="C76" s="2" t="s">
        <v>305</v>
      </c>
      <c r="D76" s="2" t="s">
        <v>477</v>
      </c>
      <c r="E76" s="2" t="s">
        <v>675</v>
      </c>
      <c r="F76" s="3" t="s">
        <v>185</v>
      </c>
      <c r="G76" s="3" t="s">
        <v>676</v>
      </c>
      <c r="H76" s="2" t="s">
        <v>448</v>
      </c>
    </row>
    <row r="77" customFormat="false" ht="35.05" hidden="false" customHeight="false" outlineLevel="0" collapsed="false">
      <c r="A77" s="3" t="s">
        <v>677</v>
      </c>
      <c r="B77" s="2" t="s">
        <v>678</v>
      </c>
      <c r="C77" s="2" t="s">
        <v>260</v>
      </c>
      <c r="D77" s="2" t="s">
        <v>477</v>
      </c>
      <c r="E77" s="2" t="s">
        <v>679</v>
      </c>
      <c r="F77" s="3" t="s">
        <v>185</v>
      </c>
      <c r="G77" s="3" t="s">
        <v>680</v>
      </c>
      <c r="H77" s="2" t="s">
        <v>448</v>
      </c>
    </row>
  </sheetData>
  <autoFilter ref="A1:H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0"/>
    <col collapsed="false" customWidth="true" hidden="false" outlineLevel="0" max="2" min="2" style="0" width="70"/>
    <col collapsed="false" customWidth="true" hidden="false" outlineLevel="0" max="3" min="3" style="0" width="14"/>
  </cols>
  <sheetData>
    <row r="1" customFormat="false" ht="17.35" hidden="false" customHeight="false" outlineLevel="0" collapsed="false">
      <c r="A1" s="4" t="s">
        <v>681</v>
      </c>
    </row>
    <row r="3" customFormat="false" ht="15" hidden="false" customHeight="false" outlineLevel="0" collapsed="false">
      <c r="A3" s="5" t="s">
        <v>682</v>
      </c>
      <c r="B3" s="6" t="s">
        <v>683</v>
      </c>
    </row>
    <row r="4" customFormat="false" ht="23.85" hidden="false" customHeight="false" outlineLevel="0" collapsed="false">
      <c r="A4" s="5" t="s">
        <v>684</v>
      </c>
      <c r="B4" s="6" t="s">
        <v>685</v>
      </c>
    </row>
    <row r="5" customFormat="false" ht="23.85" hidden="false" customHeight="false" outlineLevel="0" collapsed="false">
      <c r="A5" s="5" t="s">
        <v>686</v>
      </c>
      <c r="B5" s="6" t="s">
        <v>687</v>
      </c>
    </row>
    <row r="6" customFormat="false" ht="23.85" hidden="false" customHeight="false" outlineLevel="0" collapsed="false">
      <c r="A6" s="5" t="s">
        <v>688</v>
      </c>
      <c r="B6" s="6" t="s">
        <v>689</v>
      </c>
    </row>
    <row r="8" customFormat="false" ht="15" hidden="false" customHeight="false" outlineLevel="0" collapsed="false">
      <c r="A8" s="7" t="s">
        <v>690</v>
      </c>
      <c r="B8" s="8"/>
      <c r="C8" s="8"/>
    </row>
    <row r="9" customFormat="false" ht="15" hidden="false" customHeight="false" outlineLevel="0" collapsed="false">
      <c r="A9" s="9" t="s">
        <v>691</v>
      </c>
      <c r="B9" s="9" t="n">
        <f aca="false">COUNTA(Organisations!$A$2:$A$97)</f>
        <v>96</v>
      </c>
    </row>
    <row r="10" customFormat="false" ht="15" hidden="false" customHeight="false" outlineLevel="0" collapsed="false">
      <c r="A10" s="9" t="s">
        <v>692</v>
      </c>
      <c r="B10" s="9" t="n">
        <f aca="false">COUNTA(People!$A$2:$A$77)</f>
        <v>76</v>
      </c>
    </row>
    <row r="11" customFormat="false" ht="15" hidden="false" customHeight="false" outlineLevel="0" collapsed="false">
      <c r="A11" s="9" t="s">
        <v>693</v>
      </c>
      <c r="B11" s="9" t="n">
        <f aca="false">COUNTIF(Organisations!$N$2:$N$97,"Confirmed")</f>
        <v>70</v>
      </c>
    </row>
    <row r="12" customFormat="false" ht="15" hidden="false" customHeight="false" outlineLevel="0" collapsed="false">
      <c r="A12" s="9" t="s">
        <v>694</v>
      </c>
      <c r="B12" s="9" t="n">
        <f aca="false">COUNTIF(Organisations!$N$2:$N$97,"Likely")</f>
        <v>26</v>
      </c>
    </row>
    <row r="13" customFormat="false" ht="15" hidden="false" customHeight="false" outlineLevel="0" collapsed="false">
      <c r="A13" s="9" t="s">
        <v>695</v>
      </c>
      <c r="B13" s="9" t="n">
        <f aca="false">COUNTIF(Organisations!$N$2:$N$97,"Unverified")</f>
        <v>0</v>
      </c>
    </row>
    <row r="15" customFormat="false" ht="15" hidden="false" customHeight="false" outlineLevel="0" collapsed="false">
      <c r="A15" s="7" t="s">
        <v>696</v>
      </c>
      <c r="B15" s="8"/>
      <c r="C15" s="8"/>
    </row>
    <row r="16" customFormat="false" ht="15" hidden="false" customHeight="false" outlineLevel="0" collapsed="false">
      <c r="A16" s="5" t="s">
        <v>697</v>
      </c>
      <c r="B16" s="5" t="s">
        <v>698</v>
      </c>
    </row>
    <row r="17" customFormat="false" ht="15" hidden="false" customHeight="false" outlineLevel="0" collapsed="false">
      <c r="A17" s="9" t="s">
        <v>316</v>
      </c>
      <c r="B17" s="9" t="n">
        <f aca="false">COUNTIF(Organisations!$H$2:$H$97,A17)</f>
        <v>2</v>
      </c>
    </row>
    <row r="18" customFormat="false" ht="15" hidden="false" customHeight="false" outlineLevel="0" collapsed="false">
      <c r="A18" s="9" t="s">
        <v>96</v>
      </c>
      <c r="B18" s="9" t="n">
        <f aca="false">COUNTIF(Organisations!$H$2:$H$97,A18)</f>
        <v>4</v>
      </c>
    </row>
    <row r="19" customFormat="false" ht="15" hidden="false" customHeight="false" outlineLevel="0" collapsed="false">
      <c r="A19" s="9" t="s">
        <v>30</v>
      </c>
      <c r="B19" s="9" t="n">
        <f aca="false">COUNTIF(Organisations!$H$2:$H$97,A19)</f>
        <v>2</v>
      </c>
    </row>
    <row r="20" customFormat="false" ht="15" hidden="false" customHeight="false" outlineLevel="0" collapsed="false">
      <c r="A20" s="9" t="s">
        <v>21</v>
      </c>
      <c r="B20" s="9" t="n">
        <f aca="false">COUNTIF(Organisations!$H$2:$H$97,A20)</f>
        <v>12</v>
      </c>
    </row>
    <row r="21" customFormat="false" ht="15" hidden="false" customHeight="false" outlineLevel="0" collapsed="false">
      <c r="A21" s="9" t="s">
        <v>64</v>
      </c>
      <c r="B21" s="9" t="n">
        <f aca="false">COUNTIF(Organisations!$H$2:$H$97,A21)</f>
        <v>17</v>
      </c>
    </row>
    <row r="22" customFormat="false" ht="15" hidden="false" customHeight="false" outlineLevel="0" collapsed="false">
      <c r="A22" s="9" t="s">
        <v>80</v>
      </c>
      <c r="B22" s="9" t="n">
        <f aca="false">COUNTIF(Organisations!$H$2:$H$97,A22)</f>
        <v>8</v>
      </c>
    </row>
    <row r="23" customFormat="false" ht="15" hidden="false" customHeight="false" outlineLevel="0" collapsed="false">
      <c r="A23" s="9" t="s">
        <v>144</v>
      </c>
      <c r="B23" s="9" t="n">
        <f aca="false">COUNTIF(Organisations!$H$2:$H$97,A23)</f>
        <v>2</v>
      </c>
    </row>
    <row r="24" customFormat="false" ht="15" hidden="false" customHeight="false" outlineLevel="0" collapsed="false">
      <c r="A24" s="9" t="s">
        <v>339</v>
      </c>
      <c r="B24" s="9" t="n">
        <f aca="false">COUNTIF(Organisations!$H$2:$H$97,A24)</f>
        <v>10</v>
      </c>
    </row>
    <row r="25" customFormat="false" ht="15" hidden="false" customHeight="false" outlineLevel="0" collapsed="false">
      <c r="A25" s="9" t="s">
        <v>187</v>
      </c>
      <c r="B25" s="9" t="n">
        <f aca="false">COUNTIF(Organisations!$H$2:$H$97,A25)</f>
        <v>2</v>
      </c>
    </row>
    <row r="26" customFormat="false" ht="15" hidden="false" customHeight="false" outlineLevel="0" collapsed="false">
      <c r="A26" s="9" t="s">
        <v>153</v>
      </c>
      <c r="B26" s="9" t="n">
        <f aca="false">COUNTIF(Organisations!$H$2:$H$97,A26)</f>
        <v>4</v>
      </c>
    </row>
    <row r="27" customFormat="false" ht="15" hidden="false" customHeight="false" outlineLevel="0" collapsed="false">
      <c r="A27" s="9" t="s">
        <v>50</v>
      </c>
      <c r="B27" s="9" t="n">
        <f aca="false">COUNTIF(Organisations!$H$2:$H$97,A27)</f>
        <v>2</v>
      </c>
    </row>
    <row r="28" customFormat="false" ht="15" hidden="false" customHeight="false" outlineLevel="0" collapsed="false">
      <c r="A28" s="9" t="s">
        <v>69</v>
      </c>
      <c r="B28" s="9" t="n">
        <f aca="false">COUNTIF(Organisations!$H$2:$H$97,A28)</f>
        <v>7</v>
      </c>
    </row>
    <row r="29" customFormat="false" ht="15" hidden="false" customHeight="false" outlineLevel="0" collapsed="false">
      <c r="A29" s="9" t="s">
        <v>73</v>
      </c>
      <c r="B29" s="9" t="n">
        <f aca="false">COUNTIF(Organisations!$H$2:$H$97,A29)</f>
        <v>2</v>
      </c>
    </row>
    <row r="30" customFormat="false" ht="15" hidden="false" customHeight="false" outlineLevel="0" collapsed="false">
      <c r="A30" s="9" t="s">
        <v>92</v>
      </c>
      <c r="B30" s="9" t="n">
        <f aca="false">COUNTIF(Organisations!$H$2:$H$97,A30)</f>
        <v>4</v>
      </c>
    </row>
    <row r="31" customFormat="false" ht="15" hidden="false" customHeight="false" outlineLevel="0" collapsed="false">
      <c r="A31" s="9" t="s">
        <v>164</v>
      </c>
      <c r="B31" s="9" t="n">
        <f aca="false">COUNTIF(Organisations!$H$2:$H$97,A31)</f>
        <v>2</v>
      </c>
    </row>
    <row r="32" customFormat="false" ht="15" hidden="false" customHeight="false" outlineLevel="0" collapsed="false">
      <c r="A32" s="9" t="s">
        <v>17</v>
      </c>
      <c r="B32" s="9" t="n">
        <f aca="false">COUNTIF(Organisations!$H$2:$H$97,A32)</f>
        <v>16</v>
      </c>
    </row>
    <row r="34" customFormat="false" ht="15" hidden="false" customHeight="false" outlineLevel="0" collapsed="false">
      <c r="A34" s="5" t="s">
        <v>699</v>
      </c>
      <c r="B34" s="5" t="n">
        <f aca="false">SUM(B17:B32)</f>
        <v>96</v>
      </c>
    </row>
    <row r="36" customFormat="false" ht="15" hidden="false" customHeight="false" outlineLevel="0" collapsed="false">
      <c r="A36" s="7" t="s">
        <v>700</v>
      </c>
      <c r="B36" s="8"/>
      <c r="C36" s="8"/>
    </row>
    <row r="37" customFormat="false" ht="15" hidden="false" customHeight="false" outlineLevel="0" collapsed="false">
      <c r="A37" s="5" t="s">
        <v>701</v>
      </c>
      <c r="B37" s="5" t="s">
        <v>698</v>
      </c>
    </row>
    <row r="38" customFormat="false" ht="15" hidden="false" customHeight="false" outlineLevel="0" collapsed="false">
      <c r="A38" s="9" t="s">
        <v>420</v>
      </c>
      <c r="B38" s="9" t="n">
        <f aca="false">COUNTIF(Organisations!$E$2:$E$97,A38)</f>
        <v>1</v>
      </c>
    </row>
    <row r="39" customFormat="false" ht="15" hidden="false" customHeight="false" outlineLevel="0" collapsed="false">
      <c r="A39" s="9" t="s">
        <v>62</v>
      </c>
      <c r="B39" s="9" t="n">
        <f aca="false">COUNTIF(Organisations!$E$2:$E$97,A39)</f>
        <v>1</v>
      </c>
    </row>
    <row r="40" customFormat="false" ht="15" hidden="false" customHeight="false" outlineLevel="0" collapsed="false">
      <c r="A40" s="9" t="s">
        <v>136</v>
      </c>
      <c r="B40" s="9" t="n">
        <f aca="false">COUNTIF(Organisations!$E$2:$E$97,A40)</f>
        <v>1</v>
      </c>
    </row>
    <row r="41" customFormat="false" ht="15" hidden="false" customHeight="false" outlineLevel="0" collapsed="false">
      <c r="A41" s="9" t="s">
        <v>233</v>
      </c>
      <c r="B41" s="9" t="n">
        <f aca="false">COUNTIF(Organisations!$E$2:$E$97,A41)</f>
        <v>1</v>
      </c>
    </row>
    <row r="42" customFormat="false" ht="15" hidden="false" customHeight="false" outlineLevel="0" collapsed="false">
      <c r="A42" s="9" t="s">
        <v>150</v>
      </c>
      <c r="B42" s="9" t="n">
        <f aca="false">COUNTIF(Organisations!$E$2:$E$97,A42)</f>
        <v>2</v>
      </c>
    </row>
    <row r="43" customFormat="false" ht="15" hidden="false" customHeight="false" outlineLevel="0" collapsed="false">
      <c r="A43" s="9" t="s">
        <v>207</v>
      </c>
      <c r="B43" s="9" t="n">
        <f aca="false">COUNTIF(Organisations!$E$2:$E$97,A43)</f>
        <v>1</v>
      </c>
    </row>
    <row r="44" customFormat="false" ht="15" hidden="false" customHeight="false" outlineLevel="0" collapsed="false">
      <c r="A44" s="9" t="s">
        <v>388</v>
      </c>
      <c r="B44" s="9" t="n">
        <f aca="false">COUNTIF(Organisations!$E$2:$E$97,A44)</f>
        <v>1</v>
      </c>
    </row>
    <row r="45" customFormat="false" ht="15" hidden="false" customHeight="false" outlineLevel="0" collapsed="false">
      <c r="A45" s="9" t="s">
        <v>72</v>
      </c>
      <c r="B45" s="9" t="n">
        <f aca="false">COUNTIF(Organisations!$E$2:$E$97,A45)</f>
        <v>2</v>
      </c>
    </row>
    <row r="46" customFormat="false" ht="15" hidden="false" customHeight="false" outlineLevel="0" collapsed="false">
      <c r="A46" s="9" t="s">
        <v>125</v>
      </c>
      <c r="B46" s="9" t="n">
        <f aca="false">COUNTIF(Organisations!$E$2:$E$97,A46)</f>
        <v>1</v>
      </c>
    </row>
    <row r="47" customFormat="false" ht="15" hidden="false" customHeight="false" outlineLevel="0" collapsed="false">
      <c r="A47" s="9" t="s">
        <v>142</v>
      </c>
      <c r="B47" s="9" t="n">
        <f aca="false">COUNTIF(Organisations!$E$2:$E$97,A47)</f>
        <v>1</v>
      </c>
    </row>
    <row r="48" customFormat="false" ht="15" hidden="false" customHeight="false" outlineLevel="0" collapsed="false">
      <c r="A48" s="9" t="s">
        <v>275</v>
      </c>
      <c r="B48" s="9" t="n">
        <f aca="false">COUNTIF(Organisations!$E$2:$E$97,A48)</f>
        <v>1</v>
      </c>
    </row>
    <row r="49" customFormat="false" ht="15" hidden="false" customHeight="false" outlineLevel="0" collapsed="false">
      <c r="A49" s="9" t="s">
        <v>210</v>
      </c>
      <c r="B49" s="9" t="n">
        <f aca="false">COUNTIF(Organisations!$E$2:$E$97,A49)</f>
        <v>1</v>
      </c>
    </row>
    <row r="50" customFormat="false" ht="15" hidden="false" customHeight="false" outlineLevel="0" collapsed="false">
      <c r="A50" s="9" t="s">
        <v>286</v>
      </c>
      <c r="B50" s="9" t="n">
        <f aca="false">COUNTIF(Organisations!$E$2:$E$97,A50)</f>
        <v>1</v>
      </c>
    </row>
    <row r="51" customFormat="false" ht="15" hidden="false" customHeight="false" outlineLevel="0" collapsed="false">
      <c r="A51" s="9" t="s">
        <v>193</v>
      </c>
      <c r="B51" s="9" t="n">
        <f aca="false">COUNTIF(Organisations!$E$2:$E$97,A51)</f>
        <v>2</v>
      </c>
    </row>
    <row r="52" customFormat="false" ht="15" hidden="false" customHeight="false" outlineLevel="0" collapsed="false">
      <c r="A52" s="9" t="s">
        <v>392</v>
      </c>
      <c r="B52" s="9" t="n">
        <f aca="false">COUNTIF(Organisations!$E$2:$E$97,A52)</f>
        <v>1</v>
      </c>
    </row>
    <row r="53" customFormat="false" ht="15" hidden="false" customHeight="false" outlineLevel="0" collapsed="false">
      <c r="A53" s="9" t="s">
        <v>35</v>
      </c>
      <c r="B53" s="9" t="n">
        <f aca="false">COUNTIF(Organisations!$E$2:$E$97,A53)</f>
        <v>2</v>
      </c>
    </row>
    <row r="54" customFormat="false" ht="15" hidden="false" customHeight="false" outlineLevel="0" collapsed="false">
      <c r="A54" s="9" t="s">
        <v>55</v>
      </c>
      <c r="B54" s="9" t="n">
        <f aca="false">COUNTIF(Organisations!$E$2:$E$97,A54)</f>
        <v>1</v>
      </c>
    </row>
    <row r="55" customFormat="false" ht="15" hidden="false" customHeight="false" outlineLevel="0" collapsed="false">
      <c r="A55" s="9" t="s">
        <v>41</v>
      </c>
      <c r="B55" s="9" t="n">
        <f aca="false">COUNTIF(Organisations!$E$2:$E$97,A55)</f>
        <v>2</v>
      </c>
    </row>
    <row r="56" customFormat="false" ht="15" hidden="false" customHeight="false" outlineLevel="0" collapsed="false">
      <c r="A56" s="9" t="s">
        <v>237</v>
      </c>
      <c r="B56" s="9" t="n">
        <f aca="false">COUNTIF(Organisations!$E$2:$E$97,A56)</f>
        <v>1</v>
      </c>
    </row>
    <row r="57" customFormat="false" ht="15" hidden="false" customHeight="false" outlineLevel="0" collapsed="false">
      <c r="A57" s="9" t="s">
        <v>19</v>
      </c>
      <c r="B57" s="9" t="n">
        <f aca="false">COUNTIF(Organisations!$E$2:$E$97,A57)</f>
        <v>11</v>
      </c>
    </row>
    <row r="58" customFormat="false" ht="15" hidden="false" customHeight="false" outlineLevel="0" collapsed="false">
      <c r="A58" s="9" t="s">
        <v>222</v>
      </c>
      <c r="B58" s="9" t="n">
        <f aca="false">COUNTIF(Organisations!$E$2:$E$97,A58)</f>
        <v>1</v>
      </c>
    </row>
    <row r="59" customFormat="false" ht="15" hidden="false" customHeight="false" outlineLevel="0" collapsed="false">
      <c r="A59" s="9" t="s">
        <v>315</v>
      </c>
      <c r="B59" s="9" t="n">
        <f aca="false">COUNTIF(Organisations!$E$2:$E$97,A59)</f>
        <v>1</v>
      </c>
    </row>
    <row r="60" customFormat="false" ht="15" hidden="false" customHeight="false" outlineLevel="0" collapsed="false">
      <c r="A60" s="9" t="s">
        <v>309</v>
      </c>
      <c r="B60" s="9" t="n">
        <f aca="false">COUNTIF(Organisations!$E$2:$E$97,A60)</f>
        <v>1</v>
      </c>
    </row>
    <row r="61" customFormat="false" ht="15" hidden="false" customHeight="false" outlineLevel="0" collapsed="false">
      <c r="A61" s="9" t="s">
        <v>366</v>
      </c>
      <c r="B61" s="9" t="n">
        <f aca="false">COUNTIF(Organisations!$E$2:$E$97,A61)</f>
        <v>1</v>
      </c>
    </row>
    <row r="62" customFormat="false" ht="15" hidden="false" customHeight="false" outlineLevel="0" collapsed="false">
      <c r="A62" s="9" t="s">
        <v>90</v>
      </c>
      <c r="B62" s="9" t="n">
        <f aca="false">COUNTIF(Organisations!$E$2:$E$97,A62)</f>
        <v>9</v>
      </c>
    </row>
    <row r="63" customFormat="false" ht="15" hidden="false" customHeight="false" outlineLevel="0" collapsed="false">
      <c r="A63" s="9" t="s">
        <v>185</v>
      </c>
      <c r="B63" s="9" t="n">
        <f aca="false">COUNTIF(Organisations!$E$2:$E$97,A63)</f>
        <v>5</v>
      </c>
    </row>
    <row r="64" customFormat="false" ht="15" hidden="false" customHeight="false" outlineLevel="0" collapsed="false">
      <c r="A64" s="9" t="s">
        <v>196</v>
      </c>
      <c r="B64" s="9" t="n">
        <f aca="false">COUNTIF(Organisations!$E$2:$E$97,A64)</f>
        <v>2</v>
      </c>
    </row>
    <row r="65" customFormat="false" ht="15" hidden="false" customHeight="false" outlineLevel="0" collapsed="false">
      <c r="A65" s="9" t="s">
        <v>84</v>
      </c>
      <c r="B65" s="9" t="n">
        <f aca="false">COUNTIF(Organisations!$E$2:$E$97,A65)</f>
        <v>5</v>
      </c>
    </row>
    <row r="66" customFormat="false" ht="15" hidden="false" customHeight="false" outlineLevel="0" collapsed="false">
      <c r="A66" s="9" t="s">
        <v>17</v>
      </c>
      <c r="B66" s="9" t="n">
        <f aca="false">COUNTIF(Organisations!$E$2:$E$97,A66)</f>
        <v>36</v>
      </c>
    </row>
    <row r="68" customFormat="false" ht="15" hidden="false" customHeight="false" outlineLevel="0" collapsed="false">
      <c r="A68" s="5" t="s">
        <v>699</v>
      </c>
      <c r="B68" s="5" t="n">
        <f aca="false">SUM(B38:B66)</f>
        <v>96</v>
      </c>
    </row>
    <row r="70" customFormat="false" ht="15" hidden="false" customHeight="false" outlineLevel="0" collapsed="false">
      <c r="A70" s="7" t="s">
        <v>702</v>
      </c>
      <c r="B70" s="8"/>
      <c r="C70" s="8"/>
    </row>
    <row r="71" customFormat="false" ht="15" hidden="false" customHeight="false" outlineLevel="0" collapsed="false">
      <c r="A71" s="5" t="s">
        <v>703</v>
      </c>
      <c r="B71" s="5" t="s">
        <v>698</v>
      </c>
    </row>
    <row r="72" customFormat="false" ht="15" hidden="false" customHeight="false" outlineLevel="0" collapsed="false">
      <c r="A72" s="9" t="s">
        <v>704</v>
      </c>
      <c r="B72" s="9" t="n">
        <f aca="false">COUNTIF(Organisations!$I$2:$I$97,"*"&amp;A72&amp;"*")</f>
        <v>3</v>
      </c>
    </row>
    <row r="73" customFormat="false" ht="15" hidden="false" customHeight="false" outlineLevel="0" collapsed="false">
      <c r="A73" s="9" t="s">
        <v>705</v>
      </c>
      <c r="B73" s="9" t="n">
        <f aca="false">COUNTIF(Organisations!$I$2:$I$97,"*"&amp;A73&amp;"*")</f>
        <v>2</v>
      </c>
    </row>
    <row r="74" customFormat="false" ht="15" hidden="false" customHeight="false" outlineLevel="0" collapsed="false">
      <c r="A74" s="9" t="s">
        <v>197</v>
      </c>
      <c r="B74" s="9" t="n">
        <f aca="false">COUNTIF(Organisations!$I$2:$I$97,"*"&amp;A74&amp;"*")</f>
        <v>5</v>
      </c>
    </row>
    <row r="75" customFormat="false" ht="15" hidden="false" customHeight="false" outlineLevel="0" collapsed="false">
      <c r="A75" s="9" t="s">
        <v>706</v>
      </c>
      <c r="B75" s="9" t="n">
        <f aca="false">COUNTIF(Organisations!$I$2:$I$97,"*"&amp;A75&amp;"*")</f>
        <v>2</v>
      </c>
    </row>
    <row r="76" customFormat="false" ht="15" hidden="false" customHeight="false" outlineLevel="0" collapsed="false">
      <c r="A76" s="9" t="s">
        <v>433</v>
      </c>
      <c r="B76" s="9" t="n">
        <f aca="false">COUNTIF(Organisations!$I$2:$I$97,"*"&amp;A76&amp;"*")</f>
        <v>2</v>
      </c>
    </row>
    <row r="77" customFormat="false" ht="15" hidden="false" customHeight="false" outlineLevel="0" collapsed="false">
      <c r="A77" s="9" t="s">
        <v>707</v>
      </c>
      <c r="B77" s="9" t="n">
        <f aca="false">COUNTIF(Organisations!$I$2:$I$97,"*"&amp;A77&amp;"*")</f>
        <v>1</v>
      </c>
    </row>
    <row r="78" customFormat="false" ht="15" hidden="false" customHeight="false" outlineLevel="0" collapsed="false">
      <c r="A78" s="9" t="s">
        <v>708</v>
      </c>
      <c r="B78" s="9" t="n">
        <f aca="false">COUNTIF(Organisations!$I$2:$I$97,"*"&amp;A78&amp;"*")</f>
        <v>1</v>
      </c>
    </row>
    <row r="79" customFormat="false" ht="15" hidden="false" customHeight="false" outlineLevel="0" collapsed="false">
      <c r="A79" s="9" t="s">
        <v>709</v>
      </c>
      <c r="B79" s="9" t="n">
        <f aca="false">COUNTIF(Organisations!$I$2:$I$97,"*"&amp;A79&amp;"*")</f>
        <v>1</v>
      </c>
    </row>
    <row r="80" customFormat="false" ht="15" hidden="false" customHeight="false" outlineLevel="0" collapsed="false">
      <c r="A80" s="9" t="s">
        <v>405</v>
      </c>
      <c r="B80" s="9" t="n">
        <f aca="false">COUNTIF(Organisations!$I$2:$I$97,"*"&amp;A80&amp;"*")</f>
        <v>1</v>
      </c>
    </row>
    <row r="81" customFormat="false" ht="15" hidden="false" customHeight="false" outlineLevel="0" collapsed="false">
      <c r="A81" s="9" t="s">
        <v>327</v>
      </c>
      <c r="B81" s="9" t="n">
        <f aca="false">COUNTIF(Organisations!$I$2:$I$97,"*"&amp;A81&amp;"*")</f>
        <v>1</v>
      </c>
    </row>
    <row r="82" customFormat="false" ht="15" hidden="false" customHeight="false" outlineLevel="0" collapsed="false">
      <c r="A82" s="9" t="s">
        <v>116</v>
      </c>
      <c r="B82" s="9" t="n">
        <f aca="false">COUNTIF(Organisations!$I$2:$I$97,"*"&amp;A82&amp;"*")</f>
        <v>3</v>
      </c>
    </row>
    <row r="83" customFormat="false" ht="15" hidden="false" customHeight="false" outlineLevel="0" collapsed="false">
      <c r="A83" s="9" t="s">
        <v>263</v>
      </c>
      <c r="B83" s="9" t="n">
        <f aca="false">COUNTIF(Organisations!$I$2:$I$97,"*"&amp;A83&amp;"*")</f>
        <v>2</v>
      </c>
    </row>
    <row r="84" customFormat="false" ht="15" hidden="false" customHeight="false" outlineLevel="0" collapsed="false">
      <c r="A84" s="9" t="s">
        <v>422</v>
      </c>
      <c r="B84" s="9" t="n">
        <f aca="false">COUNTIF(Organisations!$I$2:$I$97,"*"&amp;A84&amp;"*")</f>
        <v>1</v>
      </c>
    </row>
    <row r="85" customFormat="false" ht="15" hidden="false" customHeight="false" outlineLevel="0" collapsed="false">
      <c r="A85" s="9" t="s">
        <v>17</v>
      </c>
      <c r="B85" s="9" t="n">
        <f aca="false">COUNTIF(Organisations!$I$2:$I$97,"N/A")</f>
        <v>81</v>
      </c>
    </row>
    <row r="87" customFormat="false" ht="15" hidden="false" customHeight="false" outlineLevel="0" collapsed="false">
      <c r="A87" s="7" t="s">
        <v>710</v>
      </c>
      <c r="B87" s="8"/>
      <c r="C87" s="8"/>
    </row>
    <row r="88" customFormat="false" ht="43.5" hidden="false" customHeight="true" outlineLevel="0" collapsed="false">
      <c r="A88" s="10" t="s">
        <v>711</v>
      </c>
      <c r="B88" s="10"/>
      <c r="C88" s="10"/>
    </row>
    <row r="89" customFormat="false" ht="43.5" hidden="false" customHeight="true" outlineLevel="0" collapsed="false">
      <c r="A89" s="10" t="s">
        <v>712</v>
      </c>
      <c r="B89" s="10"/>
      <c r="C89" s="10"/>
    </row>
    <row r="90" customFormat="false" ht="43.5" hidden="false" customHeight="true" outlineLevel="0" collapsed="false">
      <c r="A90" s="10" t="s">
        <v>713</v>
      </c>
      <c r="B90" s="10"/>
      <c r="C90" s="10"/>
    </row>
    <row r="91" customFormat="false" ht="43.5" hidden="false" customHeight="true" outlineLevel="0" collapsed="false">
      <c r="A91" s="10" t="s">
        <v>714</v>
      </c>
      <c r="B91" s="10"/>
      <c r="C91" s="10"/>
    </row>
    <row r="92" customFormat="false" ht="43.5" hidden="false" customHeight="true" outlineLevel="0" collapsed="false">
      <c r="A92" s="10" t="s">
        <v>715</v>
      </c>
      <c r="B92" s="10"/>
      <c r="C92" s="10"/>
    </row>
    <row r="93" customFormat="false" ht="43.5" hidden="false" customHeight="true" outlineLevel="0" collapsed="false">
      <c r="A93" s="10" t="s">
        <v>716</v>
      </c>
      <c r="B93" s="10"/>
      <c r="C93" s="10"/>
    </row>
    <row r="94" customFormat="false" ht="43.5" hidden="false" customHeight="true" outlineLevel="0" collapsed="false">
      <c r="A94" s="10" t="s">
        <v>717</v>
      </c>
      <c r="B94" s="10"/>
      <c r="C94" s="10"/>
    </row>
    <row r="95" customFormat="false" ht="43.5" hidden="false" customHeight="true" outlineLevel="0" collapsed="false">
      <c r="A95" s="10" t="s">
        <v>718</v>
      </c>
      <c r="B95" s="10"/>
      <c r="C95" s="10"/>
    </row>
    <row r="96" customFormat="false" ht="43.5" hidden="false" customHeight="true" outlineLevel="0" collapsed="false">
      <c r="A96" s="10" t="s">
        <v>719</v>
      </c>
      <c r="B96" s="10"/>
      <c r="C96" s="10"/>
    </row>
    <row r="97" customFormat="false" ht="43.5" hidden="false" customHeight="true" outlineLevel="0" collapsed="false">
      <c r="A97" s="10" t="s">
        <v>720</v>
      </c>
      <c r="B97" s="10"/>
      <c r="C97" s="10"/>
    </row>
    <row r="98" customFormat="false" ht="43.5" hidden="false" customHeight="true" outlineLevel="0" collapsed="false">
      <c r="A98" s="10" t="s">
        <v>721</v>
      </c>
      <c r="B98" s="10"/>
      <c r="C98" s="10"/>
    </row>
    <row r="99" customFormat="false" ht="43.5" hidden="false" customHeight="true" outlineLevel="0" collapsed="false">
      <c r="A99" s="10" t="s">
        <v>722</v>
      </c>
      <c r="B99" s="10"/>
      <c r="C99" s="10"/>
    </row>
  </sheetData>
  <mergeCells count="12">
    <mergeCell ref="A88:C88"/>
    <mergeCell ref="A89:C89"/>
    <mergeCell ref="A90:C90"/>
    <mergeCell ref="A91:C91"/>
    <mergeCell ref="A92:C92"/>
    <mergeCell ref="A93:C93"/>
    <mergeCell ref="A94:C94"/>
    <mergeCell ref="A95:C95"/>
    <mergeCell ref="A96:C96"/>
    <mergeCell ref="A97:C97"/>
    <mergeCell ref="A98:C98"/>
    <mergeCell ref="A99:C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2026-09-20T10:27:45Z</dcterms:created>
  <dc:creator>openpyxl</dc:creator>
  <dc:description/>
  <dc:language>en-US</dc:language>
  <cp:lastModifiedBy/>
  <dcterms:modified xsi:type="dcterms:W3CDTF">2026-09-20T10:27:45Z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
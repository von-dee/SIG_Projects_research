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apex" sheetId="3" state="visible" r:id="rId5"/>
    <sheet name="Herd" sheetId="4" state="visible" r:id="rId6"/>
    <sheet name="Revenue" sheetId="5" state="visible" r:id="rId7"/>
    <sheet name="Opex" sheetId="6" state="visible" r:id="rId8"/>
    <sheet name="Financials" sheetId="7" state="visible" r:id="rId9"/>
    <sheet name="Returns" sheetId="8" state="visible" r:id="rId10"/>
    <sheet name="Breeding_Economics" sheetId="9" state="visible" r:id="rId11"/>
    <sheet name="Monthly_Y1" sheetId="10" state="visible" r:id="rId12"/>
    <sheet name="Scenario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<sst xmlns="http://schemas.openxmlformats.org/spreadsheetml/2006/main" count="1023" uniqueCount="641">
  <si>
    <t xml:space="preserve">CATTLE FARM FINANCIAL MODEL - dairy + beef breeding</t>
  </si>
  <si>
    <t xml:space="preserve">10-year model, live formulas. Start on Assumptions.</t>
  </si>
  <si>
    <t xml:space="preserve">PURPOSE</t>
  </si>
  <si>
    <t xml:space="preserve">Test whether a mixed dairy and beef-breeding farm makes money, and which levers (breeding strategy, herd size, infrastructure cost, milk price, feed) change the answer.</t>
  </si>
  <si>
    <t xml:space="preserve">IMPORTANT</t>
  </si>
  <si>
    <t xml:space="preserve">All prices, costs and yields are GENERIC PLACEHOLDERS in USD. Replace them with local quotes (milk buyer, cattle market, feed supplier, equipment suppliers, bank) before relying on any result.</t>
  </si>
  <si>
    <t xml:space="preserve">COLOUR CODE</t>
  </si>
  <si>
    <t xml:space="preserve">Blue text = input | Black = formula | Green = link from another sheet | Yellow fill = biggest value drivers.</t>
  </si>
  <si>
    <t xml:space="preserve">SHEETS</t>
  </si>
  <si>
    <t xml:space="preserve">Assumptions</t>
  </si>
  <si>
    <t xml:space="preserve">Every input in one place, plus the Base / Downside / Upside selector (cell F5).</t>
  </si>
  <si>
    <t xml:space="preserve">Capex</t>
  </si>
  <si>
    <t xml:space="preserve">About 35 itemised startup lines (animals, sheds, milking, cooling, borehole, fencing, vehicles) with depreciation lives.</t>
  </si>
  <si>
    <t xml:space="preserve">Herd</t>
  </si>
  <si>
    <t xml:space="preserve">Cows, calves, heifer replacement (2-year lag), culls, litres of milk, and a land carrying-capacity warning.</t>
  </si>
  <si>
    <t xml:space="preserve">Revenue</t>
  </si>
  <si>
    <t xml:space="preserve">13 streams: raw milk, processed dairy, bull calves, cross-bred calves, surplus heifers (ordinary + breeding stock), dairy culls, beef weaners, finished steers, beef culls, manure, breeding services, grants.</t>
  </si>
  <si>
    <t xml:space="preserve">Opex</t>
  </si>
  <si>
    <t xml:space="preserve">Feed, health &amp; breeding, replacement stock, labour, processing, utilities, overheads, land costs, contingency.</t>
  </si>
  <si>
    <t xml:space="preserve">Financials</t>
  </si>
  <si>
    <t xml:space="preserve">Income statement, enterprise gross margins, loan schedule, tax with loss carry-forward, terminal value, project and equity cash flows, DSCR.</t>
  </si>
  <si>
    <t xml:space="preserve">Returns</t>
  </si>
  <si>
    <t xml:space="preserve">Investment, IRR, NPV, payback, break-even milk and weaner price, checks and charts.</t>
  </si>
  <si>
    <t xml:space="preserve">Breeding_Economics</t>
  </si>
  <si>
    <t xml:space="preserve">Per-cow view: what calves add under different breeding strategies, and how many cows are needed to cover fixed costs.</t>
  </si>
  <si>
    <t xml:space="preserve">Monthly_Y1</t>
  </si>
  <si>
    <t xml:space="preserve">Year-1 monthly cash flow and a check that the working capital reserve is enough.</t>
  </si>
  <si>
    <t xml:space="preserve">Scenarios</t>
  </si>
  <si>
    <t xml:space="preserve">STATIC snapshot comparing strategies (mixed vs dairy-only vs beef-only, breeding upgrade, lean capex, bigger herds).</t>
  </si>
  <si>
    <t xml:space="preserve">HOW TO USE</t>
  </si>
  <si>
    <t xml:space="preserve">1) Put local prices and costs into blue cells on Assumptions and Capex. 2) Set the scenario selector. 3) Read Returns and Monthly_Y1. 4) Test the breeding levers: cross-bred share, sexed semen share, breeding-stock share.</t>
  </si>
  <si>
    <t xml:space="preserve">LIMITS</t>
  </si>
  <si>
    <t xml:space="preserve">No VAT, no currency moves, no multi-year drought beyond the Downside case. Tax is a flat rate on profit with loss carry-forward: check local farm tax rules and exemptions. Herd is modelled in annual steps with fractional animals. Livestock is not depreciated; it is valued at market in the terminal value. Finishing margin is booked in the same year (simplification). No sustaining capex is depreciated.</t>
  </si>
  <si>
    <t xml:space="preserve">ASSUMPTIONS - every input in one place</t>
  </si>
  <si>
    <t xml:space="preserve">Blue = input you can change | Black = formula | Green = link from another sheet | Yellow fill = biggest value drivers. ALL FIGURES ARE PLACEHOLDERS: replace with local quotes.</t>
  </si>
  <si>
    <t xml:space="preserve">Input</t>
  </si>
  <si>
    <t xml:space="preserve">Unit</t>
  </si>
  <si>
    <t xml:space="preserve">Base</t>
  </si>
  <si>
    <t xml:space="preserve">Downside</t>
  </si>
  <si>
    <t xml:space="preserve">Upside</t>
  </si>
  <si>
    <t xml:space="preserve">LIVE VALUE</t>
  </si>
  <si>
    <t xml:space="preserve">Notes / source</t>
  </si>
  <si>
    <t xml:space="preserve">GENERAL &amp; SCENARIO</t>
  </si>
  <si>
    <t xml:space="preserve">Scenario selector (1=Base, 2=Downside, 3=Upside)</t>
  </si>
  <si>
    <t xml:space="preserve">1/2/3</t>
  </si>
  <si>
    <t xml:space="preserve">Switches every 'scenario lever' below (levers = section 2).</t>
  </si>
  <si>
    <t xml:space="preserve">Currency label (for headers only)</t>
  </si>
  <si>
    <t xml:space="preserve">text</t>
  </si>
  <si>
    <t xml:space="preserve">USD</t>
  </si>
  <si>
    <t xml:space="preserve">PLACEHOLDER. Type your currency; then replace every price with a local quote.</t>
  </si>
  <si>
    <t xml:space="preserve">Dairy enterprise on? (1=yes, 0=no)</t>
  </si>
  <si>
    <t xml:space="preserve">1/0</t>
  </si>
  <si>
    <t xml:space="preserve">Set 0 for a beef-only farm.</t>
  </si>
  <si>
    <t xml:space="preserve">Beef breeding enterprise on? (1=yes, 0=no)</t>
  </si>
  <si>
    <t xml:space="preserve">Set 0 for a dairy-only farm.</t>
  </si>
  <si>
    <t xml:space="preserve">Farm area</t>
  </si>
  <si>
    <t xml:space="preserve">hectares</t>
  </si>
  <si>
    <t xml:space="preserve">User brief: 150 ha.</t>
  </si>
  <si>
    <t xml:space="preserve">Carrying capacity</t>
  </si>
  <si>
    <t xml:space="preserve">animal units/ha</t>
  </si>
  <si>
    <t xml:space="preserve">PLACEHOLDER. 1 AU = 1 adult cow; young stock = 0.5 AU. Use your local agronomist's figure.</t>
  </si>
  <si>
    <t xml:space="preserve">Land purchased? (1=buy, 0=lease)</t>
  </si>
  <si>
    <t xml:space="preserve">Default = leased, so land is an operating cost, not capex.</t>
  </si>
  <si>
    <t xml:space="preserve">Land purchase price</t>
  </si>
  <si>
    <t xml:space="preserve">per ha</t>
  </si>
  <si>
    <t xml:space="preserve">PLACEHOLDER. Only used if land is purchased.</t>
  </si>
  <si>
    <t xml:space="preserve">Land lease</t>
  </si>
  <si>
    <t xml:space="preserve">per ha / yr</t>
  </si>
  <si>
    <t xml:space="preserve">PLACEHOLDER. Only used if land is leased.</t>
  </si>
  <si>
    <t xml:space="preserve">Price inflation (all sales prices)</t>
  </si>
  <si>
    <t xml:space="preserve">% / yr</t>
  </si>
  <si>
    <t xml:space="preserve">PLACEHOLDER</t>
  </si>
  <si>
    <t xml:space="preserve">Cost inflation (all costs)</t>
  </si>
  <si>
    <t xml:space="preserve">PLACEHOLDER. Costs rising faster than prices squeezes margin.</t>
  </si>
  <si>
    <t xml:space="preserve">Income tax rate</t>
  </si>
  <si>
    <t xml:space="preserve">%</t>
  </si>
  <si>
    <t xml:space="preserve">PLACEHOLDER. Check local farm tax rules/exemptions. Loss carry-forward IS modelled.</t>
  </si>
  <si>
    <t xml:space="preserve">Hurdle rate / discount rate</t>
  </si>
  <si>
    <t xml:space="preserve">Return you require to justify the risk.</t>
  </si>
  <si>
    <t xml:space="preserve">Include terminal value in Year 10 returns? (1/0)</t>
  </si>
  <si>
    <t xml:space="preserve">Terminal value = herd at market value + net book value of assets.</t>
  </si>
  <si>
    <t xml:space="preserve">Working capital reserve</t>
  </si>
  <si>
    <t xml:space="preserve">months of Yr-1 opex</t>
  </si>
  <si>
    <t xml:space="preserve">Cash cushion funded at start. Checked on Monthly_Y1 sheet.</t>
  </si>
  <si>
    <t xml:space="preserve">2. SCENARIO LEVERS  (blue = Base / Downside / Upside inputs; column F = live value used by the model)</t>
  </si>
  <si>
    <t xml:space="preserve">Raw milk farm-gate price</t>
  </si>
  <si>
    <t xml:space="preserve">per litre</t>
  </si>
  <si>
    <t xml:space="preserve">PLACEHOLDER: use your local processor / buyer quote.</t>
  </si>
  <si>
    <t xml:space="preserve">Milk yield per cow in milk</t>
  </si>
  <si>
    <t xml:space="preserve">litres / day</t>
  </si>
  <si>
    <t xml:space="preserve">PLACEHOLDER: depends on breed (crossbreds 8-12, Holstein-type 15-25).</t>
  </si>
  <si>
    <t xml:space="preserve">Feed cost multiplier</t>
  </si>
  <si>
    <t xml:space="preserve">x</t>
  </si>
  <si>
    <t xml:space="preserve">Scales every feed line.</t>
  </si>
  <si>
    <t xml:space="preserve">Cattle price multiplier</t>
  </si>
  <si>
    <t xml:space="preserve">Scales calves, heifers, weaners, culls, purchased animals.</t>
  </si>
  <si>
    <t xml:space="preserve">Dairy calving rate</t>
  </si>
  <si>
    <t xml:space="preserve">calves / cow / yr</t>
  </si>
  <si>
    <t xml:space="preserve">80-90% is good management.</t>
  </si>
  <si>
    <t xml:space="preserve">Beef calving rate</t>
  </si>
  <si>
    <t xml:space="preserve">Adult cow mortality</t>
  </si>
  <si>
    <t xml:space="preserve">Calf mortality (birth to weaning)</t>
  </si>
  <si>
    <t xml:space="preserve">3. HERD</t>
  </si>
  <si>
    <t xml:space="preserve">Dairy cows at start</t>
  </si>
  <si>
    <t xml:space="preserve">head</t>
  </si>
  <si>
    <t xml:space="preserve">User brief: 40.</t>
  </si>
  <si>
    <t xml:space="preserve">Dairy herd target size</t>
  </si>
  <si>
    <t xml:space="preserve">Herd grows to this using own heifers (then bought heifers). Set higher than start to grow.</t>
  </si>
  <si>
    <t xml:space="preserve">Beef cows at start</t>
  </si>
  <si>
    <t xml:space="preserve">User brief: 30.</t>
  </si>
  <si>
    <t xml:space="preserve">Beef herd target size</t>
  </si>
  <si>
    <t xml:space="preserve">Dairy cull rate</t>
  </si>
  <si>
    <t xml:space="preserve">Beef cull rate</t>
  </si>
  <si>
    <t xml:space="preserve">Share of calves that are female (normal semen)</t>
  </si>
  <si>
    <t xml:space="preserve">Dairy cows served with SEXED dairy semen</t>
  </si>
  <si>
    <t xml:space="preserve">% of non-cross cows</t>
  </si>
  <si>
    <t xml:space="preserve">BREEDING LEVER: more heifer calves for sale/replacement.</t>
  </si>
  <si>
    <t xml:space="preserve">Female calves from sexed semen</t>
  </si>
  <si>
    <t xml:space="preserve">Typical claimed accuracy ~90%.</t>
  </si>
  <si>
    <t xml:space="preserve">Dairy cows served with BEEF semen (cross-bred calves)</t>
  </si>
  <si>
    <t xml:space="preserve">% of dairy cows</t>
  </si>
  <si>
    <t xml:space="preserve">BREEDING LEVER: cross-bred calves sell for far more than pure dairy bull calves.</t>
  </si>
  <si>
    <t xml:space="preserve">Effective heifer share of dairy-bred calves</t>
  </si>
  <si>
    <t xml:space="preserve">Calculated.</t>
  </si>
  <si>
    <t xml:space="preserve">Surplus DAIRY heifers sold as breeding stock</t>
  </si>
  <si>
    <t xml:space="preserve">BREEDING LEVER: needs records, health status, a buyer base.</t>
  </si>
  <si>
    <t xml:space="preserve">Surplus BEEF heifers sold as breeding stock</t>
  </si>
  <si>
    <t xml:space="preserve">BREEDING LEVER</t>
  </si>
  <si>
    <t xml:space="preserve">Breeding-stock price premium over ordinary heifer</t>
  </si>
  <si>
    <t xml:space="preserve">PLACEHOLDER. Ask local seed-stock breeders what they get.</t>
  </si>
  <si>
    <t xml:space="preserve">Steers kept and finished for slaughter</t>
  </si>
  <si>
    <t xml:space="preserve">% of steers</t>
  </si>
  <si>
    <t xml:space="preserve">Simplification: finishing margin booked in the same year.</t>
  </si>
  <si>
    <t xml:space="preserve">Outside cows served by your bulls / AI (service business)</t>
  </si>
  <si>
    <t xml:space="preserve">cows / yr</t>
  </si>
  <si>
    <t xml:space="preserve">Breeding services stream.</t>
  </si>
  <si>
    <t xml:space="preserve">Cows per bull</t>
  </si>
  <si>
    <t xml:space="preserve">cows</t>
  </si>
  <si>
    <t xml:space="preserve">4. MILK &amp; PRODUCTION</t>
  </si>
  <si>
    <t xml:space="preserve">Lactation length</t>
  </si>
  <si>
    <t xml:space="preserve">days</t>
  </si>
  <si>
    <t xml:space="preserve">Share of cows in milk on average</t>
  </si>
  <si>
    <t xml:space="preserve">Share of milk processed (yoghurt / cheese / pasteurised)</t>
  </si>
  <si>
    <t xml:space="preserve">% of litres</t>
  </si>
  <si>
    <t xml:space="preserve">VALUE-ADD LEVER.</t>
  </si>
  <si>
    <t xml:space="preserve">Processed product price vs raw milk</t>
  </si>
  <si>
    <t xml:space="preserve">PLACEHOLDER: revenue per raw litre when processed.</t>
  </si>
  <si>
    <t xml:space="preserve">Processing cost (packaging, energy, labour)</t>
  </si>
  <si>
    <t xml:space="preserve">per raw litre</t>
  </si>
  <si>
    <t xml:space="preserve">5. ANIMAL PRICES (Year-1, before scenario multiplier)</t>
  </si>
  <si>
    <t xml:space="preserve">Dairy bull calf (pure dairy)</t>
  </si>
  <si>
    <t xml:space="preserve">per head</t>
  </si>
  <si>
    <t xml:space="preserve">PLACEHOLDER. Often nearly worthless.</t>
  </si>
  <si>
    <t xml:space="preserve">Beef-cross calf at ~3 months</t>
  </si>
  <si>
    <t xml:space="preserve">PLACEHOLDER.</t>
  </si>
  <si>
    <t xml:space="preserve">Dairy breeding heifer (surplus / replacement)</t>
  </si>
  <si>
    <t xml:space="preserve">Beef breeding heifer</t>
  </si>
  <si>
    <t xml:space="preserve">Weaner weight</t>
  </si>
  <si>
    <t xml:space="preserve">kg live</t>
  </si>
  <si>
    <t xml:space="preserve">Weaner price</t>
  </si>
  <si>
    <t xml:space="preserve">per kg live</t>
  </si>
  <si>
    <t xml:space="preserve">Finished steer weight</t>
  </si>
  <si>
    <t xml:space="preserve">Finished steer price</t>
  </si>
  <si>
    <t xml:space="preserve">Dairy cull cow weight</t>
  </si>
  <si>
    <t xml:space="preserve">Beef cull cow weight</t>
  </si>
  <si>
    <t xml:space="preserve">Cull cow price</t>
  </si>
  <si>
    <t xml:space="preserve">Manure / slurry income</t>
  </si>
  <si>
    <t xml:space="preserve">per cow / yr</t>
  </si>
  <si>
    <t xml:space="preserve">Service fee (bull / AI) per outside cow</t>
  </si>
  <si>
    <t xml:space="preserve">per cow</t>
  </si>
  <si>
    <t xml:space="preserve">Grant / subsidy income</t>
  </si>
  <si>
    <t xml:space="preserve">per yr</t>
  </si>
  <si>
    <t xml:space="preserve">Enter if you have a confirmed programme.</t>
  </si>
  <si>
    <t xml:space="preserve">Grant duration</t>
  </si>
  <si>
    <t xml:space="preserve">years</t>
  </si>
  <si>
    <t xml:space="preserve">First N years.</t>
  </si>
  <si>
    <t xml:space="preserve">Purchase price: dairy cow / in-calf heifer</t>
  </si>
  <si>
    <t xml:space="preserve">PLACEHOLDER. Used for start herd and bought replacements.</t>
  </si>
  <si>
    <t xml:space="preserve">Purchase price: beef cow</t>
  </si>
  <si>
    <t xml:space="preserve">Rearing cost of a cross-bred calf to sale (milk, feed, vet)</t>
  </si>
  <si>
    <t xml:space="preserve">PLACEHOLDER. Used on Breeding_Economics.</t>
  </si>
  <si>
    <t xml:space="preserve">Bull purchase price</t>
  </si>
  <si>
    <t xml:space="preserve">Bull working life</t>
  </si>
  <si>
    <t xml:space="preserve">6. OPERATING COSTS (Year-1)</t>
  </si>
  <si>
    <t xml:space="preserve">Feed per dairy cow (concentrate + forage)</t>
  </si>
  <si>
    <t xml:space="preserve">PLACEHOLDER. Biggest cost line.</t>
  </si>
  <si>
    <t xml:space="preserve">Feed per dairy heifer/calf</t>
  </si>
  <si>
    <t xml:space="preserve">per head / yr</t>
  </si>
  <si>
    <t xml:space="preserve">Feed per beef cow (mostly pasture)</t>
  </si>
  <si>
    <t xml:space="preserve">Feed per beef heifer/calf</t>
  </si>
  <si>
    <t xml:space="preserve">Finishing feed per steer</t>
  </si>
  <si>
    <t xml:space="preserve">Pasture upkeep (fertiliser, reseeding, weed control)</t>
  </si>
  <si>
    <t xml:space="preserve">Veterinary &amp; medicines</t>
  </si>
  <si>
    <t xml:space="preserve">AI / semen &amp; technician</t>
  </si>
  <si>
    <t xml:space="preserve">per dairy cow / yr</t>
  </si>
  <si>
    <t xml:space="preserve">Sexed semen extra cost</t>
  </si>
  <si>
    <t xml:space="preserve">per cow served</t>
  </si>
  <si>
    <t xml:space="preserve">Farm manager salary</t>
  </si>
  <si>
    <t xml:space="preserve">PLACEHOLDER. Fixed cost; zero if owner-operated (then pay yourself).</t>
  </si>
  <si>
    <t xml:space="preserve">Farm worker wage</t>
  </si>
  <si>
    <t xml:space="preserve">per FTE / yr</t>
  </si>
  <si>
    <t xml:space="preserve">Dairy cows per worker</t>
  </si>
  <si>
    <t xml:space="preserve">Beef cows per worker</t>
  </si>
  <si>
    <t xml:space="preserve">Electricity, water, cleaning per dairy cow</t>
  </si>
  <si>
    <t xml:space="preserve">Vehicle fuel &amp; farm running costs</t>
  </si>
  <si>
    <t xml:space="preserve">Land rates / property tax</t>
  </si>
  <si>
    <t xml:space="preserve">Insurance</t>
  </si>
  <si>
    <t xml:space="preserve">% of capex</t>
  </si>
  <si>
    <t xml:space="preserve">Repairs &amp; maintenance</t>
  </si>
  <si>
    <t xml:space="preserve">% of infrastructure capex</t>
  </si>
  <si>
    <t xml:space="preserve">Transport &amp; marketing</t>
  </si>
  <si>
    <t xml:space="preserve">% of revenue</t>
  </si>
  <si>
    <t xml:space="preserve">Admin, accounting, licences</t>
  </si>
  <si>
    <t xml:space="preserve">Opex contingency</t>
  </si>
  <si>
    <t xml:space="preserve">% of opex</t>
  </si>
  <si>
    <t xml:space="preserve">7. CAPEX &amp; FINANCING</t>
  </si>
  <si>
    <t xml:space="preserve">Infrastructure cost multiplier</t>
  </si>
  <si>
    <t xml:space="preserve">KEY LEVER: 0.6 = basic sheds + used equipment. Applies to non-animal, non-land lines.</t>
  </si>
  <si>
    <t xml:space="preserve">Capex contingency</t>
  </si>
  <si>
    <t xml:space="preserve">% of infrastructure</t>
  </si>
  <si>
    <t xml:space="preserve">Sustaining capex (replacement of worn assets)</t>
  </si>
  <si>
    <t xml:space="preserve">% of infra capex / yr</t>
  </si>
  <si>
    <t xml:space="preserve">Loan share of initial capex</t>
  </si>
  <si>
    <t xml:space="preserve">User brief: 40%.</t>
  </si>
  <si>
    <t xml:space="preserve">Loan interest rate</t>
  </si>
  <si>
    <t xml:space="preserve">PLACEHOLDER. Use your bank's quote.</t>
  </si>
  <si>
    <t xml:space="preserve">Loan term (incl. grace)</t>
  </si>
  <si>
    <t xml:space="preserve">Grace period (interest only)</t>
  </si>
  <si>
    <t xml:space="preserve">8. MONTHLY CASH FLOW (Year 1)</t>
  </si>
  <si>
    <t xml:space="preserve">First month with milk sales</t>
  </si>
  <si>
    <t xml:space="preserve">month</t>
  </si>
  <si>
    <t xml:space="preserve">Allow for animal delivery, settling, cooling tank set-up.</t>
  </si>
  <si>
    <t xml:space="preserve">First month with animal / other sales</t>
  </si>
  <si>
    <t xml:space="preserve">CAPEX - initial investment (about 30 itemised lines)</t>
  </si>
  <si>
    <t xml:space="preserve">Blue = input. 'Flag' switches a line on/off from the enterprise toggles. Infrastructure lines are scaled by the multiplier on Assumptions. All unit costs are PLACEHOLDERS.</t>
  </si>
  <si>
    <t xml:space="preserve">Item</t>
  </si>
  <si>
    <t xml:space="preserve">Applies to</t>
  </si>
  <si>
    <t xml:space="preserve">Qty</t>
  </si>
  <si>
    <t xml:space="preserve">Unit cost</t>
  </si>
  <si>
    <t xml:space="preserve">Flag</t>
  </si>
  <si>
    <t xml:space="preserve">Cost mult.</t>
  </si>
  <si>
    <t xml:space="preserve">Total cost</t>
  </si>
  <si>
    <t xml:space="preserve">Life (yrs)</t>
  </si>
  <si>
    <t xml:space="preserve">Annual depreciation</t>
  </si>
  <si>
    <t xml:space="preserve">Notes</t>
  </si>
  <si>
    <t xml:space="preserve">Group</t>
  </si>
  <si>
    <t xml:space="preserve">ANIMALS</t>
  </si>
  <si>
    <t xml:space="preserve">Dairy cows / in-calf heifers</t>
  </si>
  <si>
    <t xml:space="preserve">Dairy</t>
  </si>
  <si>
    <t xml:space="preserve">Not depreciated; valued in terminal value</t>
  </si>
  <si>
    <t xml:space="preserve">Animals</t>
  </si>
  <si>
    <t xml:space="preserve">Beef breeding cows</t>
  </si>
  <si>
    <t xml:space="preserve">Beef</t>
  </si>
  <si>
    <t xml:space="preserve">Not depreciated</t>
  </si>
  <si>
    <t xml:space="preserve">Beef bulls</t>
  </si>
  <si>
    <t xml:space="preserve">BUILDINGS &amp; DAIRY EQUIPMENT</t>
  </si>
  <si>
    <t xml:space="preserve">Cow shed / feeding &amp; resting area</t>
  </si>
  <si>
    <t xml:space="preserve">m2</t>
  </si>
  <si>
    <t xml:space="preserve">5 m2 per cow</t>
  </si>
  <si>
    <t xml:space="preserve">Infrastructure</t>
  </si>
  <si>
    <t xml:space="preserve">Milking parlour building</t>
  </si>
  <si>
    <t xml:space="preserve">lot</t>
  </si>
  <si>
    <t xml:space="preserve">Milking machine units</t>
  </si>
  <si>
    <t xml:space="preserve">units</t>
  </si>
  <si>
    <t xml:space="preserve">1 unit per 12 cows</t>
  </si>
  <si>
    <t xml:space="preserve">Milk cooling tank</t>
  </si>
  <si>
    <t xml:space="preserve">unit</t>
  </si>
  <si>
    <t xml:space="preserve">Generator / solar backup</t>
  </si>
  <si>
    <t xml:space="preserve">Shared</t>
  </si>
  <si>
    <t xml:space="preserve">Calf pens &amp; housing</t>
  </si>
  <si>
    <t xml:space="preserve">Milk cans, churns, cleaning kit</t>
  </si>
  <si>
    <t xml:space="preserve">Dairy processing equipment (pasteuriser, yoghurt/cheese)</t>
  </si>
  <si>
    <t xml:space="preserve">Processing</t>
  </si>
  <si>
    <t xml:space="preserve">Only if processed share &gt; 0</t>
  </si>
  <si>
    <t xml:space="preserve">FEED, WATER &amp; LAND WORKS</t>
  </si>
  <si>
    <t xml:space="preserve">Feed store / hay barn</t>
  </si>
  <si>
    <t xml:space="preserve">Forage chopper / silage equipment</t>
  </si>
  <si>
    <t xml:space="preserve">Borehole, pump &amp; power</t>
  </si>
  <si>
    <t xml:space="preserve">Water tanks &amp; troughs</t>
  </si>
  <si>
    <t xml:space="preserve">Water piping / reticulation</t>
  </si>
  <si>
    <t xml:space="preserve">Perimeter fencing</t>
  </si>
  <si>
    <t xml:space="preserve">km</t>
  </si>
  <si>
    <t xml:space="preserve">Square-plot perimeter of farm area</t>
  </si>
  <si>
    <t xml:space="preserve">Paddock subdivision / electric fencing</t>
  </si>
  <si>
    <t xml:space="preserve">Pasture establishment (improved grass)</t>
  </si>
  <si>
    <t xml:space="preserve">ha</t>
  </si>
  <si>
    <t xml:space="preserve">BEEF HANDLING</t>
  </si>
  <si>
    <t xml:space="preserve">Cattle crush &amp; handling yard</t>
  </si>
  <si>
    <t xml:space="preserve">Beef shelter / loading ramp</t>
  </si>
  <si>
    <t xml:space="preserve">Livestock weighing scale</t>
  </si>
  <si>
    <t xml:space="preserve">VEHICLES &amp; GENERAL</t>
  </si>
  <si>
    <t xml:space="preserve">Tractor</t>
  </si>
  <si>
    <t xml:space="preserve">Trailer &amp; implements</t>
  </si>
  <si>
    <t xml:space="preserve">Pickup truck</t>
  </si>
  <si>
    <t xml:space="preserve">Motorbike(s)</t>
  </si>
  <si>
    <t xml:space="preserve">Farm office &amp; worker housing</t>
  </si>
  <si>
    <t xml:space="preserve">Hand tools &amp; miscellaneous</t>
  </si>
  <si>
    <t xml:space="preserve">Licences, registration, vet set-up</t>
  </si>
  <si>
    <t xml:space="preserve">LAND &amp; CONTINGENCY</t>
  </si>
  <si>
    <t xml:space="preserve">Land purchase</t>
  </si>
  <si>
    <t xml:space="preserve">Land</t>
  </si>
  <si>
    <t xml:space="preserve">Only if 'Land purchased' = 1</t>
  </si>
  <si>
    <t xml:space="preserve">Contingency on infrastructure</t>
  </si>
  <si>
    <t xml:space="preserve">Contingency</t>
  </si>
  <si>
    <t xml:space="preserve">Subtotal: animals</t>
  </si>
  <si>
    <t xml:space="preserve">Subtotal: infrastructure &amp; equipment</t>
  </si>
  <si>
    <t xml:space="preserve">Subtotal: land</t>
  </si>
  <si>
    <t xml:space="preserve">Subtotal: contingency</t>
  </si>
  <si>
    <t xml:space="preserve">TOTAL INITIAL CAPEX</t>
  </si>
  <si>
    <t xml:space="preserve">Total annual depreciation (Year 1)</t>
  </si>
  <si>
    <t xml:space="preserve">Legend: blue cells are inputs. Quantities that link to Assumptions (herd size, hectares) update automatically. Unit costs are placeholders: replace with supplier quotes.</t>
  </si>
  <si>
    <t xml:space="preserve">HERD MODEL - cows, calves, heifers, culls, litres</t>
  </si>
  <si>
    <t xml:space="preserve">Annual model. Own heifers enter the herd 2 years after birth; any shortfall is met by buying heifers. Fractions of animals are allowed.</t>
  </si>
  <si>
    <t xml:space="preserve">Line item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</si>
  <si>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</si>
  <si>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</si>
  <si>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</si>
  <si>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</si>
  <si>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</si>
  <si>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</si>
  <si>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</si>
  <si>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</si>
  <si>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</si>
  <si>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</si>
  <si>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</si>
  <si>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Year index</t>
  </si>
  <si>
    <t xml:space="preserve">DAIRY HERD</t>
  </si>
  <si>
    <t xml:space="preserve">Opening dairy cows</t>
  </si>
  <si>
    <t xml:space="preserve">Cows culled</t>
  </si>
  <si>
    <t xml:space="preserve">Cow deaths</t>
  </si>
  <si>
    <t xml:space="preserve">Target herd size</t>
  </si>
  <si>
    <t xml:space="preserve">Replacements needed to reach target</t>
  </si>
  <si>
    <t xml:space="preserve">Own heifers entering herd</t>
  </si>
  <si>
    <t xml:space="preserve">Replacement heifers bought in</t>
  </si>
  <si>
    <t xml:space="preserve">Closing dairy cows</t>
  </si>
  <si>
    <t xml:space="preserve">Average dairy cows</t>
  </si>
  <si>
    <t xml:space="preserve">DAIRY CALF CROP</t>
  </si>
  <si>
    <t xml:space="preserve">Calves born</t>
  </si>
  <si>
    <t xml:space="preserve">  of which sired by beef bull (cross-bred)</t>
  </si>
  <si>
    <t xml:space="preserve">  of which dairy-bred</t>
  </si>
  <si>
    <t xml:space="preserve">Heifer calves surviving (dairy-bred)</t>
  </si>
  <si>
    <t xml:space="preserve">Bull calves surviving (sold)</t>
  </si>
  <si>
    <t xml:space="preserve">Cross-bred calves surviving (sold)</t>
  </si>
  <si>
    <t xml:space="preserve">Heifers reaching breeding age (born 2 yrs earlier)</t>
  </si>
  <si>
    <t xml:space="preserve">Surplus heifers sold</t>
  </si>
  <si>
    <t xml:space="preserve">Young heifers on farm (under 2 yrs)</t>
  </si>
  <si>
    <t xml:space="preserve">MILK PRODUCTION</t>
  </si>
  <si>
    <t xml:space="preserve">Total milk produced</t>
  </si>
  <si>
    <t xml:space="preserve">litres</t>
  </si>
  <si>
    <t xml:space="preserve">  processed on farm</t>
  </si>
  <si>
    <t xml:space="preserve">  sold raw</t>
  </si>
  <si>
    <t xml:space="preserve">BEEF BREEDING HERD</t>
  </si>
  <si>
    <t xml:space="preserve">Opening beef cows</t>
  </si>
  <si>
    <t xml:space="preserve">Closing beef cows</t>
  </si>
  <si>
    <t xml:space="preserve">Average beef cows</t>
  </si>
  <si>
    <t xml:space="preserve">BEEF CALF CROP</t>
  </si>
  <si>
    <t xml:space="preserve">Calves surviving to weaning</t>
  </si>
  <si>
    <t xml:space="preserve">Heifer calves</t>
  </si>
  <si>
    <t xml:space="preserve">Steer calves</t>
  </si>
  <si>
    <t xml:space="preserve">Steers sold as weaners</t>
  </si>
  <si>
    <t xml:space="preserve">Steers kept and finished</t>
  </si>
  <si>
    <t xml:space="preserve">Young heifers on farm</t>
  </si>
  <si>
    <t xml:space="preserve">Bulls needed</t>
  </si>
  <si>
    <t xml:space="preserve">LAND CHECK</t>
  </si>
  <si>
    <t xml:space="preserve">Animal units on farm</t>
  </si>
  <si>
    <t xml:space="preserve">AU</t>
  </si>
  <si>
    <t xml:space="preserve">Carrying capacity of land</t>
  </si>
  <si>
    <t xml:space="preserve">Land utilisation</t>
  </si>
  <si>
    <t xml:space="preserve">Status</t>
  </si>
  <si>
    <t xml:space="preserve">WARNING = herd (plus young stock) exceeds the land's carrying capacity in that year: cut herd targets, add land, or budget bought-in feed.</t>
  </si>
  <si>
    <t xml:space="preserve">REVENUE - streams by year</t>
  </si>
  <si>
    <t xml:space="preserve">Volume from Herd sheet x price (Year-1 price x price inflation x scenario multiplier).</t>
  </si>
  <si>
    <t xml:space="preserve">Price inflation factor</t>
  </si>
  <si>
    <t xml:space="preserve">index</t>
  </si>
  <si>
    <t xml:space="preserve">DAIRY REVENUE</t>
  </si>
  <si>
    <t xml:space="preserve">1. Raw milk sales</t>
  </si>
  <si>
    <t xml:space="preserve">money</t>
  </si>
  <si>
    <t xml:space="preserve">2. Processed dairy products (yoghurt, cheese...)</t>
  </si>
  <si>
    <t xml:space="preserve">3. Dairy bull calves</t>
  </si>
  <si>
    <t xml:space="preserve">4. Beef-cross calves (from beef semen on dairy cows)</t>
  </si>
  <si>
    <t xml:space="preserve">5a. Surplus dairy heifers - ordinary</t>
  </si>
  <si>
    <t xml:space="preserve">5b. Surplus dairy heifers - breeding stock</t>
  </si>
  <si>
    <t xml:space="preserve">6. Dairy cull cows</t>
  </si>
  <si>
    <t xml:space="preserve">BEEF REVENUE</t>
  </si>
  <si>
    <t xml:space="preserve">7. Beef weaners (steers)</t>
  </si>
  <si>
    <t xml:space="preserve">8. Finished steers for slaughter</t>
  </si>
  <si>
    <t xml:space="preserve">9a. Surplus beef heifers - ordinary</t>
  </si>
  <si>
    <t xml:space="preserve">9b. Surplus beef heifers - breeding stock</t>
  </si>
  <si>
    <t xml:space="preserve">10. Beef cull cows</t>
  </si>
  <si>
    <t xml:space="preserve">OTHER REVENUE</t>
  </si>
  <si>
    <t xml:space="preserve">11. Manure / slurry</t>
  </si>
  <si>
    <t xml:space="preserve">12. Breeding services (bull hire / AI for outside cows)</t>
  </si>
  <si>
    <t xml:space="preserve">13. Grants / subsidies</t>
  </si>
  <si>
    <t xml:space="preserve">TOTAL REVENUE</t>
  </si>
  <si>
    <t xml:space="preserve">SUMMARY BY GROUP (chart data)</t>
  </si>
  <si>
    <t xml:space="preserve">Milk (raw + processed)</t>
  </si>
  <si>
    <t xml:space="preserve">Calves (bull + cross-bred)</t>
  </si>
  <si>
    <t xml:space="preserve">Surplus heifers (all)</t>
  </si>
  <si>
    <t xml:space="preserve">Cull cows (all)</t>
  </si>
  <si>
    <t xml:space="preserve">Beef weaners &amp; finished steers</t>
  </si>
  <si>
    <t xml:space="preserve">Manure, services, grants</t>
  </si>
  <si>
    <t xml:space="preserve">Dairy revenue (streams 1-6)</t>
  </si>
  <si>
    <t xml:space="preserve">Beef revenue (streams 7-10)</t>
  </si>
  <si>
    <t xml:space="preserve">Dairy share of revenue</t>
  </si>
  <si>
    <t xml:space="preserve">Animal sales (calves, heifers, culls, weaners) share of revenue</t>
  </si>
  <si>
    <t xml:space="preserve">OPERATING COSTS - by year</t>
  </si>
  <si>
    <t xml:space="preserve">Year-1 unit costs x cost inflation. Feed lines also x scenario feed multiplier.</t>
  </si>
  <si>
    <t xml:space="preserve">Cost inflation factor</t>
  </si>
  <si>
    <t xml:space="preserve">FEED</t>
  </si>
  <si>
    <t xml:space="preserve">Dairy cow feed</t>
  </si>
  <si>
    <t xml:space="preserve">Dairy heifer &amp; calf feed</t>
  </si>
  <si>
    <t xml:space="preserve">Beef cow feed</t>
  </si>
  <si>
    <t xml:space="preserve">Beef heifer &amp; calf feed</t>
  </si>
  <si>
    <t xml:space="preserve">Finishing feed (steers)</t>
  </si>
  <si>
    <t xml:space="preserve">Pasture upkeep</t>
  </si>
  <si>
    <t xml:space="preserve">Total feed</t>
  </si>
  <si>
    <t xml:space="preserve">HEALTH, BREEDING &amp; REPLACEMENT STOCK</t>
  </si>
  <si>
    <t xml:space="preserve">AI / semen (incl. sexed premium)</t>
  </si>
  <si>
    <t xml:space="preserve">Bull replacement (annualised)</t>
  </si>
  <si>
    <t xml:space="preserve">Replacement dairy heifers bought</t>
  </si>
  <si>
    <t xml:space="preserve">Replacement beef heifers bought</t>
  </si>
  <si>
    <t xml:space="preserve">Total health, breeding &amp; replacements</t>
  </si>
  <si>
    <t xml:space="preserve">LABOUR</t>
  </si>
  <si>
    <t xml:space="preserve">Farm manager</t>
  </si>
  <si>
    <t xml:space="preserve">Farm workers (milkers, herders)</t>
  </si>
  <si>
    <t xml:space="preserve">Total labour</t>
  </si>
  <si>
    <t xml:space="preserve">PROCESSING, UTILITIES &amp; OVERHEADS</t>
  </si>
  <si>
    <t xml:space="preserve">Milk processing &amp; packaging</t>
  </si>
  <si>
    <t xml:space="preserve">Electricity, water &amp; cleaning (per cow)</t>
  </si>
  <si>
    <t xml:space="preserve">Vehicle fuel &amp; running costs</t>
  </si>
  <si>
    <t xml:space="preserve">Total processing &amp; overheads</t>
  </si>
  <si>
    <t xml:space="preserve">LAND</t>
  </si>
  <si>
    <t xml:space="preserve">Total land costs</t>
  </si>
  <si>
    <t xml:space="preserve">Subtotal before contingency</t>
  </si>
  <si>
    <t xml:space="preserve">TOTAL OPERATING COSTS</t>
  </si>
  <si>
    <t xml:space="preserve">Opex per breeding cow</t>
  </si>
  <si>
    <t xml:space="preserve">Opex as % of revenue</t>
  </si>
  <si>
    <t xml:space="preserve">FINANCIALS - income statement, loan, tax and cash flow</t>
  </si>
  <si>
    <t xml:space="preserve">Tax includes loss carry-forward. Project cash flow is unlevered; equity cash flow is after loan drawdown and repayments.</t>
  </si>
  <si>
    <t xml:space="preserve">INCOME STATEMENT</t>
  </si>
  <si>
    <t xml:space="preserve">Operating costs</t>
  </si>
  <si>
    <t xml:space="preserve">EBITDA (profit before interest, tax, depreciation)</t>
  </si>
  <si>
    <t xml:space="preserve">EBITDA margin</t>
  </si>
  <si>
    <t xml:space="preserve">Depreciation</t>
  </si>
  <si>
    <t xml:space="preserve">EBIT</t>
  </si>
  <si>
    <t xml:space="preserve">Interest</t>
  </si>
  <si>
    <t xml:space="preserve">Profit before tax</t>
  </si>
  <si>
    <t xml:space="preserve">  Tax losses brought forward</t>
  </si>
  <si>
    <t xml:space="preserve">  Losses used this year</t>
  </si>
  <si>
    <t xml:space="preserve">  Losses added this year</t>
  </si>
  <si>
    <t xml:space="preserve">  Tax losses carried forward</t>
  </si>
  <si>
    <t xml:space="preserve">  Taxable profit</t>
  </si>
  <si>
    <t xml:space="preserve">Income tax</t>
  </si>
  <si>
    <t xml:space="preserve">NET PROFIT</t>
  </si>
  <si>
    <t xml:space="preserve">ENTERPRISE GROSS MARGINS (revenue less direct feed, breeding &amp; replacement costs)</t>
  </si>
  <si>
    <t xml:space="preserve">Dairy revenue</t>
  </si>
  <si>
    <t xml:space="preserve">Dairy direct costs</t>
  </si>
  <si>
    <t xml:space="preserve">Dairy gross margin</t>
  </si>
  <si>
    <t xml:space="preserve">Dairy gross margin %</t>
  </si>
  <si>
    <t xml:space="preserve">Beef revenue (incl. services)</t>
  </si>
  <si>
    <t xml:space="preserve">Beef direct costs</t>
  </si>
  <si>
    <t xml:space="preserve">Beef gross margin</t>
  </si>
  <si>
    <t xml:space="preserve">Beef gross margin %</t>
  </si>
  <si>
    <t xml:space="preserve">LOAN SCHEDULE</t>
  </si>
  <si>
    <t xml:space="preserve">Loan drawdown</t>
  </si>
  <si>
    <t xml:space="preserve">Opening balance</t>
  </si>
  <si>
    <t xml:space="preserve">Principal repayment</t>
  </si>
  <si>
    <t xml:space="preserve">Closing balance</t>
  </si>
  <si>
    <t xml:space="preserve">TERMINAL VALUE (Year 10 only)</t>
  </si>
  <si>
    <t xml:space="preserve">Breeding herd at market value</t>
  </si>
  <si>
    <t xml:space="preserve">Net book value of assets</t>
  </si>
  <si>
    <t xml:space="preserve">Terminal value included in returns</t>
  </si>
  <si>
    <t xml:space="preserve">CASH FLOW</t>
  </si>
  <si>
    <t xml:space="preserve">EBITDA</t>
  </si>
  <si>
    <t xml:space="preserve">Income tax paid</t>
  </si>
  <si>
    <t xml:space="preserve">Interest paid</t>
  </si>
  <si>
    <t xml:space="preserve">Principal repaid</t>
  </si>
  <si>
    <t xml:space="preserve">Capex (Yr 0 initial; then sustaining)</t>
  </si>
  <si>
    <t xml:space="preserve">Working capital reserve (funded Yr 0, released Yr 10)</t>
  </si>
  <si>
    <t xml:space="preserve">Terminal value</t>
  </si>
  <si>
    <t xml:space="preserve">Repay any loan outstanding at end of Year 10</t>
  </si>
  <si>
    <t xml:space="preserve">Memo: tax on EBIT (unlevered, for project cash flow)</t>
  </si>
  <si>
    <t xml:space="preserve">PROJECT CASH FLOW excl. terminal value</t>
  </si>
  <si>
    <t xml:space="preserve">PROJECT CASH FLOW incl. terminal value</t>
  </si>
  <si>
    <t xml:space="preserve">EQUITY CASH FLOW (after loan)</t>
  </si>
  <si>
    <t xml:space="preserve">Cumulative project cash flow (excl. TV)</t>
  </si>
  <si>
    <t xml:space="preserve">Cumulative project cash flow (incl. TV)</t>
  </si>
  <si>
    <t xml:space="preserve">Cumulative equity cash flow</t>
  </si>
  <si>
    <t xml:space="preserve">Payback helper (year when cumulative turns positive)</t>
  </si>
  <si>
    <t xml:space="preserve">yrs</t>
  </si>
  <si>
    <t xml:space="preserve">DEBT COVER</t>
  </si>
  <si>
    <t xml:space="preserve">Cash after debt service (before terminal items)</t>
  </si>
  <si>
    <t xml:space="preserve">Debt service cover ratio (DSCR)</t>
  </si>
  <si>
    <t xml:space="preserve">RETURNS - investment, IRR, NPV, payback, break-even</t>
  </si>
  <si>
    <t xml:space="preserve">All values are live and follow the scenario selector on Assumptions. Currency = placeholder.</t>
  </si>
  <si>
    <t xml:space="preserve">Active scenario</t>
  </si>
  <si>
    <t xml:space="preserve">Scenario running</t>
  </si>
  <si>
    <t xml:space="preserve">INVESTMENT</t>
  </si>
  <si>
    <t xml:space="preserve">Initial capex (animals + infrastructure + land + contingency)</t>
  </si>
  <si>
    <t xml:space="preserve">TOTAL INITIAL INVESTMENT</t>
  </si>
  <si>
    <t xml:space="preserve">Investment per breeding cow</t>
  </si>
  <si>
    <t xml:space="preserve">Loan</t>
  </si>
  <si>
    <t xml:space="preserve">Equity required</t>
  </si>
  <si>
    <t xml:space="preserve">OPERATING RESULT (Year 5, Year-5 money)</t>
  </si>
  <si>
    <t xml:space="preserve">Year 5 revenue</t>
  </si>
  <si>
    <t xml:space="preserve">Year 5 EBITDA</t>
  </si>
  <si>
    <t xml:space="preserve">Year 5 EBITDA margin</t>
  </si>
  <si>
    <t xml:space="preserve">Year 5 net profit</t>
  </si>
  <si>
    <t xml:space="preserve">Year 5 share of revenue from animal sales (calves, heifers, culls, weaners)</t>
  </si>
  <si>
    <t xml:space="preserve">RETURNS</t>
  </si>
  <si>
    <t xml:space="preserve">Project IRR (incl. terminal value)</t>
  </si>
  <si>
    <t xml:space="preserve">Unlevered; compare with hurdle rate</t>
  </si>
  <si>
    <t xml:space="preserve">Project IRR (excl. terminal value, cash only)</t>
  </si>
  <si>
    <t xml:space="preserve">Harsh test: ignores the value of the herd and assets at Year 10</t>
  </si>
  <si>
    <t xml:space="preserve">Equity IRR (after loan)</t>
  </si>
  <si>
    <t xml:space="preserve">Hurdle rate</t>
  </si>
  <si>
    <t xml:space="preserve">Project NPV at hurdle rate (incl. TV)</t>
  </si>
  <si>
    <t xml:space="preserve">Positive = beats hurdle rate</t>
  </si>
  <si>
    <t xml:space="preserve">Payback (years, excl. TV)</t>
  </si>
  <si>
    <t xml:space="preserve">Minimum DSCR (Years 1-10)</t>
  </si>
  <si>
    <t xml:space="preserve">Banks usually want 1.3x or more</t>
  </si>
  <si>
    <t xml:space="preserve">Deepest cumulative equity cash position</t>
  </si>
  <si>
    <t xml:space="preserve">Cash you need to survive before it turns around</t>
  </si>
  <si>
    <t xml:space="preserve">BREAK-EVEN (Year 5, before tax, Year-1 price terms)</t>
  </si>
  <si>
    <t xml:space="preserve">Break-even raw milk price - cash (EBITDA = 0)</t>
  </si>
  <si>
    <t xml:space="preserve">Per litre. Compare with your actual milk price.</t>
  </si>
  <si>
    <t xml:space="preserve">Break-even raw milk price - full cost (after depreciation &amp; interest)</t>
  </si>
  <si>
    <t xml:space="preserve">CHECKS</t>
  </si>
  <si>
    <t xml:space="preserve">Land carrying capacity</t>
  </si>
  <si>
    <t xml:space="preserve">Year-1 working capital reserve</t>
  </si>
  <si>
    <t xml:space="preserve">BREEDING ECONOMICS - what does one cow earn from calves vs milk / weaners?</t>
  </si>
  <si>
    <t xml:space="preserve">Per-cow, Year-1 prices, live scenario. Answers: 'if my cows calve, can I make more money from the calves?' Blue cells in this sheet are strategy inputs you can change.</t>
  </si>
  <si>
    <t xml:space="preserve">A. DAIRY COW: calf strategy (income per cow per year)</t>
  </si>
  <si>
    <t xml:space="preserve">Per dairy cow per year</t>
  </si>
  <si>
    <t xml:space="preserve">A. Pure dairy (as designed)</t>
  </si>
  <si>
    <t xml:space="preserve">B. Sexed semen (mostly heifers)</t>
  </si>
  <si>
    <t xml:space="preserve">C. All beef-cross calves</t>
  </si>
  <si>
    <t xml:space="preserve">D. 30% sexed + 70% beef-cross</t>
  </si>
  <si>
    <t xml:space="preserve">Share of cows served with BEEF semen</t>
  </si>
  <si>
    <t xml:space="preserve">Share of cows served with SEXED dairy semen</t>
  </si>
  <si>
    <t xml:space="preserve">Calves surviving per cow</t>
  </si>
  <si>
    <t xml:space="preserve">  Heifer calves per cow</t>
  </si>
  <si>
    <t xml:space="preserve">  Pure dairy bull calves per cow</t>
  </si>
  <si>
    <t xml:space="preserve">  Beef-cross calves per cow</t>
  </si>
  <si>
    <t xml:space="preserve">Replacement heifers needed per cow (culls + deaths)</t>
  </si>
  <si>
    <t xml:space="preserve">Surplus (+) / shortfall (-) heifers per cow</t>
  </si>
  <si>
    <t xml:space="preserve">Income: bull calves</t>
  </si>
  <si>
    <t xml:space="preserve">Income: beef-cross calves</t>
  </si>
  <si>
    <t xml:space="preserve">Income: net heifers (surplus sold, shortfall bought)</t>
  </si>
  <si>
    <t xml:space="preserve">Cost: rear heifers to 2 years (feed + vet)</t>
  </si>
  <si>
    <t xml:space="preserve">Cost: rear cross-bred calves to sale (milk, feed, vet)</t>
  </si>
  <si>
    <t xml:space="preserve">Cost: sexed semen premium</t>
  </si>
  <si>
    <t xml:space="preserve">NET CALF CONTRIBUTION per cow per year</t>
  </si>
  <si>
    <t xml:space="preserve">B. DAIRY COW: total contribution (per cow, Year 1)</t>
  </si>
  <si>
    <t xml:space="preserve">Milk per cow per year (litres)</t>
  </si>
  <si>
    <t xml:space="preserve">Milk income (net of processing cost)</t>
  </si>
  <si>
    <t xml:space="preserve">Cull cow income (cull rate x weight x price)</t>
  </si>
  <si>
    <t xml:space="preserve">Net calf contribution (from above)</t>
  </si>
  <si>
    <t xml:space="preserve">Feed</t>
  </si>
  <si>
    <t xml:space="preserve">Vet, AI, utilities</t>
  </si>
  <si>
    <t xml:space="preserve">Labour (variable: wage / cows per worker)</t>
  </si>
  <si>
    <t xml:space="preserve">CONTRIBUTION per dairy cow (before fixed farm costs)</t>
  </si>
  <si>
    <t xml:space="preserve">Calves as % of total cow income</t>
  </si>
  <si>
    <t xml:space="preserve">C. HOW MANY DAIRY COWS TO COVER THE FIXED COSTS? (scale effect)</t>
  </si>
  <si>
    <t xml:space="preserve">Fixed cash costs of the farm (Year 1: manager, fuel, insurance, R&amp;M, admin, land, pasture)</t>
  </si>
  <si>
    <t xml:space="preserve">Fixed cash costs + depreciation + loan interest (Year 1)</t>
  </si>
  <si>
    <t xml:space="preserve">Dairy cows needed to cover fixed CASH costs</t>
  </si>
  <si>
    <t xml:space="preserve">Dairy cows needed to cover FULL costs (incl. depreciation &amp; interest)</t>
  </si>
  <si>
    <t xml:space="preserve">Reading: if these numbers are far above your herd size, the farm is too small for its fixed costs. Calves help, but milk yield, price and herd size matter more.</t>
  </si>
  <si>
    <t xml:space="preserve">D. BEEF COW: weaner strategy (per cow per year)</t>
  </si>
  <si>
    <t xml:space="preserve">Per beef cow per year</t>
  </si>
  <si>
    <t xml:space="preserve">A. Sell steers as weaners</t>
  </si>
  <si>
    <t xml:space="preserve">B. Finish half the steers</t>
  </si>
  <si>
    <t xml:space="preserve">C. Breeding-stock heifers (50%)</t>
  </si>
  <si>
    <t xml:space="preserve">D. Finish 50% + breeding stock</t>
  </si>
  <si>
    <t xml:space="preserve">Share of steers finished</t>
  </si>
  <si>
    <t xml:space="preserve">Share of surplus heifers sold as breeding stock</t>
  </si>
  <si>
    <t xml:space="preserve">  Steers per cow</t>
  </si>
  <si>
    <t xml:space="preserve">  Heifers per cow</t>
  </si>
  <si>
    <t xml:space="preserve">Replacement heifers needed per cow</t>
  </si>
  <si>
    <t xml:space="preserve">Income: weaner steers</t>
  </si>
  <si>
    <t xml:space="preserve">Income: finished steers less finishing feed</t>
  </si>
  <si>
    <t xml:space="preserve">Income: net heifers (incl. breeding premium)</t>
  </si>
  <si>
    <t xml:space="preserve">Income: cull cows</t>
  </si>
  <si>
    <t xml:space="preserve">Cost: feed (cow + heifers reared 2 yrs)</t>
  </si>
  <si>
    <t xml:space="preserve">Cost: vet, bull cost per cow</t>
  </si>
  <si>
    <t xml:space="preserve">Cost: labour (variable)</t>
  </si>
  <si>
    <t xml:space="preserve">CONTRIBUTION per beef cow (before fixed farm costs)</t>
  </si>
  <si>
    <t xml:space="preserve">Beef cows needed to cover fixed cash costs (Year-1 fixed list above)</t>
  </si>
  <si>
    <t xml:space="preserve">MONTHLY CASH FLOW - Year 1</t>
  </si>
  <si>
    <t xml:space="preserve">Checks that the working capital reserve covers the first-year cash trough. Milk starts in the month set on Assumptions; other sales start later.</t>
  </si>
  <si>
    <t xml:space="preserve">Year 1 total</t>
  </si>
  <si>
    <t xml:space="preserve">Start</t>
  </si>
  <si>
    <t xml:space="preserve">Milk-selling month flag</t>
  </si>
  <si>
    <t xml:space="preserve">Other-sales month flag</t>
  </si>
  <si>
    <t xml:space="preserve">Milk revenue (raw + processed)</t>
  </si>
  <si>
    <t xml:space="preserve">Animal &amp; other revenue</t>
  </si>
  <si>
    <t xml:space="preserve">Total cash in</t>
  </si>
  <si>
    <t xml:space="preserve">Principal</t>
  </si>
  <si>
    <t xml:space="preserve">Sustaining capex</t>
  </si>
  <si>
    <t xml:space="preserve">Tax (paid month 12)</t>
  </si>
  <si>
    <t xml:space="preserve">Total cash out</t>
  </si>
  <si>
    <t xml:space="preserve">Net cash flow</t>
  </si>
  <si>
    <t xml:space="preserve">Closing cash balance</t>
  </si>
  <si>
    <t xml:space="preserve">Lowest month-end cash balance</t>
  </si>
  <si>
    <t xml:space="preserve">Extra reserve needed (0 = reserve is enough)</t>
  </si>
  <si>
    <t xml:space="preserve">Result</t>
  </si>
  <si>
    <t xml:space="preserve">SCENARIOS &amp; STRATEGIES - static comparison snapshot</t>
  </si>
  <si>
    <t xml:space="preserve">STATIC VALUES generated by re-running this model with the changes listed. They do NOT update. To refresh: change inputs on Assumptions and read the live figures on Returns.</t>
  </si>
  <si>
    <t xml:space="preserve">Strategy</t>
  </si>
  <si>
    <t xml:space="preserve">What changes vs the default case</t>
  </si>
  <si>
    <t xml:space="preserve">Total investment</t>
  </si>
  <si>
    <t xml:space="preserve">Project IRR (incl. TV)</t>
  </si>
  <si>
    <t xml:space="preserve">Project IRR (cash only)</t>
  </si>
  <si>
    <t xml:space="preserve">NPV @ hurdle</t>
  </si>
  <si>
    <t xml:space="preserve">Payback (yrs)</t>
  </si>
  <si>
    <t xml:space="preserve">Break-even milk price (cash)</t>
  </si>
  <si>
    <t xml:space="preserve">Land check</t>
  </si>
  <si>
    <t xml:space="preserve">1. Mixed farm - as designed (Base)</t>
  </si>
  <si>
    <t xml:space="preserve">Dairy 40 + beef 30, pure dairy calves, leased land</t>
  </si>
  <si>
    <t xml:space="preserve">&gt; 10 yrs</t>
  </si>
  <si>
    <t xml:space="preserve">OK</t>
  </si>
  <si>
    <t xml:space="preserve">2. Mixed farm - Downside</t>
  </si>
  <si>
    <t xml:space="preserve">Lower prices, higher feed cost, lower calving/yield, higher mortality</t>
  </si>
  <si>
    <t xml:space="preserve">n/a</t>
  </si>
  <si>
    <t xml:space="preserve">3. Mixed farm - Upside</t>
  </si>
  <si>
    <t xml:space="preserve">Higher prices, cheaper feed, better calving/yield</t>
  </si>
  <si>
    <t xml:space="preserve">4. Dairy only (40 cows)</t>
  </si>
  <si>
    <t xml:space="preserve">Beef enterprise switched off</t>
  </si>
  <si>
    <t xml:space="preserve">5. Beef breeding only (70 cows)</t>
  </si>
  <si>
    <t xml:space="preserve">Dairy off; 70 beef cows</t>
  </si>
  <si>
    <t xml:space="preserve">6. Mixed + breeding upgrade</t>
  </si>
  <si>
    <t xml:space="preserve">50% of dairy cows to beef semen, 40% sexed on the rest, 50% of surplus heifers as breeding stock, half of steers finished, 30 outside cows served</t>
  </si>
  <si>
    <t xml:space="preserve">7. Mixed + lean capex (0.6x)</t>
  </si>
  <si>
    <t xml:space="preserve">Basic sheds and used equipment: infrastructure cost x 0.6</t>
  </si>
  <si>
    <t xml:space="preserve">8. Dairy 100 cows, lean + breeding</t>
  </si>
  <si>
    <t xml:space="preserve">100 dairy cows, capex x 0.7, 50% beef-cross, 40% sexed, 50% breeding heifers, 30% of milk processed</t>
  </si>
  <si>
    <t xml:space="preserve">WARNING: herd exceeds land in some year</t>
  </si>
  <si>
    <t xml:space="preserve">9. Beef 90 cows, lean + breeding</t>
  </si>
  <si>
    <t xml:space="preserve">90 beef cows, capex x 0.7, half of steers finished, 50% breeding heifers, 30 outside cows served</t>
  </si>
  <si>
    <t xml:space="preserve">All prices are generic placeholders in USD. Use this table to compare the SHAPE of each strategy, not as a forecast. Re-run with local prices before deciding.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</si>
</sst>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0"/>
    <numFmt numFmtId="167" formatCode="#,##0;\(#,##0\);\-"/>
    <numFmt numFmtId="168" formatCode="0.0%;\(0.0%\);\-"/>
    <numFmt numFmtId="169" formatCode="#,##0.0;\(#,##0.0\);\-"/>
    <numFmt numFmtId="170" formatCode="#,##0.00;\(#,##0.00\);\-"/>
    <numFmt numFmtId="171" formatCode="0.00\x"/>
    <numFmt numFmtId="172" formatCode="0.000"/>
    <numFmt numFmtId="173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3D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D9EAD3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888888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79646"/>
      <rgbColor rgb="FFFF6600"/>
      <rgbColor rgb="FF8064A2"/>
      <rgbColor rgb="FF999999"/>
      <rgbColor rgb="FF003366"/>
      <rgbColor rgb="FF4F81BD"/>
      <rgbColor rgb="FF003300"/>
      <rgbColor rgb="FF333300"/>
      <rgbColor rgb="FF993300"/>
      <rgbColor rgb="FFC0504D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stream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"Milk (raw + processed)"</c:f>
              <c:strCache>
                <c:ptCount val="1"/>
                <c:pt idx="0">
                  <c:v>Milk (raw + processed)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Revenue!$D$4:$M$4</c:f>
              <c:multiLvlStrCache>
                <c:ptCount val="1"/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Revenue!$D$31:$M$31</c:f>
              <c:numCache>
                <c:formatCode>#,##0;\(#,##0\);\-</c:formatCode>
                <c:ptCount val="10"/>
                <c:pt idx="0">
                  <c:v>67320</c:v>
                </c:pt>
                <c:pt idx="1">
                  <c:v>69339.6</c:v>
                </c:pt>
                <c:pt idx="2">
                  <c:v>71419.788</c:v>
                </c:pt>
                <c:pt idx="3">
                  <c:v>73562.38164</c:v>
                </c:pt>
                <c:pt idx="4">
                  <c:v>75769.2530892</c:v>
                </c:pt>
                <c:pt idx="5">
                  <c:v>78042.330681876</c:v>
                </c:pt>
                <c:pt idx="6">
                  <c:v>80383.6006023323</c:v>
                </c:pt>
                <c:pt idx="7">
                  <c:v>82795.1086204023</c:v>
                </c:pt>
                <c:pt idx="8">
                  <c:v>85278.9618790143</c:v>
                </c:pt>
                <c:pt idx="9">
                  <c:v>87837.3307353848</c:v>
                </c:pt>
              </c:numCache>
            </c:numRef>
          </c:val>
        </c:ser>
        <c:ser>
          <c:idx val="1"/>
          <c:order val="1"/>
          <c:tx>
            <c:strRef>
              <c:f>"Calves (bull + cross-bred)"</c:f>
              <c:strCache>
                <c:ptCount val="1"/>
                <c:pt idx="0">
                  <c:v>Calves (bull + cross-bred)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Revenue!$D$4:$M$4</c:f>
              <c:multiLvlStrCache>
                <c:ptCount val="1"/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Revenue!$D$32:$M$32</c:f>
              <c:numCache>
                <c:formatCode>#,##0;\(#,##0\);\-</c:formatCode>
                <c:ptCount val="10"/>
                <c:pt idx="0">
                  <c:v>588.8</c:v>
                </c:pt>
                <c:pt idx="1">
                  <c:v>606.464</c:v>
                </c:pt>
                <c:pt idx="2">
                  <c:v>624.65792</c:v>
                </c:pt>
                <c:pt idx="3">
                  <c:v>643.3976576</c:v>
                </c:pt>
                <c:pt idx="4">
                  <c:v>662.699587328</c:v>
                </c:pt>
                <c:pt idx="5">
                  <c:v>682.58057494784</c:v>
                </c:pt>
                <c:pt idx="6">
                  <c:v>703.057992196275</c:v>
                </c:pt>
                <c:pt idx="7">
                  <c:v>724.149731962164</c:v>
                </c:pt>
                <c:pt idx="8">
                  <c:v>745.874223921029</c:v>
                </c:pt>
                <c:pt idx="9">
                  <c:v>768.25045063866</c:v>
                </c:pt>
              </c:numCache>
            </c:numRef>
          </c:val>
        </c:ser>
        <c:ser>
          <c:idx val="2"/>
          <c:order val="2"/>
          <c:tx>
            <c:strRef>
              <c:f>"Surplus heifers (all)"</c:f>
              <c:strCache>
                <c:ptCount val="1"/>
                <c:pt idx="0">
                  <c:v>Surplus heifers (all)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Revenue!$D$4:$M$4</c:f>
              <c:multiLvlStrCache>
                <c:ptCount val="1"/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Revenue!$D$33:$M$33</c:f>
              <c:numCache>
                <c:formatCode>#,##0;\(#,##0\);\-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7016.7926</c:v>
                </c:pt>
                <c:pt idx="3">
                  <c:v>7227.296378</c:v>
                </c:pt>
                <c:pt idx="4">
                  <c:v>7444.11526934</c:v>
                </c:pt>
                <c:pt idx="5">
                  <c:v>7667.4387274202</c:v>
                </c:pt>
                <c:pt idx="6">
                  <c:v>7897.46188924281</c:v>
                </c:pt>
                <c:pt idx="7">
                  <c:v>8134.38574592009</c:v>
                </c:pt>
                <c:pt idx="8">
                  <c:v>8378.4173182977</c:v>
                </c:pt>
                <c:pt idx="9">
                  <c:v>8629.76983784663</c:v>
                </c:pt>
              </c:numCache>
            </c:numRef>
          </c:val>
        </c:ser>
        <c:ser>
          <c:idx val="3"/>
          <c:order val="3"/>
          <c:tx>
            <c:strRef>
              <c:f>"Cull cows (all)"</c:f>
              <c:strCache>
                <c:ptCount val="1"/>
                <c:pt idx="0">
                  <c:v>Cull cows (all)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Revenue!$D$4:$M$4</c:f>
              <c:multiLvlStrCache>
                <c:ptCount val="1"/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Revenue!$D$34:$M$34</c:f>
              <c:numCache>
                <c:formatCode>#,##0;\(#,##0\);\-</c:formatCode>
                <c:ptCount val="10"/>
                <c:pt idx="0">
                  <c:v>8976</c:v>
                </c:pt>
                <c:pt idx="1">
                  <c:v>9245.28</c:v>
                </c:pt>
                <c:pt idx="2">
                  <c:v>9522.6384</c:v>
                </c:pt>
                <c:pt idx="3">
                  <c:v>9808.317552</c:v>
                </c:pt>
                <c:pt idx="4">
                  <c:v>10102.56707856</c:v>
                </c:pt>
                <c:pt idx="5">
                  <c:v>10405.6440909168</c:v>
                </c:pt>
                <c:pt idx="6">
                  <c:v>10717.8134136443</c:v>
                </c:pt>
                <c:pt idx="7">
                  <c:v>11039.3478160536</c:v>
                </c:pt>
                <c:pt idx="8">
                  <c:v>11370.5282505352</c:v>
                </c:pt>
                <c:pt idx="9">
                  <c:v>11711.6440980513</c:v>
                </c:pt>
              </c:numCache>
            </c:numRef>
          </c:val>
        </c:ser>
        <c:ser>
          <c:idx val="4"/>
          <c:order val="4"/>
          <c:tx>
            <c:strRef>
              <c:f>"Beef weaners &amp; finished steers"</c:f>
              <c:strCache>
                <c:ptCount val="1"/>
                <c:pt idx="0">
                  <c:v>Beef weaners &amp; finished steers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Revenue!$D$4:$M$4</c:f>
              <c:multiLvlStrCache>
                <c:ptCount val="1"/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Revenue!$D$35:$M$35</c:f>
              <c:numCache>
                <c:formatCode>#,##0;\(#,##0\);\-</c:formatCode>
                <c:ptCount val="10"/>
                <c:pt idx="0">
                  <c:v>4554</c:v>
                </c:pt>
                <c:pt idx="1">
                  <c:v>4690.62</c:v>
                </c:pt>
                <c:pt idx="2">
                  <c:v>4831.3386</c:v>
                </c:pt>
                <c:pt idx="3">
                  <c:v>4976.278758</c:v>
                </c:pt>
                <c:pt idx="4">
                  <c:v>5125.56712074</c:v>
                </c:pt>
                <c:pt idx="5">
                  <c:v>5279.3341343622</c:v>
                </c:pt>
                <c:pt idx="6">
                  <c:v>5437.71415839307</c:v>
                </c:pt>
                <c:pt idx="7">
                  <c:v>5600.84558314486</c:v>
                </c:pt>
                <c:pt idx="8">
                  <c:v>5768.87095063921</c:v>
                </c:pt>
                <c:pt idx="9">
                  <c:v>5941.93707915838</c:v>
                </c:pt>
              </c:numCache>
            </c:numRef>
          </c:val>
        </c:ser>
        <c:ser>
          <c:idx val="5"/>
          <c:order val="5"/>
          <c:tx>
            <c:strRef>
              <c:f>"Manure, services, grants"</c:f>
              <c:strCache>
                <c:ptCount val="1"/>
                <c:pt idx="0">
                  <c:v>Manure, services, grants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Revenue!$D$4:$M$4</c:f>
              <c:multiLvlStrCache>
                <c:ptCount val="1"/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Revenue!$D$36:$M$36</c:f>
              <c:numCache>
                <c:formatCode>#,##0;\(#,##0\);\-</c:formatCode>
                <c:ptCount val="10"/>
                <c:pt idx="0">
                  <c:v>1750</c:v>
                </c:pt>
                <c:pt idx="1">
                  <c:v>1802.5</c:v>
                </c:pt>
                <c:pt idx="2">
                  <c:v>1856.575</c:v>
                </c:pt>
                <c:pt idx="3">
                  <c:v>1912.27225</c:v>
                </c:pt>
                <c:pt idx="4">
                  <c:v>1969.6404175</c:v>
                </c:pt>
                <c:pt idx="5">
                  <c:v>2028.729630025</c:v>
                </c:pt>
                <c:pt idx="6">
                  <c:v>2089.59151892575</c:v>
                </c:pt>
                <c:pt idx="7">
                  <c:v>2152.27926449352</c:v>
                </c:pt>
                <c:pt idx="8">
                  <c:v>2216.84764242833</c:v>
                </c:pt>
                <c:pt idx="9">
                  <c:v>2283.35307170118</c:v>
                </c:pt>
              </c:numCache>
            </c:numRef>
          </c:val>
        </c:ser>
        <c:gapWidth val="150"/>
        <c:overlap val="100"/>
        <c:axId val="51991429"/>
        <c:axId val="97285070"/>
      </c:barChart>
      <c:catAx>
        <c:axId val="519914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85070"/>
        <c:crosses val="autoZero"/>
        <c:auto val="1"/>
        <c:lblAlgn val="ctr"/>
        <c:lblOffset val="100"/>
        <c:noMultiLvlLbl val="0"/>
      </c:catAx>
      <c:valAx>
        <c:axId val="972850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9914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cash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"Project (incl. TV)"</c:f>
              <c:strCache>
                <c:ptCount val="1"/>
                <c:pt idx="0">
                  <c:v>Project (incl. TV)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Financials!$C$4:$M$4</c:f>
              <c:multiLvlStrCache>
                <c:ptCount val="1"/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Financials!$C$61:$M$61</c:f>
              <c:numCache>
                <c:formatCode>#,##0;\(#,##0\);\-</c:formatCode>
                <c:ptCount val="11"/>
                <c:pt idx="0">
                  <c:v>-261460.3097</c:v>
                </c:pt>
                <c:pt idx="1">
                  <c:v>-265336.2485</c:v>
                </c:pt>
                <c:pt idx="2">
                  <c:v>-273933.394604</c:v>
                </c:pt>
                <c:pt idx="3">
                  <c:v>-260291.77956549</c:v>
                </c:pt>
                <c:pt idx="4">
                  <c:v>-246861.545651833</c:v>
                </c:pt>
                <c:pt idx="5">
                  <c:v>-233671.383143614</c:v>
                </c:pt>
                <c:pt idx="6">
                  <c:v>-221156.736983711</c:v>
                </c:pt>
                <c:pt idx="7">
                  <c:v>-208944.895175316</c:v>
                </c:pt>
                <c:pt idx="8">
                  <c:v>-197070.081262225</c:v>
                </c:pt>
                <c:pt idx="9">
                  <c:v>-186099.801071081</c:v>
                </c:pt>
                <c:pt idx="10">
                  <c:v>-41640.3077025275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"Equity"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Financials!$C$4:$M$4</c:f>
              <c:multiLvlStrCache>
                <c:ptCount val="1"/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Financials!$C$62:$M$62</c:f>
              <c:numCache>
                <c:formatCode>#,##0;\(#,##0\);\-</c:formatCode>
                <c:ptCount val="11"/>
                <c:pt idx="0">
                  <c:v>-165346.7097</c:v>
                </c:pt>
                <c:pt idx="1">
                  <c:v>-180756.2805</c:v>
                </c:pt>
                <c:pt idx="2">
                  <c:v>-214617.572889714</c:v>
                </c:pt>
                <c:pt idx="3">
                  <c:v>-224485.306226463</c:v>
                </c:pt>
                <c:pt idx="4">
                  <c:v>-232962.187413229</c:v>
                </c:pt>
                <c:pt idx="5">
                  <c:v>-240085.719199397</c:v>
                </c:pt>
                <c:pt idx="6">
                  <c:v>-245895.721355327</c:v>
                </c:pt>
                <c:pt idx="7">
                  <c:v>-250434.447860532</c:v>
                </c:pt>
                <c:pt idx="8">
                  <c:v>-253746.709514588</c:v>
                </c:pt>
                <c:pt idx="9">
                  <c:v>-242149.487924052</c:v>
                </c:pt>
                <c:pt idx="10">
                  <c:v>-97170.3880570279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348741"/>
        <c:axId val="1009708"/>
      </c:lineChart>
      <c:catAx>
        <c:axId val="133487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9708"/>
        <c:crosses val="autoZero"/>
        <c:auto val="1"/>
        <c:lblAlgn val="ctr"/>
        <c:lblOffset val="100"/>
        <c:noMultiLvlLbl val="0"/>
      </c:catAx>
      <c:valAx>
        <c:axId val="10097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487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EBITDA and net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Financials!$D$4:$M$4</c:f>
              <c:multiLvlStrCache>
                <c:ptCount val="1"/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Financials!$D$9:$M$9</c:f>
              <c:numCache>
                <c:formatCode>#,##0;\(#,##0\);\-</c:formatCode>
                <c:ptCount val="10"/>
                <c:pt idx="0">
                  <c:v>-1516.4388</c:v>
                </c:pt>
                <c:pt idx="1">
                  <c:v>-6166.861104</c:v>
                </c:pt>
                <c:pt idx="2">
                  <c:v>16251.94478468</c:v>
                </c:pt>
                <c:pt idx="3">
                  <c:v>16070.2310268764</c:v>
                </c:pt>
                <c:pt idx="4">
                  <c:v>15853.2673938849</c:v>
                </c:pt>
                <c:pt idx="5">
                  <c:v>15598.8044509518</c:v>
                </c:pt>
                <c:pt idx="6">
                  <c:v>15304.4776027407</c:v>
                </c:pt>
                <c:pt idx="7">
                  <c:v>14967.8017314137</c:v>
                </c:pt>
                <c:pt idx="8">
                  <c:v>14586.1655975705</c:v>
                </c:pt>
                <c:pt idx="9">
                  <c:v>14156.8259938806</c:v>
                </c:pt>
              </c:numCache>
            </c:numRef>
          </c:val>
        </c:ser>
        <c:ser>
          <c:idx val="1"/>
          <c:order val="1"/>
          <c:tx>
            <c:strRef>
              <c:f>"Net profit"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Financials!$D$4:$M$4</c:f>
              <c:multiLvlStrCache>
                <c:ptCount val="1"/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Financials!$D$21:$M$21</c:f>
              <c:numCache>
                <c:formatCode>#,##0;\(#,##0\);\-</c:formatCode>
                <c:ptCount val="10"/>
                <c:pt idx="0">
                  <c:v>-28873.4708</c:v>
                </c:pt>
                <c:pt idx="1">
                  <c:v>-33523.893104</c:v>
                </c:pt>
                <c:pt idx="2">
                  <c:v>-9457.42550103428</c:v>
                </c:pt>
                <c:pt idx="3">
                  <c:v>-7991.47754455213</c:v>
                </c:pt>
                <c:pt idx="4">
                  <c:v>-6560.77946325791</c:v>
                </c:pt>
                <c:pt idx="5">
                  <c:v>-3547.58069190533</c:v>
                </c:pt>
                <c:pt idx="6">
                  <c:v>-2194.24582583074</c:v>
                </c:pt>
                <c:pt idx="7">
                  <c:v>-883.259982872002</c:v>
                </c:pt>
                <c:pt idx="8">
                  <c:v>2507.76559757048</c:v>
                </c:pt>
                <c:pt idx="9">
                  <c:v>2078.42599388056</c:v>
                </c:pt>
              </c:numCache>
            </c:numRef>
          </c:val>
        </c:ser>
        <c:gapWidth val="150"/>
        <c:overlap val="0"/>
        <c:axId val="88327904"/>
        <c:axId val="7161391"/>
      </c:barChart>
      <c:catAx>
        <c:axId val="8832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1391"/>
        <c:crosses val="autoZero"/>
        <c:auto val="1"/>
        <c:lblAlgn val="ctr"/>
        <c:lblOffset val="100"/>
        <c:noMultiLvlLbl val="0"/>
      </c:catAx>
      <c:valAx>
        <c:axId val="71613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279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39</xdr:row>
      <xdr:rowOff>160920</xdr:rowOff>
    </xdr:from>
    <xdr:to>
      <xdr:col>2</xdr:col>
      <xdr:colOff>762840</xdr:colOff>
      <xdr:row>55</xdr:row>
      <xdr:rowOff>172440</xdr:rowOff>
    </xdr:to>
    <xdr:graphicFrame>
      <xdr:nvGraphicFramePr>
        <xdr:cNvPr id="0" name="Chart 1"/>
        <xdr:cNvGraphicFramePr/>
      </xdr:nvGraphicFramePr>
      <xdr:xfrm>
        <a:off x="0" y="7620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39</xdr:row>
      <xdr:rowOff>160920</xdr:rowOff>
    </xdr:from>
    <xdr:to>
      <xdr:col>5</xdr:col>
      <xdr:colOff>339840</xdr:colOff>
      <xdr:row>55</xdr:row>
      <xdr:rowOff>172440</xdr:rowOff>
    </xdr:to>
    <xdr:graphicFrame>
      <xdr:nvGraphicFramePr>
        <xdr:cNvPr id="1" name="Chart 2"/>
        <xdr:cNvGraphicFramePr/>
      </xdr:nvGraphicFramePr>
      <xdr:xfrm>
        <a:off x="5356800" y="7620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57</xdr:row>
      <xdr:rowOff>160920</xdr:rowOff>
    </xdr:from>
    <xdr:to>
      <xdr:col>2</xdr:col>
      <xdr:colOff>762840</xdr:colOff>
      <xdr:row>73</xdr:row>
      <xdr:rowOff>172440</xdr:rowOff>
    </xdr:to>
    <xdr:graphicFrame>
      <xdr:nvGraphicFramePr>
        <xdr:cNvPr id="2" name="Chart 3"/>
        <xdr:cNvGraphicFramePr/>
      </xdr:nvGraphicFramePr>
      <xdr:xfrm>
        <a:off x="0" y="11049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/>
      <c r="B6" s="4"/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3" t="s">
        <v>8</v>
      </c>
      <c r="B9" s="4"/>
    </row>
    <row r="10" customFormat="false" ht="15" hidden="false" customHeight="false" outlineLevel="0" collapsed="false">
      <c r="A10" s="3" t="s">
        <v>9</v>
      </c>
      <c r="B10" s="4" t="s">
        <v>10</v>
      </c>
    </row>
    <row r="11" customFormat="false" ht="15" hidden="false" customHeight="false" outlineLevel="0" collapsed="false">
      <c r="A11" s="3" t="s">
        <v>11</v>
      </c>
      <c r="B11" s="4" t="s">
        <v>12</v>
      </c>
    </row>
    <row r="12" customFormat="false" ht="15" hidden="false" customHeight="false" outlineLevel="0" collapsed="false">
      <c r="A12" s="3" t="s">
        <v>13</v>
      </c>
      <c r="B12" s="4" t="s">
        <v>14</v>
      </c>
    </row>
    <row r="13" customFormat="false" ht="23.85" hidden="false" customHeight="false" outlineLevel="0" collapsed="false">
      <c r="A13" s="3" t="s">
        <v>15</v>
      </c>
      <c r="B13" s="4" t="s">
        <v>16</v>
      </c>
    </row>
    <row r="14" customFormat="false" ht="15" hidden="false" customHeight="false" outlineLevel="0" collapsed="false">
      <c r="A14" s="3" t="s">
        <v>17</v>
      </c>
      <c r="B14" s="4" t="s">
        <v>18</v>
      </c>
    </row>
    <row r="15" customFormat="false" ht="15" hidden="false" customHeight="false" outlineLevel="0" collapsed="false">
      <c r="A15" s="3" t="s">
        <v>19</v>
      </c>
      <c r="B15" s="4" t="s">
        <v>20</v>
      </c>
    </row>
    <row r="16" customFormat="false" ht="15" hidden="false" customHeight="false" outlineLevel="0" collapsed="false">
      <c r="A16" s="3" t="s">
        <v>21</v>
      </c>
      <c r="B16" s="4" t="s">
        <v>22</v>
      </c>
    </row>
    <row r="17" customFormat="false" ht="15" hidden="false" customHeight="false" outlineLevel="0" collapsed="false">
      <c r="A17" s="3" t="s">
        <v>23</v>
      </c>
      <c r="B17" s="4" t="s">
        <v>24</v>
      </c>
    </row>
    <row r="18" customFormat="false" ht="15" hidden="false" customHeight="false" outlineLevel="0" collapsed="false">
      <c r="A18" s="3" t="s">
        <v>25</v>
      </c>
      <c r="B18" s="4" t="s">
        <v>26</v>
      </c>
    </row>
    <row r="19" customFormat="false" ht="15" hidden="false" customHeight="false" outlineLevel="0" collapsed="false">
      <c r="A19" s="3" t="s">
        <v>27</v>
      </c>
      <c r="B19" s="4" t="s">
        <v>28</v>
      </c>
    </row>
    <row r="20" customFormat="false" ht="15" hidden="false" customHeight="false" outlineLevel="0" collapsed="false">
      <c r="A20" s="3"/>
      <c r="B20" s="4"/>
    </row>
    <row r="21" customFormat="false" ht="23.85" hidden="false" customHeight="false" outlineLevel="0" collapsed="false">
      <c r="A21" s="3" t="s">
        <v>29</v>
      </c>
      <c r="B21" s="4" t="s">
        <v>30</v>
      </c>
    </row>
    <row r="22" customFormat="false" ht="15" hidden="false" customHeight="false" outlineLevel="0" collapsed="false">
      <c r="A22" s="3"/>
      <c r="B22" s="4"/>
    </row>
    <row r="23" customFormat="false" ht="35.05" hidden="false" customHeight="false" outlineLevel="0" collapsed="false">
      <c r="A23" s="3" t="s">
        <v>31</v>
      </c>
      <c r="B23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4"/>
    <col collapsed="false" customWidth="true" hidden="false" outlineLevel="0" max="5" min="3" style="0" width="11"/>
    <col collapsed="false" customWidth="true" hidden="false" outlineLevel="0" max="6" min="6" style="0" width="13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</row>
    <row r="5" customFormat="false" ht="15" hidden="false" customHeight="false" outlineLevel="0" collapsed="false">
      <c r="A5" s="6" t="s">
        <v>42</v>
      </c>
      <c r="B5" s="7"/>
      <c r="C5" s="7"/>
      <c r="D5" s="7"/>
      <c r="E5" s="7"/>
      <c r="F5" s="7"/>
      <c r="G5" s="7"/>
    </row>
    <row r="6" customFormat="false" ht="15" hidden="false" customHeight="false" outlineLevel="0" collapsed="false">
      <c r="A6" s="8" t="s">
        <v>43</v>
      </c>
      <c r="B6" s="8" t="s">
        <v>44</v>
      </c>
      <c r="F6" s="9" t="n">
        <v>1</v>
      </c>
      <c r="G6" s="10" t="s">
        <v>45</v>
      </c>
    </row>
    <row r="7" customFormat="false" ht="15" hidden="false" customHeight="false" outlineLevel="0" collapsed="false">
      <c r="A7" s="8" t="s">
        <v>46</v>
      </c>
      <c r="B7" s="8" t="s">
        <v>47</v>
      </c>
      <c r="F7" s="11" t="s">
        <v>48</v>
      </c>
      <c r="G7" s="10" t="s">
        <v>49</v>
      </c>
    </row>
    <row r="8" customFormat="false" ht="15" hidden="false" customHeight="false" outlineLevel="0" collapsed="false">
      <c r="A8" s="8" t="s">
        <v>50</v>
      </c>
      <c r="B8" s="8" t="s">
        <v>51</v>
      </c>
      <c r="F8" s="9" t="n">
        <v>1</v>
      </c>
      <c r="G8" s="10" t="s">
        <v>52</v>
      </c>
    </row>
    <row r="9" customFormat="false" ht="15" hidden="false" customHeight="false" outlineLevel="0" collapsed="false">
      <c r="A9" s="8" t="s">
        <v>53</v>
      </c>
      <c r="B9" s="8" t="s">
        <v>51</v>
      </c>
      <c r="F9" s="9" t="n">
        <v>1</v>
      </c>
      <c r="G9" s="10" t="s">
        <v>54</v>
      </c>
    </row>
    <row r="10" customFormat="false" ht="15" hidden="false" customHeight="false" outlineLevel="0" collapsed="false">
      <c r="A10" s="8" t="s">
        <v>55</v>
      </c>
      <c r="B10" s="8" t="s">
        <v>56</v>
      </c>
      <c r="F10" s="9" t="n">
        <v>150</v>
      </c>
      <c r="G10" s="10" t="s">
        <v>57</v>
      </c>
    </row>
    <row r="11" customFormat="false" ht="15" hidden="false" customHeight="false" outlineLevel="0" collapsed="false">
      <c r="A11" s="8" t="s">
        <v>58</v>
      </c>
      <c r="B11" s="8" t="s">
        <v>59</v>
      </c>
      <c r="F11" s="12" t="n">
        <v>0.8</v>
      </c>
      <c r="G11" s="10" t="s">
        <v>60</v>
      </c>
    </row>
    <row r="12" customFormat="false" ht="15" hidden="false" customHeight="false" outlineLevel="0" collapsed="false">
      <c r="A12" s="8" t="s">
        <v>61</v>
      </c>
      <c r="B12" s="8" t="s">
        <v>51</v>
      </c>
      <c r="F12" s="9" t="n">
        <v>0</v>
      </c>
      <c r="G12" s="10" t="s">
        <v>62</v>
      </c>
    </row>
    <row r="13" customFormat="false" ht="15" hidden="false" customHeight="false" outlineLevel="0" collapsed="false">
      <c r="A13" s="8" t="s">
        <v>63</v>
      </c>
      <c r="B13" s="8" t="s">
        <v>64</v>
      </c>
      <c r="F13" s="13" t="n">
        <v>1500</v>
      </c>
      <c r="G13" s="10" t="s">
        <v>65</v>
      </c>
    </row>
    <row r="14" customFormat="false" ht="15" hidden="false" customHeight="false" outlineLevel="0" collapsed="false">
      <c r="A14" s="8" t="s">
        <v>66</v>
      </c>
      <c r="B14" s="8" t="s">
        <v>67</v>
      </c>
      <c r="F14" s="14" t="n">
        <v>40</v>
      </c>
      <c r="G14" s="10" t="s">
        <v>68</v>
      </c>
    </row>
    <row r="15" customFormat="false" ht="15" hidden="false" customHeight="false" outlineLevel="0" collapsed="false">
      <c r="A15" s="8" t="s">
        <v>69</v>
      </c>
      <c r="B15" s="8" t="s">
        <v>70</v>
      </c>
      <c r="F15" s="15" t="n">
        <v>0.03</v>
      </c>
      <c r="G15" s="10" t="s">
        <v>71</v>
      </c>
    </row>
    <row r="16" customFormat="false" ht="15" hidden="false" customHeight="false" outlineLevel="0" collapsed="false">
      <c r="A16" s="8" t="s">
        <v>72</v>
      </c>
      <c r="B16" s="8" t="s">
        <v>70</v>
      </c>
      <c r="F16" s="15" t="n">
        <v>0.04</v>
      </c>
      <c r="G16" s="10" t="s">
        <v>73</v>
      </c>
    </row>
    <row r="17" customFormat="false" ht="15" hidden="false" customHeight="false" outlineLevel="0" collapsed="false">
      <c r="A17" s="8" t="s">
        <v>74</v>
      </c>
      <c r="B17" s="8" t="s">
        <v>75</v>
      </c>
      <c r="F17" s="15" t="n">
        <v>0.25</v>
      </c>
      <c r="G17" s="10" t="s">
        <v>76</v>
      </c>
    </row>
    <row r="18" customFormat="false" ht="15" hidden="false" customHeight="false" outlineLevel="0" collapsed="false">
      <c r="A18" s="8" t="s">
        <v>77</v>
      </c>
      <c r="B18" s="8" t="s">
        <v>75</v>
      </c>
      <c r="F18" s="15" t="n">
        <v>0.12</v>
      </c>
      <c r="G18" s="10" t="s">
        <v>78</v>
      </c>
    </row>
    <row r="19" customFormat="false" ht="15" hidden="false" customHeight="false" outlineLevel="0" collapsed="false">
      <c r="A19" s="8" t="s">
        <v>79</v>
      </c>
      <c r="B19" s="8" t="s">
        <v>51</v>
      </c>
      <c r="F19" s="9" t="n">
        <v>1</v>
      </c>
      <c r="G19" s="10" t="s">
        <v>80</v>
      </c>
    </row>
    <row r="20" customFormat="false" ht="15" hidden="false" customHeight="false" outlineLevel="0" collapsed="false">
      <c r="A20" s="8" t="s">
        <v>81</v>
      </c>
      <c r="B20" s="8" t="s">
        <v>82</v>
      </c>
      <c r="F20" s="16" t="n">
        <v>3</v>
      </c>
      <c r="G20" s="10" t="s">
        <v>83</v>
      </c>
    </row>
    <row r="21" customFormat="false" ht="15" hidden="false" customHeight="false" outlineLevel="0" collapsed="false">
      <c r="A21" s="6" t="s">
        <v>84</v>
      </c>
      <c r="B21" s="7"/>
      <c r="C21" s="7"/>
      <c r="D21" s="7"/>
      <c r="E21" s="7"/>
      <c r="F21" s="7"/>
      <c r="G21" s="7"/>
    </row>
    <row r="22" customFormat="false" ht="15" hidden="false" customHeight="false" outlineLevel="0" collapsed="false">
      <c r="A22" s="8" t="s">
        <v>85</v>
      </c>
      <c r="B22" s="8" t="s">
        <v>86</v>
      </c>
      <c r="C22" s="17" t="n">
        <v>0.6</v>
      </c>
      <c r="D22" s="17" t="n">
        <v>0.48</v>
      </c>
      <c r="E22" s="17" t="n">
        <v>0.72</v>
      </c>
      <c r="F22" s="18" t="n">
        <f aca="false">CHOOSE($F$6,C22,D22,E22)</f>
        <v>0.6</v>
      </c>
      <c r="G22" s="10" t="s">
        <v>87</v>
      </c>
    </row>
    <row r="23" customFormat="false" ht="15" hidden="false" customHeight="false" outlineLevel="0" collapsed="false">
      <c r="A23" s="8" t="s">
        <v>88</v>
      </c>
      <c r="B23" s="8" t="s">
        <v>89</v>
      </c>
      <c r="C23" s="16" t="n">
        <v>10</v>
      </c>
      <c r="D23" s="16" t="n">
        <v>8.5</v>
      </c>
      <c r="E23" s="16" t="n">
        <v>12</v>
      </c>
      <c r="F23" s="19" t="n">
        <f aca="false">CHOOSE($F$6,C23,D23,E23)</f>
        <v>10</v>
      </c>
      <c r="G23" s="10" t="s">
        <v>90</v>
      </c>
    </row>
    <row r="24" customFormat="false" ht="15" hidden="false" customHeight="false" outlineLevel="0" collapsed="false">
      <c r="A24" s="8" t="s">
        <v>91</v>
      </c>
      <c r="B24" s="8" t="s">
        <v>92</v>
      </c>
      <c r="C24" s="12" t="n">
        <v>1</v>
      </c>
      <c r="D24" s="12" t="n">
        <v>1.2</v>
      </c>
      <c r="E24" s="12" t="n">
        <v>0.92</v>
      </c>
      <c r="F24" s="20" t="n">
        <f aca="false">CHOOSE($F$6,C24,D24,E24)</f>
        <v>1</v>
      </c>
      <c r="G24" s="10" t="s">
        <v>93</v>
      </c>
    </row>
    <row r="25" customFormat="false" ht="15" hidden="false" customHeight="false" outlineLevel="0" collapsed="false">
      <c r="A25" s="8" t="s">
        <v>94</v>
      </c>
      <c r="B25" s="8" t="s">
        <v>92</v>
      </c>
      <c r="C25" s="12" t="n">
        <v>1</v>
      </c>
      <c r="D25" s="12" t="n">
        <v>0.8</v>
      </c>
      <c r="E25" s="12" t="n">
        <v>1.2</v>
      </c>
      <c r="F25" s="20" t="n">
        <f aca="false">CHOOSE($F$6,C25,D25,E25)</f>
        <v>1</v>
      </c>
      <c r="G25" s="10" t="s">
        <v>95</v>
      </c>
    </row>
    <row r="26" customFormat="false" ht="15" hidden="false" customHeight="false" outlineLevel="0" collapsed="false">
      <c r="A26" s="8" t="s">
        <v>96</v>
      </c>
      <c r="B26" s="8" t="s">
        <v>97</v>
      </c>
      <c r="C26" s="15" t="n">
        <v>0.8</v>
      </c>
      <c r="D26" s="15" t="n">
        <v>0.7</v>
      </c>
      <c r="E26" s="15" t="n">
        <v>0.88</v>
      </c>
      <c r="F26" s="21" t="n">
        <f aca="false">CHOOSE($F$6,C26,D26,E26)</f>
        <v>0.8</v>
      </c>
      <c r="G26" s="10" t="s">
        <v>98</v>
      </c>
    </row>
    <row r="27" customFormat="false" ht="15" hidden="false" customHeight="false" outlineLevel="0" collapsed="false">
      <c r="A27" s="8" t="s">
        <v>99</v>
      </c>
      <c r="B27" s="8" t="s">
        <v>97</v>
      </c>
      <c r="C27" s="15" t="n">
        <v>0.75</v>
      </c>
      <c r="D27" s="15" t="n">
        <v>0.65</v>
      </c>
      <c r="E27" s="15" t="n">
        <v>0.85</v>
      </c>
      <c r="F27" s="21" t="n">
        <f aca="false">CHOOSE($F$6,C27,D27,E27)</f>
        <v>0.75</v>
      </c>
      <c r="G27" s="10"/>
    </row>
    <row r="28" customFormat="false" ht="15" hidden="false" customHeight="false" outlineLevel="0" collapsed="false">
      <c r="A28" s="8" t="s">
        <v>100</v>
      </c>
      <c r="B28" s="8" t="s">
        <v>70</v>
      </c>
      <c r="C28" s="15" t="n">
        <v>0.03</v>
      </c>
      <c r="D28" s="15" t="n">
        <v>0.05</v>
      </c>
      <c r="E28" s="15" t="n">
        <v>0.02</v>
      </c>
      <c r="F28" s="22" t="n">
        <f aca="false">CHOOSE($F$6,C28,D28,E28)</f>
        <v>0.03</v>
      </c>
      <c r="G28" s="10"/>
    </row>
    <row r="29" customFormat="false" ht="15" hidden="false" customHeight="false" outlineLevel="0" collapsed="false">
      <c r="A29" s="8" t="s">
        <v>101</v>
      </c>
      <c r="B29" s="8" t="s">
        <v>75</v>
      </c>
      <c r="C29" s="15" t="n">
        <v>0.08</v>
      </c>
      <c r="D29" s="15" t="n">
        <v>0.15</v>
      </c>
      <c r="E29" s="15" t="n">
        <v>0.05</v>
      </c>
      <c r="F29" s="22" t="n">
        <f aca="false">CHOOSE($F$6,C29,D29,E29)</f>
        <v>0.08</v>
      </c>
      <c r="G29" s="10"/>
    </row>
    <row r="30" customFormat="false" ht="15" hidden="false" customHeight="false" outlineLevel="0" collapsed="false">
      <c r="A30" s="6" t="s">
        <v>102</v>
      </c>
      <c r="B30" s="7"/>
      <c r="C30" s="7"/>
      <c r="D30" s="7"/>
      <c r="E30" s="7"/>
      <c r="F30" s="7"/>
      <c r="G30" s="7"/>
    </row>
    <row r="31" customFormat="false" ht="15" hidden="false" customHeight="false" outlineLevel="0" collapsed="false">
      <c r="A31" s="8" t="s">
        <v>103</v>
      </c>
      <c r="B31" s="8" t="s">
        <v>104</v>
      </c>
      <c r="F31" s="23" t="n">
        <v>40</v>
      </c>
      <c r="G31" s="10" t="s">
        <v>105</v>
      </c>
    </row>
    <row r="32" customFormat="false" ht="15" hidden="false" customHeight="false" outlineLevel="0" collapsed="false">
      <c r="A32" s="8" t="s">
        <v>106</v>
      </c>
      <c r="B32" s="8" t="s">
        <v>104</v>
      </c>
      <c r="F32" s="9" t="n">
        <v>40</v>
      </c>
      <c r="G32" s="10" t="s">
        <v>107</v>
      </c>
    </row>
    <row r="33" customFormat="false" ht="15" hidden="false" customHeight="false" outlineLevel="0" collapsed="false">
      <c r="A33" s="8" t="s">
        <v>108</v>
      </c>
      <c r="B33" s="8" t="s">
        <v>104</v>
      </c>
      <c r="F33" s="23" t="n">
        <v>30</v>
      </c>
      <c r="G33" s="10" t="s">
        <v>109</v>
      </c>
    </row>
    <row r="34" customFormat="false" ht="15" hidden="false" customHeight="false" outlineLevel="0" collapsed="false">
      <c r="A34" s="8" t="s">
        <v>110</v>
      </c>
      <c r="B34" s="8" t="s">
        <v>104</v>
      </c>
      <c r="F34" s="9" t="n">
        <v>30</v>
      </c>
      <c r="G34" s="10"/>
    </row>
    <row r="35" customFormat="false" ht="15" hidden="false" customHeight="false" outlineLevel="0" collapsed="false">
      <c r="A35" s="8" t="s">
        <v>111</v>
      </c>
      <c r="B35" s="8" t="s">
        <v>70</v>
      </c>
      <c r="F35" s="15" t="n">
        <v>0.2</v>
      </c>
      <c r="G35" s="10"/>
    </row>
    <row r="36" customFormat="false" ht="15" hidden="false" customHeight="false" outlineLevel="0" collapsed="false">
      <c r="A36" s="8" t="s">
        <v>112</v>
      </c>
      <c r="B36" s="8" t="s">
        <v>70</v>
      </c>
      <c r="F36" s="15" t="n">
        <v>0.15</v>
      </c>
      <c r="G36" s="10"/>
    </row>
    <row r="37" customFormat="false" ht="15" hidden="false" customHeight="false" outlineLevel="0" collapsed="false">
      <c r="A37" s="8" t="s">
        <v>113</v>
      </c>
      <c r="B37" s="8" t="s">
        <v>75</v>
      </c>
      <c r="F37" s="15" t="n">
        <v>0.5</v>
      </c>
      <c r="G37" s="10"/>
    </row>
    <row r="38" customFormat="false" ht="15" hidden="false" customHeight="false" outlineLevel="0" collapsed="false">
      <c r="A38" s="8" t="s">
        <v>114</v>
      </c>
      <c r="B38" s="8" t="s">
        <v>115</v>
      </c>
      <c r="F38" s="15" t="n">
        <v>0</v>
      </c>
      <c r="G38" s="10" t="s">
        <v>116</v>
      </c>
    </row>
    <row r="39" customFormat="false" ht="15" hidden="false" customHeight="false" outlineLevel="0" collapsed="false">
      <c r="A39" s="8" t="s">
        <v>117</v>
      </c>
      <c r="B39" s="8" t="s">
        <v>75</v>
      </c>
      <c r="F39" s="15" t="n">
        <v>0.9</v>
      </c>
      <c r="G39" s="10" t="s">
        <v>118</v>
      </c>
    </row>
    <row r="40" customFormat="false" ht="15" hidden="false" customHeight="false" outlineLevel="0" collapsed="false">
      <c r="A40" s="8" t="s">
        <v>119</v>
      </c>
      <c r="B40" s="8" t="s">
        <v>120</v>
      </c>
      <c r="F40" s="24" t="n">
        <v>0</v>
      </c>
      <c r="G40" s="10" t="s">
        <v>121</v>
      </c>
    </row>
    <row r="41" customFormat="false" ht="15" hidden="false" customHeight="false" outlineLevel="0" collapsed="false">
      <c r="A41" s="8" t="s">
        <v>122</v>
      </c>
      <c r="B41" s="8" t="s">
        <v>75</v>
      </c>
      <c r="F41" s="22" t="n">
        <f aca="false">F37*(1-F38)+F39*F38</f>
        <v>0.5</v>
      </c>
      <c r="G41" s="10" t="s">
        <v>123</v>
      </c>
    </row>
    <row r="42" customFormat="false" ht="15" hidden="false" customHeight="false" outlineLevel="0" collapsed="false">
      <c r="A42" s="8" t="s">
        <v>124</v>
      </c>
      <c r="B42" s="8" t="s">
        <v>75</v>
      </c>
      <c r="F42" s="24" t="n">
        <v>0</v>
      </c>
      <c r="G42" s="10" t="s">
        <v>125</v>
      </c>
    </row>
    <row r="43" customFormat="false" ht="15" hidden="false" customHeight="false" outlineLevel="0" collapsed="false">
      <c r="A43" s="8" t="s">
        <v>126</v>
      </c>
      <c r="B43" s="8" t="s">
        <v>75</v>
      </c>
      <c r="F43" s="15" t="n">
        <v>0</v>
      </c>
      <c r="G43" s="10" t="s">
        <v>127</v>
      </c>
    </row>
    <row r="44" customFormat="false" ht="15" hidden="false" customHeight="false" outlineLevel="0" collapsed="false">
      <c r="A44" s="8" t="s">
        <v>128</v>
      </c>
      <c r="B44" s="8" t="s">
        <v>92</v>
      </c>
      <c r="F44" s="25" t="n">
        <v>1.6</v>
      </c>
      <c r="G44" s="10" t="s">
        <v>129</v>
      </c>
    </row>
    <row r="45" customFormat="false" ht="15" hidden="false" customHeight="false" outlineLevel="0" collapsed="false">
      <c r="A45" s="8" t="s">
        <v>130</v>
      </c>
      <c r="B45" s="8" t="s">
        <v>131</v>
      </c>
      <c r="F45" s="15" t="n">
        <v>0</v>
      </c>
      <c r="G45" s="10" t="s">
        <v>132</v>
      </c>
    </row>
    <row r="46" customFormat="false" ht="15" hidden="false" customHeight="false" outlineLevel="0" collapsed="false">
      <c r="A46" s="8" t="s">
        <v>133</v>
      </c>
      <c r="B46" s="8" t="s">
        <v>134</v>
      </c>
      <c r="F46" s="9" t="n">
        <v>0</v>
      </c>
      <c r="G46" s="10" t="s">
        <v>135</v>
      </c>
    </row>
    <row r="47" customFormat="false" ht="15" hidden="false" customHeight="false" outlineLevel="0" collapsed="false">
      <c r="A47" s="8" t="s">
        <v>136</v>
      </c>
      <c r="B47" s="8" t="s">
        <v>137</v>
      </c>
      <c r="F47" s="9" t="n">
        <v>25</v>
      </c>
      <c r="G47" s="10"/>
    </row>
    <row r="48" customFormat="false" ht="15" hidden="false" customHeight="false" outlineLevel="0" collapsed="false">
      <c r="A48" s="6" t="s">
        <v>138</v>
      </c>
      <c r="B48" s="7"/>
      <c r="C48" s="7"/>
      <c r="D48" s="7"/>
      <c r="E48" s="7"/>
      <c r="F48" s="7"/>
      <c r="G48" s="7"/>
    </row>
    <row r="49" customFormat="false" ht="15" hidden="false" customHeight="false" outlineLevel="0" collapsed="false">
      <c r="A49" s="8" t="s">
        <v>139</v>
      </c>
      <c r="B49" s="8" t="s">
        <v>140</v>
      </c>
      <c r="F49" s="9" t="n">
        <v>300</v>
      </c>
      <c r="G49" s="10"/>
    </row>
    <row r="50" customFormat="false" ht="15" hidden="false" customHeight="false" outlineLevel="0" collapsed="false">
      <c r="A50" s="8" t="s">
        <v>141</v>
      </c>
      <c r="B50" s="8" t="s">
        <v>75</v>
      </c>
      <c r="F50" s="15" t="n">
        <v>0.85</v>
      </c>
      <c r="G50" s="10"/>
    </row>
    <row r="51" customFormat="false" ht="15" hidden="false" customHeight="false" outlineLevel="0" collapsed="false">
      <c r="A51" s="8" t="s">
        <v>142</v>
      </c>
      <c r="B51" s="8" t="s">
        <v>143</v>
      </c>
      <c r="F51" s="24" t="n">
        <v>0.1</v>
      </c>
      <c r="G51" s="10" t="s">
        <v>144</v>
      </c>
    </row>
    <row r="52" customFormat="false" ht="15" hidden="false" customHeight="false" outlineLevel="0" collapsed="false">
      <c r="A52" s="8" t="s">
        <v>145</v>
      </c>
      <c r="B52" s="8" t="s">
        <v>92</v>
      </c>
      <c r="F52" s="25" t="n">
        <v>2</v>
      </c>
      <c r="G52" s="10" t="s">
        <v>146</v>
      </c>
    </row>
    <row r="53" customFormat="false" ht="15" hidden="false" customHeight="false" outlineLevel="0" collapsed="false">
      <c r="A53" s="8" t="s">
        <v>147</v>
      </c>
      <c r="B53" s="8" t="s">
        <v>148</v>
      </c>
      <c r="F53" s="17" t="n">
        <v>0.2</v>
      </c>
      <c r="G53" s="10" t="s">
        <v>71</v>
      </c>
    </row>
    <row r="54" customFormat="false" ht="15" hidden="false" customHeight="false" outlineLevel="0" collapsed="false">
      <c r="A54" s="6" t="s">
        <v>149</v>
      </c>
      <c r="B54" s="7"/>
      <c r="C54" s="7"/>
      <c r="D54" s="7"/>
      <c r="E54" s="7"/>
      <c r="F54" s="7"/>
      <c r="G54" s="7"/>
    </row>
    <row r="55" customFormat="false" ht="15" hidden="false" customHeight="false" outlineLevel="0" collapsed="false">
      <c r="A55" s="8" t="s">
        <v>150</v>
      </c>
      <c r="B55" s="8" t="s">
        <v>151</v>
      </c>
      <c r="F55" s="13" t="n">
        <v>40</v>
      </c>
      <c r="G55" s="10" t="s">
        <v>152</v>
      </c>
    </row>
    <row r="56" customFormat="false" ht="15" hidden="false" customHeight="false" outlineLevel="0" collapsed="false">
      <c r="A56" s="8" t="s">
        <v>153</v>
      </c>
      <c r="B56" s="8" t="s">
        <v>151</v>
      </c>
      <c r="F56" s="13" t="n">
        <v>160</v>
      </c>
      <c r="G56" s="10" t="s">
        <v>154</v>
      </c>
    </row>
    <row r="57" customFormat="false" ht="15" hidden="false" customHeight="false" outlineLevel="0" collapsed="false">
      <c r="A57" s="8" t="s">
        <v>155</v>
      </c>
      <c r="B57" s="8" t="s">
        <v>151</v>
      </c>
      <c r="F57" s="13" t="n">
        <v>700</v>
      </c>
      <c r="G57" s="10" t="s">
        <v>154</v>
      </c>
    </row>
    <row r="58" customFormat="false" ht="15" hidden="false" customHeight="false" outlineLevel="0" collapsed="false">
      <c r="A58" s="8" t="s">
        <v>156</v>
      </c>
      <c r="B58" s="8" t="s">
        <v>151</v>
      </c>
      <c r="F58" s="13" t="n">
        <v>600</v>
      </c>
      <c r="G58" s="10" t="s">
        <v>154</v>
      </c>
    </row>
    <row r="59" customFormat="false" ht="15" hidden="false" customHeight="false" outlineLevel="0" collapsed="false">
      <c r="A59" s="8" t="s">
        <v>157</v>
      </c>
      <c r="B59" s="8" t="s">
        <v>158</v>
      </c>
      <c r="F59" s="9" t="n">
        <v>200</v>
      </c>
      <c r="G59" s="10"/>
    </row>
    <row r="60" customFormat="false" ht="15" hidden="false" customHeight="false" outlineLevel="0" collapsed="false">
      <c r="A60" s="8" t="s">
        <v>159</v>
      </c>
      <c r="B60" s="8" t="s">
        <v>160</v>
      </c>
      <c r="F60" s="17" t="n">
        <v>2.2</v>
      </c>
      <c r="G60" s="10" t="s">
        <v>154</v>
      </c>
    </row>
    <row r="61" customFormat="false" ht="15" hidden="false" customHeight="false" outlineLevel="0" collapsed="false">
      <c r="A61" s="8" t="s">
        <v>161</v>
      </c>
      <c r="B61" s="8" t="s">
        <v>158</v>
      </c>
      <c r="F61" s="9" t="n">
        <v>380</v>
      </c>
      <c r="G61" s="10"/>
    </row>
    <row r="62" customFormat="false" ht="15" hidden="false" customHeight="false" outlineLevel="0" collapsed="false">
      <c r="A62" s="8" t="s">
        <v>162</v>
      </c>
      <c r="B62" s="8" t="s">
        <v>160</v>
      </c>
      <c r="F62" s="17" t="n">
        <v>1.9</v>
      </c>
      <c r="G62" s="10" t="s">
        <v>154</v>
      </c>
    </row>
    <row r="63" customFormat="false" ht="15" hidden="false" customHeight="false" outlineLevel="0" collapsed="false">
      <c r="A63" s="8" t="s">
        <v>163</v>
      </c>
      <c r="B63" s="8" t="s">
        <v>158</v>
      </c>
      <c r="F63" s="9" t="n">
        <v>420</v>
      </c>
      <c r="G63" s="10"/>
    </row>
    <row r="64" customFormat="false" ht="15" hidden="false" customHeight="false" outlineLevel="0" collapsed="false">
      <c r="A64" s="8" t="s">
        <v>164</v>
      </c>
      <c r="B64" s="8" t="s">
        <v>158</v>
      </c>
      <c r="F64" s="9" t="n">
        <v>450</v>
      </c>
      <c r="G64" s="10"/>
    </row>
    <row r="65" customFormat="false" ht="15" hidden="false" customHeight="false" outlineLevel="0" collapsed="false">
      <c r="A65" s="8" t="s">
        <v>165</v>
      </c>
      <c r="B65" s="8" t="s">
        <v>160</v>
      </c>
      <c r="F65" s="17" t="n">
        <v>1.6</v>
      </c>
      <c r="G65" s="10" t="s">
        <v>154</v>
      </c>
    </row>
    <row r="66" customFormat="false" ht="15" hidden="false" customHeight="false" outlineLevel="0" collapsed="false">
      <c r="A66" s="8" t="s">
        <v>166</v>
      </c>
      <c r="B66" s="8" t="s">
        <v>167</v>
      </c>
      <c r="F66" s="13" t="n">
        <v>25</v>
      </c>
      <c r="G66" s="10" t="s">
        <v>154</v>
      </c>
    </row>
    <row r="67" customFormat="false" ht="15" hidden="false" customHeight="false" outlineLevel="0" collapsed="false">
      <c r="A67" s="8" t="s">
        <v>168</v>
      </c>
      <c r="B67" s="8" t="s">
        <v>169</v>
      </c>
      <c r="F67" s="13" t="n">
        <v>45</v>
      </c>
      <c r="G67" s="10" t="s">
        <v>154</v>
      </c>
    </row>
    <row r="68" customFormat="false" ht="15" hidden="false" customHeight="false" outlineLevel="0" collapsed="false">
      <c r="A68" s="8" t="s">
        <v>170</v>
      </c>
      <c r="B68" s="8" t="s">
        <v>171</v>
      </c>
      <c r="F68" s="13" t="n">
        <v>0</v>
      </c>
      <c r="G68" s="10" t="s">
        <v>172</v>
      </c>
    </row>
    <row r="69" customFormat="false" ht="15" hidden="false" customHeight="false" outlineLevel="0" collapsed="false">
      <c r="A69" s="8" t="s">
        <v>173</v>
      </c>
      <c r="B69" s="8" t="s">
        <v>174</v>
      </c>
      <c r="F69" s="9" t="n">
        <v>0</v>
      </c>
      <c r="G69" s="10" t="s">
        <v>175</v>
      </c>
    </row>
    <row r="70" customFormat="false" ht="15" hidden="false" customHeight="false" outlineLevel="0" collapsed="false">
      <c r="A70" s="8" t="s">
        <v>176</v>
      </c>
      <c r="B70" s="8" t="s">
        <v>151</v>
      </c>
      <c r="F70" s="13" t="n">
        <v>1100</v>
      </c>
      <c r="G70" s="10" t="s">
        <v>177</v>
      </c>
    </row>
    <row r="71" customFormat="false" ht="15" hidden="false" customHeight="false" outlineLevel="0" collapsed="false">
      <c r="A71" s="8" t="s">
        <v>178</v>
      </c>
      <c r="B71" s="8" t="s">
        <v>151</v>
      </c>
      <c r="F71" s="13" t="n">
        <v>800</v>
      </c>
      <c r="G71" s="10" t="s">
        <v>154</v>
      </c>
    </row>
    <row r="72" customFormat="false" ht="15" hidden="false" customHeight="false" outlineLevel="0" collapsed="false">
      <c r="A72" s="8" t="s">
        <v>179</v>
      </c>
      <c r="B72" s="8" t="s">
        <v>151</v>
      </c>
      <c r="F72" s="13" t="n">
        <v>40</v>
      </c>
      <c r="G72" s="10" t="s">
        <v>180</v>
      </c>
    </row>
    <row r="73" customFormat="false" ht="15" hidden="false" customHeight="false" outlineLevel="0" collapsed="false">
      <c r="A73" s="8" t="s">
        <v>181</v>
      </c>
      <c r="B73" s="8" t="s">
        <v>151</v>
      </c>
      <c r="F73" s="13" t="n">
        <v>1200</v>
      </c>
      <c r="G73" s="10"/>
    </row>
    <row r="74" customFormat="false" ht="15" hidden="false" customHeight="false" outlineLevel="0" collapsed="false">
      <c r="A74" s="8" t="s">
        <v>182</v>
      </c>
      <c r="B74" s="8" t="s">
        <v>174</v>
      </c>
      <c r="F74" s="9" t="n">
        <v>5</v>
      </c>
      <c r="G74" s="10"/>
    </row>
    <row r="75" customFormat="false" ht="15" hidden="false" customHeight="false" outlineLevel="0" collapsed="false">
      <c r="A75" s="6" t="s">
        <v>183</v>
      </c>
      <c r="B75" s="7"/>
      <c r="C75" s="7"/>
      <c r="D75" s="7"/>
      <c r="E75" s="7"/>
      <c r="F75" s="7"/>
      <c r="G75" s="7"/>
    </row>
    <row r="76" customFormat="false" ht="15" hidden="false" customHeight="false" outlineLevel="0" collapsed="false">
      <c r="A76" s="8" t="s">
        <v>184</v>
      </c>
      <c r="B76" s="8" t="s">
        <v>167</v>
      </c>
      <c r="F76" s="13" t="n">
        <v>480</v>
      </c>
      <c r="G76" s="10" t="s">
        <v>185</v>
      </c>
    </row>
    <row r="77" customFormat="false" ht="15" hidden="false" customHeight="false" outlineLevel="0" collapsed="false">
      <c r="A77" s="8" t="s">
        <v>186</v>
      </c>
      <c r="B77" s="8" t="s">
        <v>187</v>
      </c>
      <c r="F77" s="13" t="n">
        <v>150</v>
      </c>
      <c r="G77" s="10"/>
    </row>
    <row r="78" customFormat="false" ht="15" hidden="false" customHeight="false" outlineLevel="0" collapsed="false">
      <c r="A78" s="8" t="s">
        <v>188</v>
      </c>
      <c r="B78" s="8" t="s">
        <v>167</v>
      </c>
      <c r="F78" s="13" t="n">
        <v>120</v>
      </c>
      <c r="G78" s="10"/>
    </row>
    <row r="79" customFormat="false" ht="15" hidden="false" customHeight="false" outlineLevel="0" collapsed="false">
      <c r="A79" s="8" t="s">
        <v>189</v>
      </c>
      <c r="B79" s="8" t="s">
        <v>187</v>
      </c>
      <c r="F79" s="13" t="n">
        <v>90</v>
      </c>
      <c r="G79" s="10"/>
    </row>
    <row r="80" customFormat="false" ht="15" hidden="false" customHeight="false" outlineLevel="0" collapsed="false">
      <c r="A80" s="8" t="s">
        <v>190</v>
      </c>
      <c r="B80" s="8" t="s">
        <v>151</v>
      </c>
      <c r="F80" s="13" t="n">
        <v>250</v>
      </c>
      <c r="G80" s="10"/>
    </row>
    <row r="81" customFormat="false" ht="15" hidden="false" customHeight="false" outlineLevel="0" collapsed="false">
      <c r="A81" s="8" t="s">
        <v>191</v>
      </c>
      <c r="B81" s="8" t="s">
        <v>67</v>
      </c>
      <c r="F81" s="13" t="n">
        <v>15</v>
      </c>
      <c r="G81" s="10"/>
    </row>
    <row r="82" customFormat="false" ht="15" hidden="false" customHeight="false" outlineLevel="0" collapsed="false">
      <c r="A82" s="8" t="s">
        <v>192</v>
      </c>
      <c r="B82" s="8" t="s">
        <v>187</v>
      </c>
      <c r="F82" s="13" t="n">
        <v>22</v>
      </c>
      <c r="G82" s="10"/>
    </row>
    <row r="83" customFormat="false" ht="15" hidden="false" customHeight="false" outlineLevel="0" collapsed="false">
      <c r="A83" s="8" t="s">
        <v>193</v>
      </c>
      <c r="B83" s="8" t="s">
        <v>194</v>
      </c>
      <c r="F83" s="13" t="n">
        <v>18</v>
      </c>
      <c r="G83" s="10"/>
    </row>
    <row r="84" customFormat="false" ht="15" hidden="false" customHeight="false" outlineLevel="0" collapsed="false">
      <c r="A84" s="8" t="s">
        <v>195</v>
      </c>
      <c r="B84" s="8" t="s">
        <v>196</v>
      </c>
      <c r="F84" s="13" t="n">
        <v>25</v>
      </c>
      <c r="G84" s="10"/>
    </row>
    <row r="85" customFormat="false" ht="15" hidden="false" customHeight="false" outlineLevel="0" collapsed="false">
      <c r="A85" s="8" t="s">
        <v>197</v>
      </c>
      <c r="B85" s="8" t="s">
        <v>171</v>
      </c>
      <c r="F85" s="13" t="n">
        <v>7000</v>
      </c>
      <c r="G85" s="10" t="s">
        <v>198</v>
      </c>
    </row>
    <row r="86" customFormat="false" ht="15" hidden="false" customHeight="false" outlineLevel="0" collapsed="false">
      <c r="A86" s="8" t="s">
        <v>199</v>
      </c>
      <c r="B86" s="8" t="s">
        <v>200</v>
      </c>
      <c r="F86" s="13" t="n">
        <v>2400</v>
      </c>
      <c r="G86" s="10" t="s">
        <v>154</v>
      </c>
    </row>
    <row r="87" customFormat="false" ht="15" hidden="false" customHeight="false" outlineLevel="0" collapsed="false">
      <c r="A87" s="8" t="s">
        <v>201</v>
      </c>
      <c r="B87" s="8" t="s">
        <v>137</v>
      </c>
      <c r="F87" s="9" t="n">
        <v>25</v>
      </c>
      <c r="G87" s="10"/>
    </row>
    <row r="88" customFormat="false" ht="15" hidden="false" customHeight="false" outlineLevel="0" collapsed="false">
      <c r="A88" s="8" t="s">
        <v>202</v>
      </c>
      <c r="B88" s="8" t="s">
        <v>137</v>
      </c>
      <c r="F88" s="9" t="n">
        <v>80</v>
      </c>
      <c r="G88" s="10"/>
    </row>
    <row r="89" customFormat="false" ht="15" hidden="false" customHeight="false" outlineLevel="0" collapsed="false">
      <c r="A89" s="8" t="s">
        <v>203</v>
      </c>
      <c r="B89" s="8" t="s">
        <v>167</v>
      </c>
      <c r="F89" s="13" t="n">
        <v>35</v>
      </c>
      <c r="G89" s="10"/>
    </row>
    <row r="90" customFormat="false" ht="15" hidden="false" customHeight="false" outlineLevel="0" collapsed="false">
      <c r="A90" s="8" t="s">
        <v>204</v>
      </c>
      <c r="B90" s="8" t="s">
        <v>171</v>
      </c>
      <c r="F90" s="13" t="n">
        <v>1800</v>
      </c>
      <c r="G90" s="10"/>
    </row>
    <row r="91" customFormat="false" ht="15" hidden="false" customHeight="false" outlineLevel="0" collapsed="false">
      <c r="A91" s="8" t="s">
        <v>205</v>
      </c>
      <c r="B91" s="8" t="s">
        <v>67</v>
      </c>
      <c r="F91" s="17" t="n">
        <v>1.5</v>
      </c>
      <c r="G91" s="10"/>
    </row>
    <row r="92" customFormat="false" ht="15" hidden="false" customHeight="false" outlineLevel="0" collapsed="false">
      <c r="A92" s="8" t="s">
        <v>206</v>
      </c>
      <c r="B92" s="8" t="s">
        <v>207</v>
      </c>
      <c r="F92" s="15" t="n">
        <v>0.01</v>
      </c>
      <c r="G92" s="10"/>
    </row>
    <row r="93" customFormat="false" ht="15" hidden="false" customHeight="false" outlineLevel="0" collapsed="false">
      <c r="A93" s="8" t="s">
        <v>208</v>
      </c>
      <c r="B93" s="8" t="s">
        <v>209</v>
      </c>
      <c r="F93" s="15" t="n">
        <v>0.03</v>
      </c>
      <c r="G93" s="10"/>
    </row>
    <row r="94" customFormat="false" ht="15" hidden="false" customHeight="false" outlineLevel="0" collapsed="false">
      <c r="A94" s="8" t="s">
        <v>210</v>
      </c>
      <c r="B94" s="8" t="s">
        <v>211</v>
      </c>
      <c r="F94" s="15" t="n">
        <v>0.02</v>
      </c>
      <c r="G94" s="10"/>
    </row>
    <row r="95" customFormat="false" ht="15" hidden="false" customHeight="false" outlineLevel="0" collapsed="false">
      <c r="A95" s="8" t="s">
        <v>212</v>
      </c>
      <c r="B95" s="8" t="s">
        <v>171</v>
      </c>
      <c r="F95" s="13" t="n">
        <v>2500</v>
      </c>
      <c r="G95" s="10"/>
    </row>
    <row r="96" customFormat="false" ht="15" hidden="false" customHeight="false" outlineLevel="0" collapsed="false">
      <c r="A96" s="8" t="s">
        <v>213</v>
      </c>
      <c r="B96" s="8" t="s">
        <v>214</v>
      </c>
      <c r="F96" s="15" t="n">
        <v>0.05</v>
      </c>
      <c r="G96" s="10"/>
    </row>
    <row r="97" customFormat="false" ht="15" hidden="false" customHeight="false" outlineLevel="0" collapsed="false">
      <c r="A97" s="6" t="s">
        <v>215</v>
      </c>
      <c r="B97" s="7"/>
      <c r="C97" s="7"/>
      <c r="D97" s="7"/>
      <c r="E97" s="7"/>
      <c r="F97" s="7"/>
      <c r="G97" s="7"/>
    </row>
    <row r="98" customFormat="false" ht="15" hidden="false" customHeight="false" outlineLevel="0" collapsed="false">
      <c r="A98" s="8" t="s">
        <v>216</v>
      </c>
      <c r="B98" s="8" t="s">
        <v>92</v>
      </c>
      <c r="F98" s="26" t="n">
        <v>1</v>
      </c>
      <c r="G98" s="10" t="s">
        <v>217</v>
      </c>
    </row>
    <row r="99" customFormat="false" ht="15" hidden="false" customHeight="false" outlineLevel="0" collapsed="false">
      <c r="A99" s="8" t="s">
        <v>218</v>
      </c>
      <c r="B99" s="8" t="s">
        <v>219</v>
      </c>
      <c r="F99" s="15" t="n">
        <v>0.08</v>
      </c>
      <c r="G99" s="10"/>
    </row>
    <row r="100" customFormat="false" ht="15" hidden="false" customHeight="false" outlineLevel="0" collapsed="false">
      <c r="A100" s="8" t="s">
        <v>220</v>
      </c>
      <c r="B100" s="8" t="s">
        <v>221</v>
      </c>
      <c r="F100" s="15" t="n">
        <v>0.015</v>
      </c>
      <c r="G100" s="10"/>
    </row>
    <row r="101" customFormat="false" ht="15" hidden="false" customHeight="false" outlineLevel="0" collapsed="false">
      <c r="A101" s="8" t="s">
        <v>222</v>
      </c>
      <c r="B101" s="8" t="s">
        <v>75</v>
      </c>
      <c r="F101" s="15" t="n">
        <v>0.4</v>
      </c>
      <c r="G101" s="10" t="s">
        <v>223</v>
      </c>
    </row>
    <row r="102" customFormat="false" ht="15" hidden="false" customHeight="false" outlineLevel="0" collapsed="false">
      <c r="A102" s="8" t="s">
        <v>224</v>
      </c>
      <c r="B102" s="8" t="s">
        <v>70</v>
      </c>
      <c r="F102" s="24" t="n">
        <v>0.12</v>
      </c>
      <c r="G102" s="10" t="s">
        <v>225</v>
      </c>
    </row>
    <row r="103" customFormat="false" ht="15" hidden="false" customHeight="false" outlineLevel="0" collapsed="false">
      <c r="A103" s="8" t="s">
        <v>226</v>
      </c>
      <c r="B103" s="8" t="s">
        <v>174</v>
      </c>
      <c r="F103" s="9" t="n">
        <v>8</v>
      </c>
      <c r="G103" s="10"/>
    </row>
    <row r="104" customFormat="false" ht="15" hidden="false" customHeight="false" outlineLevel="0" collapsed="false">
      <c r="A104" s="8" t="s">
        <v>227</v>
      </c>
      <c r="B104" s="8" t="s">
        <v>174</v>
      </c>
      <c r="F104" s="9" t="n">
        <v>1</v>
      </c>
      <c r="G104" s="10"/>
    </row>
    <row r="105" customFormat="false" ht="15" hidden="false" customHeight="false" outlineLevel="0" collapsed="false">
      <c r="A105" s="6" t="s">
        <v>228</v>
      </c>
      <c r="B105" s="7"/>
      <c r="C105" s="7"/>
      <c r="D105" s="7"/>
      <c r="E105" s="7"/>
      <c r="F105" s="7"/>
      <c r="G105" s="7"/>
    </row>
    <row r="106" customFormat="false" ht="15" hidden="false" customHeight="false" outlineLevel="0" collapsed="false">
      <c r="A106" s="8" t="s">
        <v>229</v>
      </c>
      <c r="B106" s="8" t="s">
        <v>230</v>
      </c>
      <c r="F106" s="9" t="n">
        <v>2</v>
      </c>
      <c r="G106" s="10" t="s">
        <v>231</v>
      </c>
    </row>
    <row r="107" customFormat="false" ht="15" hidden="false" customHeight="false" outlineLevel="0" collapsed="false">
      <c r="A107" s="8" t="s">
        <v>232</v>
      </c>
      <c r="B107" s="8" t="s">
        <v>230</v>
      </c>
      <c r="F107" s="9" t="n">
        <v>4</v>
      </c>
      <c r="G107" s="10"/>
    </row>
  </sheetData>
  <dataValidations count="2">
    <dataValidation allowBlank="false" errorStyle="stop" operator="between" showDropDown="false" showErrorMessage="false" showInputMessage="false" sqref="F6" type="list">
      <formula1>"1,2,3"</formula1>
      <formula2>0</formula2>
    </dataValidation>
    <dataValidation allowBlank="false" errorStyle="stop" operator="between" showDropDown="false" showErrorMessage="false" showInputMessage="false" sqref="F8:F9 F12 F19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42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233</v>
      </c>
    </row>
    <row r="2" customFormat="false" ht="15" hidden="false" customHeight="false" outlineLevel="0" collapsed="false">
      <c r="A2" s="2" t="s">
        <v>234</v>
      </c>
    </row>
    <row r="4" customFormat="false" ht="15" hidden="false" customHeight="false" outlineLevel="0" collapsed="false">
      <c r="A4" s="5" t="s">
        <v>235</v>
      </c>
      <c r="B4" s="5" t="s">
        <v>236</v>
      </c>
      <c r="C4" s="5" t="s">
        <v>237</v>
      </c>
      <c r="D4" s="5" t="s">
        <v>36</v>
      </c>
      <c r="E4" s="5" t="s">
        <v>238</v>
      </c>
      <c r="F4" s="5" t="s">
        <v>239</v>
      </c>
      <c r="G4" s="5" t="s">
        <v>240</v>
      </c>
      <c r="H4" s="5" t="s">
        <v>241</v>
      </c>
      <c r="I4" s="5" t="s">
        <v>242</v>
      </c>
      <c r="J4" s="5" t="s">
        <v>243</v>
      </c>
      <c r="K4" s="5" t="s">
        <v>244</v>
      </c>
      <c r="L4" s="5" t="s">
        <v>245</v>
      </c>
    </row>
    <row r="5" customFormat="false" ht="15" hidden="false" customHeight="false" outlineLevel="0" collapsed="false">
      <c r="A5" s="6" t="s">
        <v>246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customFormat="false" ht="15" hidden="false" customHeight="false" outlineLevel="0" collapsed="false">
      <c r="A6" s="8" t="s">
        <v>247</v>
      </c>
      <c r="B6" s="8" t="s">
        <v>248</v>
      </c>
      <c r="C6" s="27" t="n">
        <f aca="false">Assumptions!$F$31</f>
        <v>40</v>
      </c>
      <c r="D6" s="8" t="s">
        <v>104</v>
      </c>
      <c r="E6" s="28" t="n">
        <f aca="false">Assumptions!$F$70</f>
        <v>1100</v>
      </c>
      <c r="F6" s="29" t="n">
        <f aca="false">Assumptions!$F$8</f>
        <v>1</v>
      </c>
      <c r="G6" s="30" t="n">
        <f aca="false">1</f>
        <v>1</v>
      </c>
      <c r="H6" s="31" t="n">
        <f aca="false">C6*E6*F6*G6</f>
        <v>44000</v>
      </c>
      <c r="I6" s="9" t="n">
        <v>0</v>
      </c>
      <c r="J6" s="31" t="n">
        <f aca="false">IF(I6&gt;0,H6/I6,0)</f>
        <v>0</v>
      </c>
      <c r="K6" s="10" t="s">
        <v>249</v>
      </c>
      <c r="L6" s="32" t="s">
        <v>250</v>
      </c>
    </row>
    <row r="7" customFormat="false" ht="15" hidden="false" customHeight="false" outlineLevel="0" collapsed="false">
      <c r="A7" s="8" t="s">
        <v>251</v>
      </c>
      <c r="B7" s="8" t="s">
        <v>252</v>
      </c>
      <c r="C7" s="27" t="n">
        <f aca="false">Assumptions!$F$33</f>
        <v>30</v>
      </c>
      <c r="D7" s="8" t="s">
        <v>104</v>
      </c>
      <c r="E7" s="28" t="n">
        <f aca="false">Assumptions!$F$71</f>
        <v>800</v>
      </c>
      <c r="F7" s="29" t="n">
        <f aca="false">Assumptions!$F$9</f>
        <v>1</v>
      </c>
      <c r="G7" s="30" t="n">
        <f aca="false">1</f>
        <v>1</v>
      </c>
      <c r="H7" s="31" t="n">
        <f aca="false">C7*E7*F7*G7</f>
        <v>24000</v>
      </c>
      <c r="I7" s="9" t="n">
        <v>0</v>
      </c>
      <c r="J7" s="31" t="n">
        <f aca="false">IF(I7&gt;0,H7/I7,0)</f>
        <v>0</v>
      </c>
      <c r="K7" s="10" t="s">
        <v>253</v>
      </c>
      <c r="L7" s="32" t="s">
        <v>250</v>
      </c>
    </row>
    <row r="8" customFormat="false" ht="15" hidden="false" customHeight="false" outlineLevel="0" collapsed="false">
      <c r="A8" s="8" t="s">
        <v>254</v>
      </c>
      <c r="B8" s="8" t="s">
        <v>252</v>
      </c>
      <c r="C8" s="33" t="n">
        <f aca="false">ROUNDUP(Assumptions!$F$33/Assumptions!$F$47,0)</f>
        <v>2</v>
      </c>
      <c r="D8" s="8" t="s">
        <v>104</v>
      </c>
      <c r="E8" s="28" t="n">
        <f aca="false">Assumptions!$F$73</f>
        <v>1200</v>
      </c>
      <c r="F8" s="29" t="n">
        <f aca="false">Assumptions!$F$9</f>
        <v>1</v>
      </c>
      <c r="G8" s="30" t="n">
        <f aca="false">1</f>
        <v>1</v>
      </c>
      <c r="H8" s="31" t="n">
        <f aca="false">C8*E8*F8*G8</f>
        <v>2400</v>
      </c>
      <c r="I8" s="9" t="n">
        <v>5</v>
      </c>
      <c r="J8" s="31" t="n">
        <f aca="false">IF(I8&gt;0,H8/I8,0)</f>
        <v>480</v>
      </c>
      <c r="K8" s="10"/>
      <c r="L8" s="32" t="s">
        <v>250</v>
      </c>
    </row>
    <row r="9" customFormat="false" ht="15" hidden="false" customHeight="false" outlineLevel="0" collapsed="false">
      <c r="A9" s="6" t="s">
        <v>255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customFormat="false" ht="15" hidden="false" customHeight="false" outlineLevel="0" collapsed="false">
      <c r="A10" s="8" t="s">
        <v>256</v>
      </c>
      <c r="B10" s="8" t="s">
        <v>248</v>
      </c>
      <c r="C10" s="33" t="n">
        <f aca="false">Assumptions!$F$31*5</f>
        <v>200</v>
      </c>
      <c r="D10" s="8" t="s">
        <v>257</v>
      </c>
      <c r="E10" s="13" t="n">
        <v>45</v>
      </c>
      <c r="F10" s="29" t="n">
        <f aca="false">Assumptions!$F$8</f>
        <v>1</v>
      </c>
      <c r="G10" s="34" t="n">
        <f aca="false">Assumptions!$F$98</f>
        <v>1</v>
      </c>
      <c r="H10" s="31" t="n">
        <f aca="false">C10*E10*F10*G10</f>
        <v>9000</v>
      </c>
      <c r="I10" s="9" t="n">
        <v>20</v>
      </c>
      <c r="J10" s="31" t="n">
        <f aca="false">IF(I10&gt;0,H10/I10,0)</f>
        <v>450</v>
      </c>
      <c r="K10" s="10" t="s">
        <v>258</v>
      </c>
      <c r="L10" s="32" t="s">
        <v>259</v>
      </c>
    </row>
    <row r="11" customFormat="false" ht="15" hidden="false" customHeight="false" outlineLevel="0" collapsed="false">
      <c r="A11" s="8" t="s">
        <v>260</v>
      </c>
      <c r="B11" s="8" t="s">
        <v>248</v>
      </c>
      <c r="C11" s="16" t="n">
        <v>1</v>
      </c>
      <c r="D11" s="8" t="s">
        <v>261</v>
      </c>
      <c r="E11" s="13" t="n">
        <v>5000</v>
      </c>
      <c r="F11" s="29" t="n">
        <f aca="false">Assumptions!$F$8</f>
        <v>1</v>
      </c>
      <c r="G11" s="34" t="n">
        <f aca="false">Assumptions!$F$98</f>
        <v>1</v>
      </c>
      <c r="H11" s="31" t="n">
        <f aca="false">C11*E11*F11*G11</f>
        <v>5000</v>
      </c>
      <c r="I11" s="9" t="n">
        <v>20</v>
      </c>
      <c r="J11" s="31" t="n">
        <f aca="false">IF(I11&gt;0,H11/I11,0)</f>
        <v>250</v>
      </c>
      <c r="K11" s="10"/>
      <c r="L11" s="32" t="s">
        <v>259</v>
      </c>
    </row>
    <row r="12" customFormat="false" ht="15" hidden="false" customHeight="false" outlineLevel="0" collapsed="false">
      <c r="A12" s="8" t="s">
        <v>262</v>
      </c>
      <c r="B12" s="8" t="s">
        <v>248</v>
      </c>
      <c r="C12" s="33" t="n">
        <f aca="false">ROUNDUP(Assumptions!$F$31/12,0)</f>
        <v>4</v>
      </c>
      <c r="D12" s="8" t="s">
        <v>263</v>
      </c>
      <c r="E12" s="13" t="n">
        <v>3500</v>
      </c>
      <c r="F12" s="29" t="n">
        <f aca="false">Assumptions!$F$8</f>
        <v>1</v>
      </c>
      <c r="G12" s="34" t="n">
        <f aca="false">Assumptions!$F$98</f>
        <v>1</v>
      </c>
      <c r="H12" s="31" t="n">
        <f aca="false">C12*E12*F12*G12</f>
        <v>14000</v>
      </c>
      <c r="I12" s="9" t="n">
        <v>10</v>
      </c>
      <c r="J12" s="31" t="n">
        <f aca="false">IF(I12&gt;0,H12/I12,0)</f>
        <v>1400</v>
      </c>
      <c r="K12" s="10" t="s">
        <v>264</v>
      </c>
      <c r="L12" s="32" t="s">
        <v>259</v>
      </c>
    </row>
    <row r="13" customFormat="false" ht="15" hidden="false" customHeight="false" outlineLevel="0" collapsed="false">
      <c r="A13" s="8" t="s">
        <v>265</v>
      </c>
      <c r="B13" s="8" t="s">
        <v>248</v>
      </c>
      <c r="C13" s="16" t="n">
        <v>1</v>
      </c>
      <c r="D13" s="8" t="s">
        <v>266</v>
      </c>
      <c r="E13" s="13" t="n">
        <v>6000</v>
      </c>
      <c r="F13" s="29" t="n">
        <f aca="false">Assumptions!$F$8</f>
        <v>1</v>
      </c>
      <c r="G13" s="34" t="n">
        <f aca="false">Assumptions!$F$98</f>
        <v>1</v>
      </c>
      <c r="H13" s="31" t="n">
        <f aca="false">C13*E13*F13*G13</f>
        <v>6000</v>
      </c>
      <c r="I13" s="9" t="n">
        <v>12</v>
      </c>
      <c r="J13" s="31" t="n">
        <f aca="false">IF(I13&gt;0,H13/I13,0)</f>
        <v>500</v>
      </c>
      <c r="K13" s="10"/>
      <c r="L13" s="32" t="s">
        <v>259</v>
      </c>
    </row>
    <row r="14" customFormat="false" ht="15" hidden="false" customHeight="false" outlineLevel="0" collapsed="false">
      <c r="A14" s="8" t="s">
        <v>267</v>
      </c>
      <c r="B14" s="8" t="s">
        <v>268</v>
      </c>
      <c r="C14" s="16" t="n">
        <v>1</v>
      </c>
      <c r="D14" s="8" t="s">
        <v>266</v>
      </c>
      <c r="E14" s="13" t="n">
        <v>5000</v>
      </c>
      <c r="F14" s="35" t="n">
        <f aca="false">1</f>
        <v>1</v>
      </c>
      <c r="G14" s="34" t="n">
        <f aca="false">Assumptions!$F$98</f>
        <v>1</v>
      </c>
      <c r="H14" s="31" t="n">
        <f aca="false">C14*E14*F14*G14</f>
        <v>5000</v>
      </c>
      <c r="I14" s="9" t="n">
        <v>10</v>
      </c>
      <c r="J14" s="31" t="n">
        <f aca="false">IF(I14&gt;0,H14/I14,0)</f>
        <v>500</v>
      </c>
      <c r="K14" s="10"/>
      <c r="L14" s="32" t="s">
        <v>259</v>
      </c>
    </row>
    <row r="15" customFormat="false" ht="15" hidden="false" customHeight="false" outlineLevel="0" collapsed="false">
      <c r="A15" s="8" t="s">
        <v>269</v>
      </c>
      <c r="B15" s="8" t="s">
        <v>248</v>
      </c>
      <c r="C15" s="16" t="n">
        <v>1</v>
      </c>
      <c r="D15" s="8" t="s">
        <v>261</v>
      </c>
      <c r="E15" s="13" t="n">
        <v>2500</v>
      </c>
      <c r="F15" s="29" t="n">
        <f aca="false">Assumptions!$F$8</f>
        <v>1</v>
      </c>
      <c r="G15" s="34" t="n">
        <f aca="false">Assumptions!$F$98</f>
        <v>1</v>
      </c>
      <c r="H15" s="31" t="n">
        <f aca="false">C15*E15*F15*G15</f>
        <v>2500</v>
      </c>
      <c r="I15" s="9" t="n">
        <v>15</v>
      </c>
      <c r="J15" s="31" t="n">
        <f aca="false">IF(I15&gt;0,H15/I15,0)</f>
        <v>166.666666666667</v>
      </c>
      <c r="K15" s="10"/>
      <c r="L15" s="32" t="s">
        <v>259</v>
      </c>
    </row>
    <row r="16" customFormat="false" ht="15" hidden="false" customHeight="false" outlineLevel="0" collapsed="false">
      <c r="A16" s="8" t="s">
        <v>270</v>
      </c>
      <c r="B16" s="8" t="s">
        <v>248</v>
      </c>
      <c r="C16" s="16" t="n">
        <v>1</v>
      </c>
      <c r="D16" s="8" t="s">
        <v>261</v>
      </c>
      <c r="E16" s="13" t="n">
        <v>1200</v>
      </c>
      <c r="F16" s="29" t="n">
        <f aca="false">Assumptions!$F$8</f>
        <v>1</v>
      </c>
      <c r="G16" s="34" t="n">
        <f aca="false">Assumptions!$F$98</f>
        <v>1</v>
      </c>
      <c r="H16" s="31" t="n">
        <f aca="false">C16*E16*F16*G16</f>
        <v>1200</v>
      </c>
      <c r="I16" s="9" t="n">
        <v>5</v>
      </c>
      <c r="J16" s="31" t="n">
        <f aca="false">IF(I16&gt;0,H16/I16,0)</f>
        <v>240</v>
      </c>
      <c r="K16" s="10"/>
      <c r="L16" s="32" t="s">
        <v>259</v>
      </c>
    </row>
    <row r="17" customFormat="false" ht="15" hidden="false" customHeight="false" outlineLevel="0" collapsed="false">
      <c r="A17" s="8" t="s">
        <v>271</v>
      </c>
      <c r="B17" s="8" t="s">
        <v>272</v>
      </c>
      <c r="C17" s="16" t="n">
        <v>1</v>
      </c>
      <c r="D17" s="8" t="s">
        <v>261</v>
      </c>
      <c r="E17" s="13" t="n">
        <v>7000</v>
      </c>
      <c r="F17" s="35" t="n">
        <f aca="false">IF(Assumptions!$F$51&gt;0,1,0)</f>
        <v>1</v>
      </c>
      <c r="G17" s="34" t="n">
        <f aca="false">Assumptions!$F$98</f>
        <v>1</v>
      </c>
      <c r="H17" s="31" t="n">
        <f aca="false">C17*E17*F17*G17</f>
        <v>7000</v>
      </c>
      <c r="I17" s="9" t="n">
        <v>10</v>
      </c>
      <c r="J17" s="31" t="n">
        <f aca="false">IF(I17&gt;0,H17/I17,0)</f>
        <v>700</v>
      </c>
      <c r="K17" s="10" t="s">
        <v>273</v>
      </c>
      <c r="L17" s="32" t="s">
        <v>259</v>
      </c>
    </row>
    <row r="18" customFormat="false" ht="15" hidden="false" customHeight="false" outlineLevel="0" collapsed="false">
      <c r="A18" s="6" t="s">
        <v>274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customFormat="false" ht="15" hidden="false" customHeight="false" outlineLevel="0" collapsed="false">
      <c r="A19" s="8" t="s">
        <v>275</v>
      </c>
      <c r="B19" s="8" t="s">
        <v>268</v>
      </c>
      <c r="C19" s="16" t="n">
        <v>1</v>
      </c>
      <c r="D19" s="8" t="s">
        <v>261</v>
      </c>
      <c r="E19" s="13" t="n">
        <v>6000</v>
      </c>
      <c r="F19" s="35" t="n">
        <f aca="false">1</f>
        <v>1</v>
      </c>
      <c r="G19" s="34" t="n">
        <f aca="false">Assumptions!$F$98</f>
        <v>1</v>
      </c>
      <c r="H19" s="31" t="n">
        <f aca="false">C19*E19*F19*G19</f>
        <v>6000</v>
      </c>
      <c r="I19" s="9" t="n">
        <v>20</v>
      </c>
      <c r="J19" s="31" t="n">
        <f aca="false">IF(I19&gt;0,H19/I19,0)</f>
        <v>300</v>
      </c>
      <c r="K19" s="10"/>
      <c r="L19" s="32" t="s">
        <v>259</v>
      </c>
    </row>
    <row r="20" customFormat="false" ht="15" hidden="false" customHeight="false" outlineLevel="0" collapsed="false">
      <c r="A20" s="8" t="s">
        <v>276</v>
      </c>
      <c r="B20" s="8" t="s">
        <v>268</v>
      </c>
      <c r="C20" s="16" t="n">
        <v>1</v>
      </c>
      <c r="D20" s="8" t="s">
        <v>266</v>
      </c>
      <c r="E20" s="13" t="n">
        <v>4000</v>
      </c>
      <c r="F20" s="35" t="n">
        <f aca="false">1</f>
        <v>1</v>
      </c>
      <c r="G20" s="34" t="n">
        <f aca="false">Assumptions!$F$98</f>
        <v>1</v>
      </c>
      <c r="H20" s="31" t="n">
        <f aca="false">C20*E20*F20*G20</f>
        <v>4000</v>
      </c>
      <c r="I20" s="9" t="n">
        <v>10</v>
      </c>
      <c r="J20" s="31" t="n">
        <f aca="false">IF(I20&gt;0,H20/I20,0)</f>
        <v>400</v>
      </c>
      <c r="K20" s="10"/>
      <c r="L20" s="32" t="s">
        <v>259</v>
      </c>
    </row>
    <row r="21" customFormat="false" ht="15" hidden="false" customHeight="false" outlineLevel="0" collapsed="false">
      <c r="A21" s="8" t="s">
        <v>277</v>
      </c>
      <c r="B21" s="8" t="s">
        <v>268</v>
      </c>
      <c r="C21" s="16" t="n">
        <v>1</v>
      </c>
      <c r="D21" s="8" t="s">
        <v>261</v>
      </c>
      <c r="E21" s="13" t="n">
        <v>10000</v>
      </c>
      <c r="F21" s="35" t="n">
        <f aca="false">1</f>
        <v>1</v>
      </c>
      <c r="G21" s="34" t="n">
        <f aca="false">Assumptions!$F$98</f>
        <v>1</v>
      </c>
      <c r="H21" s="31" t="n">
        <f aca="false">C21*E21*F21*G21</f>
        <v>10000</v>
      </c>
      <c r="I21" s="9" t="n">
        <v>15</v>
      </c>
      <c r="J21" s="31" t="n">
        <f aca="false">IF(I21&gt;0,H21/I21,0)</f>
        <v>666.666666666667</v>
      </c>
      <c r="K21" s="10"/>
      <c r="L21" s="32" t="s">
        <v>259</v>
      </c>
    </row>
    <row r="22" customFormat="false" ht="15" hidden="false" customHeight="false" outlineLevel="0" collapsed="false">
      <c r="A22" s="8" t="s">
        <v>278</v>
      </c>
      <c r="B22" s="8" t="s">
        <v>268</v>
      </c>
      <c r="C22" s="16" t="n">
        <v>1</v>
      </c>
      <c r="D22" s="8" t="s">
        <v>261</v>
      </c>
      <c r="E22" s="13" t="n">
        <v>3000</v>
      </c>
      <c r="F22" s="35" t="n">
        <f aca="false">1</f>
        <v>1</v>
      </c>
      <c r="G22" s="34" t="n">
        <f aca="false">Assumptions!$F$98</f>
        <v>1</v>
      </c>
      <c r="H22" s="31" t="n">
        <f aca="false">C22*E22*F22*G22</f>
        <v>3000</v>
      </c>
      <c r="I22" s="9" t="n">
        <v>10</v>
      </c>
      <c r="J22" s="31" t="n">
        <f aca="false">IF(I22&gt;0,H22/I22,0)</f>
        <v>300</v>
      </c>
      <c r="K22" s="10"/>
      <c r="L22" s="32" t="s">
        <v>259</v>
      </c>
    </row>
    <row r="23" customFormat="false" ht="15" hidden="false" customHeight="false" outlineLevel="0" collapsed="false">
      <c r="A23" s="8" t="s">
        <v>279</v>
      </c>
      <c r="B23" s="8" t="s">
        <v>268</v>
      </c>
      <c r="C23" s="16" t="n">
        <v>1</v>
      </c>
      <c r="D23" s="8" t="s">
        <v>261</v>
      </c>
      <c r="E23" s="13" t="n">
        <v>4000</v>
      </c>
      <c r="F23" s="35" t="n">
        <f aca="false">1</f>
        <v>1</v>
      </c>
      <c r="G23" s="34" t="n">
        <f aca="false">Assumptions!$F$98</f>
        <v>1</v>
      </c>
      <c r="H23" s="31" t="n">
        <f aca="false">C23*E23*F23*G23</f>
        <v>4000</v>
      </c>
      <c r="I23" s="9" t="n">
        <v>15</v>
      </c>
      <c r="J23" s="31" t="n">
        <f aca="false">IF(I23&gt;0,H23/I23,0)</f>
        <v>266.666666666667</v>
      </c>
      <c r="K23" s="10"/>
      <c r="L23" s="32" t="s">
        <v>259</v>
      </c>
    </row>
    <row r="24" customFormat="false" ht="15" hidden="false" customHeight="false" outlineLevel="0" collapsed="false">
      <c r="A24" s="8" t="s">
        <v>280</v>
      </c>
      <c r="B24" s="8" t="s">
        <v>268</v>
      </c>
      <c r="C24" s="33" t="n">
        <f aca="false">ROUNDUP(4*SQRT(Assumptions!$F$10*10000)/1000,1)</f>
        <v>4.9</v>
      </c>
      <c r="D24" s="8" t="s">
        <v>281</v>
      </c>
      <c r="E24" s="13" t="n">
        <v>3000</v>
      </c>
      <c r="F24" s="35" t="n">
        <f aca="false">1</f>
        <v>1</v>
      </c>
      <c r="G24" s="34" t="n">
        <f aca="false">Assumptions!$F$98</f>
        <v>1</v>
      </c>
      <c r="H24" s="31" t="n">
        <f aca="false">C24*E24*F24*G24</f>
        <v>14700</v>
      </c>
      <c r="I24" s="9" t="n">
        <v>15</v>
      </c>
      <c r="J24" s="31" t="n">
        <f aca="false">IF(I24&gt;0,H24/I24,0)</f>
        <v>980</v>
      </c>
      <c r="K24" s="10" t="s">
        <v>282</v>
      </c>
      <c r="L24" s="32" t="s">
        <v>259</v>
      </c>
    </row>
    <row r="25" customFormat="false" ht="15" hidden="false" customHeight="false" outlineLevel="0" collapsed="false">
      <c r="A25" s="8" t="s">
        <v>283</v>
      </c>
      <c r="B25" s="8" t="s">
        <v>268</v>
      </c>
      <c r="C25" s="16" t="n">
        <v>8</v>
      </c>
      <c r="D25" s="8" t="s">
        <v>281</v>
      </c>
      <c r="E25" s="13" t="n">
        <v>800</v>
      </c>
      <c r="F25" s="35" t="n">
        <f aca="false">1</f>
        <v>1</v>
      </c>
      <c r="G25" s="34" t="n">
        <f aca="false">Assumptions!$F$98</f>
        <v>1</v>
      </c>
      <c r="H25" s="31" t="n">
        <f aca="false">C25*E25*F25*G25</f>
        <v>6400</v>
      </c>
      <c r="I25" s="9" t="n">
        <v>10</v>
      </c>
      <c r="J25" s="31" t="n">
        <f aca="false">IF(I25&gt;0,H25/I25,0)</f>
        <v>640</v>
      </c>
      <c r="K25" s="10"/>
      <c r="L25" s="32" t="s">
        <v>259</v>
      </c>
    </row>
    <row r="26" customFormat="false" ht="15" hidden="false" customHeight="false" outlineLevel="0" collapsed="false">
      <c r="A26" s="8" t="s">
        <v>284</v>
      </c>
      <c r="B26" s="8" t="s">
        <v>268</v>
      </c>
      <c r="C26" s="33" t="n">
        <f aca="false">Assumptions!$F$31*0.25*Assumptions!$F$8+Assumptions!$F$33*0.1*Assumptions!$F$9</f>
        <v>13</v>
      </c>
      <c r="D26" s="8" t="s">
        <v>285</v>
      </c>
      <c r="E26" s="13" t="n">
        <v>500</v>
      </c>
      <c r="F26" s="35" t="n">
        <f aca="false">1</f>
        <v>1</v>
      </c>
      <c r="G26" s="34" t="n">
        <f aca="false">Assumptions!$F$98</f>
        <v>1</v>
      </c>
      <c r="H26" s="31" t="n">
        <f aca="false">C26*E26*F26*G26</f>
        <v>6500</v>
      </c>
      <c r="I26" s="9" t="n">
        <v>10</v>
      </c>
      <c r="J26" s="31" t="n">
        <f aca="false">IF(I26&gt;0,H26/I26,0)</f>
        <v>650</v>
      </c>
      <c r="K26" s="10"/>
      <c r="L26" s="32" t="s">
        <v>259</v>
      </c>
    </row>
    <row r="27" customFormat="false" ht="15" hidden="false" customHeight="false" outlineLevel="0" collapsed="false">
      <c r="A27" s="6" t="s">
        <v>286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customFormat="false" ht="15" hidden="false" customHeight="false" outlineLevel="0" collapsed="false">
      <c r="A28" s="8" t="s">
        <v>287</v>
      </c>
      <c r="B28" s="8" t="s">
        <v>268</v>
      </c>
      <c r="C28" s="16" t="n">
        <v>1</v>
      </c>
      <c r="D28" s="8" t="s">
        <v>261</v>
      </c>
      <c r="E28" s="13" t="n">
        <v>5000</v>
      </c>
      <c r="F28" s="35" t="n">
        <f aca="false">1</f>
        <v>1</v>
      </c>
      <c r="G28" s="34" t="n">
        <f aca="false">Assumptions!$F$98</f>
        <v>1</v>
      </c>
      <c r="H28" s="31" t="n">
        <f aca="false">C28*E28*F28*G28</f>
        <v>5000</v>
      </c>
      <c r="I28" s="9" t="n">
        <v>15</v>
      </c>
      <c r="J28" s="31" t="n">
        <f aca="false">IF(I28&gt;0,H28/I28,0)</f>
        <v>333.333333333333</v>
      </c>
      <c r="K28" s="10"/>
      <c r="L28" s="32" t="s">
        <v>259</v>
      </c>
    </row>
    <row r="29" customFormat="false" ht="15" hidden="false" customHeight="false" outlineLevel="0" collapsed="false">
      <c r="A29" s="8" t="s">
        <v>288</v>
      </c>
      <c r="B29" s="8" t="s">
        <v>252</v>
      </c>
      <c r="C29" s="16" t="n">
        <v>1</v>
      </c>
      <c r="D29" s="8" t="s">
        <v>261</v>
      </c>
      <c r="E29" s="13" t="n">
        <v>2500</v>
      </c>
      <c r="F29" s="29" t="n">
        <f aca="false">Assumptions!$F$9</f>
        <v>1</v>
      </c>
      <c r="G29" s="34" t="n">
        <f aca="false">Assumptions!$F$98</f>
        <v>1</v>
      </c>
      <c r="H29" s="31" t="n">
        <f aca="false">C29*E29*F29*G29</f>
        <v>2500</v>
      </c>
      <c r="I29" s="9" t="n">
        <v>15</v>
      </c>
      <c r="J29" s="31" t="n">
        <f aca="false">IF(I29&gt;0,H29/I29,0)</f>
        <v>166.666666666667</v>
      </c>
      <c r="K29" s="10"/>
      <c r="L29" s="32" t="s">
        <v>259</v>
      </c>
    </row>
    <row r="30" customFormat="false" ht="15" hidden="false" customHeight="false" outlineLevel="0" collapsed="false">
      <c r="A30" s="8" t="s">
        <v>289</v>
      </c>
      <c r="B30" s="8" t="s">
        <v>252</v>
      </c>
      <c r="C30" s="16" t="n">
        <v>1</v>
      </c>
      <c r="D30" s="8" t="s">
        <v>266</v>
      </c>
      <c r="E30" s="13" t="n">
        <v>1000</v>
      </c>
      <c r="F30" s="29" t="n">
        <f aca="false">Assumptions!$F$9</f>
        <v>1</v>
      </c>
      <c r="G30" s="34" t="n">
        <f aca="false">Assumptions!$F$98</f>
        <v>1</v>
      </c>
      <c r="H30" s="31" t="n">
        <f aca="false">C30*E30*F30*G30</f>
        <v>1000</v>
      </c>
      <c r="I30" s="9" t="n">
        <v>10</v>
      </c>
      <c r="J30" s="31" t="n">
        <f aca="false">IF(I30&gt;0,H30/I30,0)</f>
        <v>100</v>
      </c>
      <c r="K30" s="10"/>
      <c r="L30" s="32" t="s">
        <v>259</v>
      </c>
    </row>
    <row r="31" customFormat="false" ht="15" hidden="false" customHeight="false" outlineLevel="0" collapsed="false">
      <c r="A31" s="6" t="s">
        <v>290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customFormat="false" ht="15" hidden="false" customHeight="false" outlineLevel="0" collapsed="false">
      <c r="A32" s="8" t="s">
        <v>291</v>
      </c>
      <c r="B32" s="8" t="s">
        <v>268</v>
      </c>
      <c r="C32" s="16" t="n">
        <v>1</v>
      </c>
      <c r="D32" s="8" t="s">
        <v>266</v>
      </c>
      <c r="E32" s="13" t="n">
        <v>18000</v>
      </c>
      <c r="F32" s="35" t="n">
        <f aca="false">1</f>
        <v>1</v>
      </c>
      <c r="G32" s="34" t="n">
        <f aca="false">Assumptions!$F$98</f>
        <v>1</v>
      </c>
      <c r="H32" s="31" t="n">
        <f aca="false">C32*E32*F32*G32</f>
        <v>18000</v>
      </c>
      <c r="I32" s="9" t="n">
        <v>10</v>
      </c>
      <c r="J32" s="31" t="n">
        <f aca="false">IF(I32&gt;0,H32/I32,0)</f>
        <v>1800</v>
      </c>
      <c r="K32" s="10"/>
      <c r="L32" s="32" t="s">
        <v>259</v>
      </c>
    </row>
    <row r="33" customFormat="false" ht="15" hidden="false" customHeight="false" outlineLevel="0" collapsed="false">
      <c r="A33" s="8" t="s">
        <v>292</v>
      </c>
      <c r="B33" s="8" t="s">
        <v>268</v>
      </c>
      <c r="C33" s="16" t="n">
        <v>1</v>
      </c>
      <c r="D33" s="8" t="s">
        <v>261</v>
      </c>
      <c r="E33" s="13" t="n">
        <v>3000</v>
      </c>
      <c r="F33" s="35" t="n">
        <f aca="false">1</f>
        <v>1</v>
      </c>
      <c r="G33" s="34" t="n">
        <f aca="false">Assumptions!$F$98</f>
        <v>1</v>
      </c>
      <c r="H33" s="31" t="n">
        <f aca="false">C33*E33*F33*G33</f>
        <v>3000</v>
      </c>
      <c r="I33" s="9" t="n">
        <v>8</v>
      </c>
      <c r="J33" s="31" t="n">
        <f aca="false">IF(I33&gt;0,H33/I33,0)</f>
        <v>375</v>
      </c>
      <c r="K33" s="10"/>
      <c r="L33" s="32" t="s">
        <v>259</v>
      </c>
    </row>
    <row r="34" customFormat="false" ht="15" hidden="false" customHeight="false" outlineLevel="0" collapsed="false">
      <c r="A34" s="8" t="s">
        <v>293</v>
      </c>
      <c r="B34" s="8" t="s">
        <v>268</v>
      </c>
      <c r="C34" s="16" t="n">
        <v>1</v>
      </c>
      <c r="D34" s="8" t="s">
        <v>266</v>
      </c>
      <c r="E34" s="13" t="n">
        <v>14000</v>
      </c>
      <c r="F34" s="35" t="n">
        <f aca="false">1</f>
        <v>1</v>
      </c>
      <c r="G34" s="34" t="n">
        <f aca="false">Assumptions!$F$98</f>
        <v>1</v>
      </c>
      <c r="H34" s="31" t="n">
        <f aca="false">C34*E34*F34*G34</f>
        <v>14000</v>
      </c>
      <c r="I34" s="9" t="n">
        <v>8</v>
      </c>
      <c r="J34" s="31" t="n">
        <f aca="false">IF(I34&gt;0,H34/I34,0)</f>
        <v>1750</v>
      </c>
      <c r="K34" s="10"/>
      <c r="L34" s="32" t="s">
        <v>259</v>
      </c>
    </row>
    <row r="35" customFormat="false" ht="15" hidden="false" customHeight="false" outlineLevel="0" collapsed="false">
      <c r="A35" s="8" t="s">
        <v>294</v>
      </c>
      <c r="B35" s="8" t="s">
        <v>268</v>
      </c>
      <c r="C35" s="16" t="n">
        <v>1</v>
      </c>
      <c r="D35" s="8" t="s">
        <v>266</v>
      </c>
      <c r="E35" s="13" t="n">
        <v>1800</v>
      </c>
      <c r="F35" s="35" t="n">
        <f aca="false">1</f>
        <v>1</v>
      </c>
      <c r="G35" s="34" t="n">
        <f aca="false">Assumptions!$F$98</f>
        <v>1</v>
      </c>
      <c r="H35" s="31" t="n">
        <f aca="false">C35*E35*F35*G35</f>
        <v>1800</v>
      </c>
      <c r="I35" s="9" t="n">
        <v>5</v>
      </c>
      <c r="J35" s="31" t="n">
        <f aca="false">IF(I35&gt;0,H35/I35,0)</f>
        <v>360</v>
      </c>
      <c r="K35" s="10"/>
      <c r="L35" s="32" t="s">
        <v>259</v>
      </c>
    </row>
    <row r="36" customFormat="false" ht="15" hidden="false" customHeight="false" outlineLevel="0" collapsed="false">
      <c r="A36" s="8" t="s">
        <v>295</v>
      </c>
      <c r="B36" s="8" t="s">
        <v>268</v>
      </c>
      <c r="C36" s="16" t="n">
        <v>1</v>
      </c>
      <c r="D36" s="8" t="s">
        <v>261</v>
      </c>
      <c r="E36" s="13" t="n">
        <v>5000</v>
      </c>
      <c r="F36" s="35" t="n">
        <f aca="false">1</f>
        <v>1</v>
      </c>
      <c r="G36" s="34" t="n">
        <f aca="false">Assumptions!$F$98</f>
        <v>1</v>
      </c>
      <c r="H36" s="31" t="n">
        <f aca="false">C36*E36*F36*G36</f>
        <v>5000</v>
      </c>
      <c r="I36" s="9" t="n">
        <v>20</v>
      </c>
      <c r="J36" s="31" t="n">
        <f aca="false">IF(I36&gt;0,H36/I36,0)</f>
        <v>250</v>
      </c>
      <c r="K36" s="10"/>
      <c r="L36" s="32" t="s">
        <v>259</v>
      </c>
    </row>
    <row r="37" customFormat="false" ht="15" hidden="false" customHeight="false" outlineLevel="0" collapsed="false">
      <c r="A37" s="8" t="s">
        <v>296</v>
      </c>
      <c r="B37" s="8" t="s">
        <v>268</v>
      </c>
      <c r="C37" s="16" t="n">
        <v>1</v>
      </c>
      <c r="D37" s="8" t="s">
        <v>261</v>
      </c>
      <c r="E37" s="13" t="n">
        <v>1200</v>
      </c>
      <c r="F37" s="35" t="n">
        <f aca="false">1</f>
        <v>1</v>
      </c>
      <c r="G37" s="34" t="n">
        <f aca="false">Assumptions!$F$98</f>
        <v>1</v>
      </c>
      <c r="H37" s="31" t="n">
        <f aca="false">C37*E37*F37*G37</f>
        <v>1200</v>
      </c>
      <c r="I37" s="9" t="n">
        <v>5</v>
      </c>
      <c r="J37" s="31" t="n">
        <f aca="false">IF(I37&gt;0,H37/I37,0)</f>
        <v>240</v>
      </c>
      <c r="K37" s="10"/>
      <c r="L37" s="32" t="s">
        <v>259</v>
      </c>
    </row>
    <row r="38" customFormat="false" ht="15" hidden="false" customHeight="false" outlineLevel="0" collapsed="false">
      <c r="A38" s="8" t="s">
        <v>297</v>
      </c>
      <c r="B38" s="8" t="s">
        <v>268</v>
      </c>
      <c r="C38" s="16" t="n">
        <v>1</v>
      </c>
      <c r="D38" s="8" t="s">
        <v>261</v>
      </c>
      <c r="E38" s="13" t="n">
        <v>1500</v>
      </c>
      <c r="F38" s="35" t="n">
        <f aca="false">1</f>
        <v>1</v>
      </c>
      <c r="G38" s="34" t="n">
        <f aca="false">Assumptions!$F$98</f>
        <v>1</v>
      </c>
      <c r="H38" s="31" t="n">
        <f aca="false">C38*E38*F38*G38</f>
        <v>1500</v>
      </c>
      <c r="I38" s="9" t="n">
        <v>5</v>
      </c>
      <c r="J38" s="31" t="n">
        <f aca="false">IF(I38&gt;0,H38/I38,0)</f>
        <v>300</v>
      </c>
      <c r="K38" s="10"/>
      <c r="L38" s="32" t="s">
        <v>259</v>
      </c>
    </row>
    <row r="39" customFormat="false" ht="15" hidden="false" customHeight="false" outlineLevel="0" collapsed="false">
      <c r="A39" s="6" t="s">
        <v>298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customFormat="false" ht="15" hidden="false" customHeight="false" outlineLevel="0" collapsed="false">
      <c r="A40" s="8" t="s">
        <v>299</v>
      </c>
      <c r="B40" s="8" t="s">
        <v>300</v>
      </c>
      <c r="C40" s="27" t="n">
        <f aca="false">Assumptions!$F$10</f>
        <v>150</v>
      </c>
      <c r="D40" s="8" t="s">
        <v>285</v>
      </c>
      <c r="E40" s="28" t="n">
        <f aca="false">Assumptions!$F$13</f>
        <v>1500</v>
      </c>
      <c r="F40" s="29" t="n">
        <f aca="false">Assumptions!$F$12</f>
        <v>0</v>
      </c>
      <c r="G40" s="30" t="n">
        <f aca="false">1</f>
        <v>1</v>
      </c>
      <c r="H40" s="31" t="n">
        <f aca="false">C40*E40*F40*G40</f>
        <v>0</v>
      </c>
      <c r="I40" s="9" t="n">
        <v>0</v>
      </c>
      <c r="J40" s="31" t="n">
        <f aca="false">IF(I40&gt;0,H40/I40,0)</f>
        <v>0</v>
      </c>
      <c r="K40" s="10" t="s">
        <v>301</v>
      </c>
      <c r="L40" s="32" t="s">
        <v>300</v>
      </c>
    </row>
    <row r="41" customFormat="false" ht="15" hidden="false" customHeight="false" outlineLevel="0" collapsed="false">
      <c r="A41" s="8" t="s">
        <v>302</v>
      </c>
      <c r="B41" s="8" t="s">
        <v>268</v>
      </c>
      <c r="C41" s="9" t="n">
        <v>1</v>
      </c>
      <c r="D41" s="8" t="s">
        <v>261</v>
      </c>
      <c r="E41" s="31" t="n">
        <f aca="false">Assumptions!$F$99*SUMIF($L$6:$L$40,"Infrastructure",$H$6:$H$40)</f>
        <v>12584</v>
      </c>
      <c r="F41" s="35" t="n">
        <f aca="false">1</f>
        <v>1</v>
      </c>
      <c r="G41" s="30" t="n">
        <f aca="false">1</f>
        <v>1</v>
      </c>
      <c r="H41" s="31" t="n">
        <f aca="false">C41*E41*F41*G41</f>
        <v>12584</v>
      </c>
      <c r="I41" s="9" t="n">
        <v>10</v>
      </c>
      <c r="J41" s="31" t="n">
        <f aca="false">IF(I41&gt;0,H41/I41,0)</f>
        <v>1258.4</v>
      </c>
      <c r="L41" s="32" t="s">
        <v>303</v>
      </c>
    </row>
    <row r="43" customFormat="false" ht="15" hidden="false" customHeight="false" outlineLevel="0" collapsed="false">
      <c r="A43" s="3" t="s">
        <v>304</v>
      </c>
      <c r="H43" s="36" t="n">
        <f aca="false">SUMIF($L$6:$L$41,"Animals",$H$6:$H$41)</f>
        <v>70400</v>
      </c>
    </row>
    <row r="44" customFormat="false" ht="15" hidden="false" customHeight="false" outlineLevel="0" collapsed="false">
      <c r="A44" s="3" t="s">
        <v>305</v>
      </c>
      <c r="H44" s="36" t="n">
        <f aca="false">SUMIF($L$6:$L$41,"Infrastructure",$H$6:$H$41)</f>
        <v>157300</v>
      </c>
    </row>
    <row r="45" customFormat="false" ht="15" hidden="false" customHeight="false" outlineLevel="0" collapsed="false">
      <c r="A45" s="3" t="s">
        <v>306</v>
      </c>
      <c r="H45" s="36" t="n">
        <f aca="false">SUMIF($L$6:$L$41,"Land",$H$6:$H$41)</f>
        <v>0</v>
      </c>
    </row>
    <row r="46" customFormat="false" ht="15" hidden="false" customHeight="false" outlineLevel="0" collapsed="false">
      <c r="A46" s="3" t="s">
        <v>307</v>
      </c>
      <c r="H46" s="36" t="n">
        <f aca="false">SUMIF($L$6:$L$41,"Contingency",$H$6:$H$41)</f>
        <v>12584</v>
      </c>
    </row>
    <row r="47" customFormat="false" ht="15" hidden="false" customHeight="false" outlineLevel="0" collapsed="false">
      <c r="A47" s="3" t="s">
        <v>308</v>
      </c>
      <c r="H47" s="36" t="n">
        <f aca="false">SUM(H6:H41)</f>
        <v>240284</v>
      </c>
    </row>
    <row r="48" customFormat="false" ht="15" hidden="false" customHeight="false" outlineLevel="0" collapsed="false">
      <c r="A48" s="3" t="s">
        <v>309</v>
      </c>
      <c r="H48" s="36" t="n">
        <f aca="false">SUM(J6:J41)</f>
        <v>15823.4</v>
      </c>
    </row>
    <row r="50" customFormat="false" ht="15" hidden="false" customHeight="false" outlineLevel="0" collapsed="false">
      <c r="A50" s="37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13" min="3" style="0" width="11.5"/>
  </cols>
  <sheetData>
    <row r="1" customFormat="false" ht="17.35" hidden="false" customHeight="false" outlineLevel="0" collapsed="false">
      <c r="A1" s="1" t="s">
        <v>311</v>
      </c>
    </row>
    <row r="2" customFormat="false" ht="15" hidden="false" customHeight="false" outlineLevel="0" collapsed="false">
      <c r="A2" s="2" t="s">
        <v>312</v>
      </c>
    </row>
    <row r="3" customFormat="false" ht="15" hidden="false" customHeight="false" outlineLevel="0" collapsed="false">
      <c r="A3" s="38" t="s">
        <v>313</v>
      </c>
      <c r="B3" s="38" t="s">
        <v>36</v>
      </c>
      <c r="C3" s="39" t="s">
        <v>314</v>
      </c>
      <c r="D3" s="39" t="s">
        <v>315</v>
      </c>
      <c r="E3" s="39" t="s">
        <v>316</v>
      </c>
      <c r="F3" s="39" t="s">
        <v>317</v>
      </c>
      <c r="G3" s="39" t="s">
        <v>318</v>
      </c>
      <c r="H3" s="39" t="s">
        <v>319</v>
      </c>
      <c r="I3" s="39" t="s">
        <v>320</v>
      </c>
      <c r="J3" s="39" t="s">
        <v>321</v>
      </c>
      <c r="K3" s="39" t="s">
        <v>322</v>
      </c>
      <c r="L3" s="39" t="s">
        <v>323</v>
      </c>
      <c r="M3" s="39" t="s">
        <v>324</v>
      </c>
    </row>
    <row r="4" customFormat="false" ht="15" hidden="false" customHeight="false" outlineLevel="0" collapsed="false">
      <c r="A4" s="40" t="s">
        <v>325</v>
      </c>
      <c r="C4" s="40" t="n">
        <v>0</v>
      </c>
      <c r="D4" s="40" t="n">
        <v>1</v>
      </c>
      <c r="E4" s="40" t="n">
        <v>2</v>
      </c>
      <c r="F4" s="40" t="n">
        <v>3</v>
      </c>
      <c r="G4" s="40" t="n">
        <v>4</v>
      </c>
      <c r="H4" s="40" t="n">
        <v>5</v>
      </c>
      <c r="I4" s="40" t="n">
        <v>6</v>
      </c>
      <c r="J4" s="40" t="n">
        <v>7</v>
      </c>
      <c r="K4" s="40" t="n">
        <v>8</v>
      </c>
      <c r="L4" s="40" t="n">
        <v>9</v>
      </c>
      <c r="M4" s="40" t="n">
        <v>10</v>
      </c>
    </row>
    <row r="6" customFormat="false" ht="15" hidden="false" customHeight="false" outlineLevel="0" collapsed="false">
      <c r="A6" s="6" t="s">
        <v>326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Format="false" ht="15" hidden="false" customHeight="false" outlineLevel="0" collapsed="false">
      <c r="A7" s="8" t="s">
        <v>327</v>
      </c>
      <c r="B7" s="10" t="s">
        <v>104</v>
      </c>
      <c r="D7" s="33" t="n">
        <f aca="false">Assumptions!$F$31*Assumptions!$F$8</f>
        <v>40</v>
      </c>
      <c r="E7" s="33" t="n">
        <f aca="false">D14</f>
        <v>40</v>
      </c>
      <c r="F7" s="33" t="n">
        <f aca="false">E14</f>
        <v>40</v>
      </c>
      <c r="G7" s="33" t="n">
        <f aca="false">F14</f>
        <v>40</v>
      </c>
      <c r="H7" s="33" t="n">
        <f aca="false">G14</f>
        <v>40</v>
      </c>
      <c r="I7" s="33" t="n">
        <f aca="false">H14</f>
        <v>40</v>
      </c>
      <c r="J7" s="33" t="n">
        <f aca="false">I14</f>
        <v>40</v>
      </c>
      <c r="K7" s="33" t="n">
        <f aca="false">J14</f>
        <v>40</v>
      </c>
      <c r="L7" s="33" t="n">
        <f aca="false">K14</f>
        <v>40</v>
      </c>
      <c r="M7" s="33" t="n">
        <f aca="false">L14</f>
        <v>40</v>
      </c>
    </row>
    <row r="8" customFormat="false" ht="15" hidden="false" customHeight="false" outlineLevel="0" collapsed="false">
      <c r="A8" s="8" t="s">
        <v>328</v>
      </c>
      <c r="B8" s="10" t="s">
        <v>104</v>
      </c>
      <c r="D8" s="33" t="n">
        <f aca="false">ROUND(D7*Assumptions!$F$35,0)</f>
        <v>8</v>
      </c>
      <c r="E8" s="33" t="n">
        <f aca="false">ROUND(E7*Assumptions!$F$35,0)</f>
        <v>8</v>
      </c>
      <c r="F8" s="33" t="n">
        <f aca="false">ROUND(F7*Assumptions!$F$35,0)</f>
        <v>8</v>
      </c>
      <c r="G8" s="33" t="n">
        <f aca="false">ROUND(G7*Assumptions!$F$35,0)</f>
        <v>8</v>
      </c>
      <c r="H8" s="33" t="n">
        <f aca="false">ROUND(H7*Assumptions!$F$35,0)</f>
        <v>8</v>
      </c>
      <c r="I8" s="33" t="n">
        <f aca="false">ROUND(I7*Assumptions!$F$35,0)</f>
        <v>8</v>
      </c>
      <c r="J8" s="33" t="n">
        <f aca="false">ROUND(J7*Assumptions!$F$35,0)</f>
        <v>8</v>
      </c>
      <c r="K8" s="33" t="n">
        <f aca="false">ROUND(K7*Assumptions!$F$35,0)</f>
        <v>8</v>
      </c>
      <c r="L8" s="33" t="n">
        <f aca="false">ROUND(L7*Assumptions!$F$35,0)</f>
        <v>8</v>
      </c>
      <c r="M8" s="33" t="n">
        <f aca="false">ROUND(M7*Assumptions!$F$35,0)</f>
        <v>8</v>
      </c>
    </row>
    <row r="9" customFormat="false" ht="15" hidden="false" customHeight="false" outlineLevel="0" collapsed="false">
      <c r="A9" s="8" t="s">
        <v>329</v>
      </c>
      <c r="B9" s="10" t="s">
        <v>104</v>
      </c>
      <c r="D9" s="33" t="n">
        <f aca="false">ROUND(D7*Assumptions!$F$28,0)</f>
        <v>1</v>
      </c>
      <c r="E9" s="33" t="n">
        <f aca="false">ROUND(E7*Assumptions!$F$28,0)</f>
        <v>1</v>
      </c>
      <c r="F9" s="33" t="n">
        <f aca="false">ROUND(F7*Assumptions!$F$28,0)</f>
        <v>1</v>
      </c>
      <c r="G9" s="33" t="n">
        <f aca="false">ROUND(G7*Assumptions!$F$28,0)</f>
        <v>1</v>
      </c>
      <c r="H9" s="33" t="n">
        <f aca="false">ROUND(H7*Assumptions!$F$28,0)</f>
        <v>1</v>
      </c>
      <c r="I9" s="33" t="n">
        <f aca="false">ROUND(I7*Assumptions!$F$28,0)</f>
        <v>1</v>
      </c>
      <c r="J9" s="33" t="n">
        <f aca="false">ROUND(J7*Assumptions!$F$28,0)</f>
        <v>1</v>
      </c>
      <c r="K9" s="33" t="n">
        <f aca="false">ROUND(K7*Assumptions!$F$28,0)</f>
        <v>1</v>
      </c>
      <c r="L9" s="33" t="n">
        <f aca="false">ROUND(L7*Assumptions!$F$28,0)</f>
        <v>1</v>
      </c>
      <c r="M9" s="33" t="n">
        <f aca="false">ROUND(M7*Assumptions!$F$28,0)</f>
        <v>1</v>
      </c>
    </row>
    <row r="10" customFormat="false" ht="15" hidden="false" customHeight="false" outlineLevel="0" collapsed="false">
      <c r="A10" s="8" t="s">
        <v>330</v>
      </c>
      <c r="B10" s="10" t="s">
        <v>104</v>
      </c>
      <c r="D10" s="33" t="n">
        <f aca="false">Assumptions!$F$32*Assumptions!$F$8</f>
        <v>40</v>
      </c>
      <c r="E10" s="33" t="n">
        <f aca="false">Assumptions!$F$32*Assumptions!$F$8</f>
        <v>40</v>
      </c>
      <c r="F10" s="33" t="n">
        <f aca="false">Assumptions!$F$32*Assumptions!$F$8</f>
        <v>40</v>
      </c>
      <c r="G10" s="33" t="n">
        <f aca="false">Assumptions!$F$32*Assumptions!$F$8</f>
        <v>40</v>
      </c>
      <c r="H10" s="33" t="n">
        <f aca="false">Assumptions!$F$32*Assumptions!$F$8</f>
        <v>40</v>
      </c>
      <c r="I10" s="33" t="n">
        <f aca="false">Assumptions!$F$32*Assumptions!$F$8</f>
        <v>40</v>
      </c>
      <c r="J10" s="33" t="n">
        <f aca="false">Assumptions!$F$32*Assumptions!$F$8</f>
        <v>40</v>
      </c>
      <c r="K10" s="33" t="n">
        <f aca="false">Assumptions!$F$32*Assumptions!$F$8</f>
        <v>40</v>
      </c>
      <c r="L10" s="33" t="n">
        <f aca="false">Assumptions!$F$32*Assumptions!$F$8</f>
        <v>40</v>
      </c>
      <c r="M10" s="33" t="n">
        <f aca="false">Assumptions!$F$32*Assumptions!$F$8</f>
        <v>40</v>
      </c>
    </row>
    <row r="11" customFormat="false" ht="15" hidden="false" customHeight="false" outlineLevel="0" collapsed="false">
      <c r="A11" s="8" t="s">
        <v>331</v>
      </c>
      <c r="B11" s="10" t="s">
        <v>104</v>
      </c>
      <c r="D11" s="33" t="n">
        <f aca="false">MAX(0,D10-(D7-D8-D9))</f>
        <v>9</v>
      </c>
      <c r="E11" s="33" t="n">
        <f aca="false">MAX(0,E10-(E7-E8-E9))</f>
        <v>9</v>
      </c>
      <c r="F11" s="33" t="n">
        <f aca="false">MAX(0,F10-(F7-F8-F9))</f>
        <v>9</v>
      </c>
      <c r="G11" s="33" t="n">
        <f aca="false">MAX(0,G10-(G7-G8-G9))</f>
        <v>9</v>
      </c>
      <c r="H11" s="33" t="n">
        <f aca="false">MAX(0,H10-(H7-H8-H9))</f>
        <v>9</v>
      </c>
      <c r="I11" s="33" t="n">
        <f aca="false">MAX(0,I10-(I7-I8-I9))</f>
        <v>9</v>
      </c>
      <c r="J11" s="33" t="n">
        <f aca="false">MAX(0,J10-(J7-J8-J9))</f>
        <v>9</v>
      </c>
      <c r="K11" s="33" t="n">
        <f aca="false">MAX(0,K10-(K7-K8-K9))</f>
        <v>9</v>
      </c>
      <c r="L11" s="33" t="n">
        <f aca="false">MAX(0,L10-(L7-L8-L9))</f>
        <v>9</v>
      </c>
      <c r="M11" s="33" t="n">
        <f aca="false">MAX(0,M10-(M7-M8-M9))</f>
        <v>9</v>
      </c>
    </row>
    <row r="12" customFormat="false" ht="15" hidden="false" customHeight="false" outlineLevel="0" collapsed="false">
      <c r="A12" s="8" t="s">
        <v>332</v>
      </c>
      <c r="B12" s="10" t="s">
        <v>104</v>
      </c>
      <c r="D12" s="33" t="n">
        <f aca="false">MIN(D24,D11)</f>
        <v>0</v>
      </c>
      <c r="E12" s="33" t="n">
        <f aca="false">MIN(E24,E11)</f>
        <v>0</v>
      </c>
      <c r="F12" s="33" t="n">
        <f aca="false">MIN(F24,F11)</f>
        <v>9</v>
      </c>
      <c r="G12" s="33" t="n">
        <f aca="false">MIN(G24,G11)</f>
        <v>9</v>
      </c>
      <c r="H12" s="33" t="n">
        <f aca="false">MIN(H24,H11)</f>
        <v>9</v>
      </c>
      <c r="I12" s="33" t="n">
        <f aca="false">MIN(I24,I11)</f>
        <v>9</v>
      </c>
      <c r="J12" s="33" t="n">
        <f aca="false">MIN(J24,J11)</f>
        <v>9</v>
      </c>
      <c r="K12" s="33" t="n">
        <f aca="false">MIN(K24,K11)</f>
        <v>9</v>
      </c>
      <c r="L12" s="33" t="n">
        <f aca="false">MIN(L24,L11)</f>
        <v>9</v>
      </c>
      <c r="M12" s="33" t="n">
        <f aca="false">MIN(M24,M11)</f>
        <v>9</v>
      </c>
    </row>
    <row r="13" customFormat="false" ht="15" hidden="false" customHeight="false" outlineLevel="0" collapsed="false">
      <c r="A13" s="8" t="s">
        <v>333</v>
      </c>
      <c r="B13" s="10" t="s">
        <v>104</v>
      </c>
      <c r="D13" s="33" t="n">
        <f aca="false">D11-D12</f>
        <v>9</v>
      </c>
      <c r="E13" s="33" t="n">
        <f aca="false">E11-E12</f>
        <v>9</v>
      </c>
      <c r="F13" s="33" t="n">
        <f aca="false">F11-F12</f>
        <v>0</v>
      </c>
      <c r="G13" s="33" t="n">
        <f aca="false">G11-G12</f>
        <v>0</v>
      </c>
      <c r="H13" s="33" t="n">
        <f aca="false">H11-H12</f>
        <v>0</v>
      </c>
      <c r="I13" s="33" t="n">
        <f aca="false">I11-I12</f>
        <v>0</v>
      </c>
      <c r="J13" s="33" t="n">
        <f aca="false">J11-J12</f>
        <v>0</v>
      </c>
      <c r="K13" s="33" t="n">
        <f aca="false">K11-K12</f>
        <v>0</v>
      </c>
      <c r="L13" s="33" t="n">
        <f aca="false">L11-L12</f>
        <v>0</v>
      </c>
      <c r="M13" s="33" t="n">
        <f aca="false">M11-M12</f>
        <v>0</v>
      </c>
    </row>
    <row r="14" customFormat="false" ht="15" hidden="false" customHeight="false" outlineLevel="0" collapsed="false">
      <c r="A14" s="3" t="s">
        <v>334</v>
      </c>
      <c r="B14" s="10" t="s">
        <v>104</v>
      </c>
      <c r="D14" s="41" t="n">
        <f aca="false">D7-D8-D9+D12+D13</f>
        <v>40</v>
      </c>
      <c r="E14" s="41" t="n">
        <f aca="false">E7-E8-E9+E12+E13</f>
        <v>40</v>
      </c>
      <c r="F14" s="41" t="n">
        <f aca="false">F7-F8-F9+F12+F13</f>
        <v>40</v>
      </c>
      <c r="G14" s="41" t="n">
        <f aca="false">G7-G8-G9+G12+G13</f>
        <v>40</v>
      </c>
      <c r="H14" s="41" t="n">
        <f aca="false">H7-H8-H9+H12+H13</f>
        <v>40</v>
      </c>
      <c r="I14" s="41" t="n">
        <f aca="false">I7-I8-I9+I12+I13</f>
        <v>40</v>
      </c>
      <c r="J14" s="41" t="n">
        <f aca="false">J7-J8-J9+J12+J13</f>
        <v>40</v>
      </c>
      <c r="K14" s="41" t="n">
        <f aca="false">K7-K8-K9+K12+K13</f>
        <v>40</v>
      </c>
      <c r="L14" s="41" t="n">
        <f aca="false">L7-L8-L9+L12+L13</f>
        <v>40</v>
      </c>
      <c r="M14" s="41" t="n">
        <f aca="false">M7-M8-M9+M12+M13</f>
        <v>40</v>
      </c>
    </row>
    <row r="15" customFormat="false" ht="15" hidden="false" customHeight="false" outlineLevel="0" collapsed="false">
      <c r="A15" s="8" t="s">
        <v>335</v>
      </c>
      <c r="B15" s="10" t="s">
        <v>104</v>
      </c>
      <c r="D15" s="33" t="n">
        <f aca="false">(D7+D14)/2</f>
        <v>40</v>
      </c>
      <c r="E15" s="33" t="n">
        <f aca="false">(E7+E14)/2</f>
        <v>40</v>
      </c>
      <c r="F15" s="33" t="n">
        <f aca="false">(F7+F14)/2</f>
        <v>40</v>
      </c>
      <c r="G15" s="33" t="n">
        <f aca="false">(G7+G14)/2</f>
        <v>40</v>
      </c>
      <c r="H15" s="33" t="n">
        <f aca="false">(H7+H14)/2</f>
        <v>40</v>
      </c>
      <c r="I15" s="33" t="n">
        <f aca="false">(I7+I14)/2</f>
        <v>40</v>
      </c>
      <c r="J15" s="33" t="n">
        <f aca="false">(J7+J14)/2</f>
        <v>40</v>
      </c>
      <c r="K15" s="33" t="n">
        <f aca="false">(K7+K14)/2</f>
        <v>40</v>
      </c>
      <c r="L15" s="33" t="n">
        <f aca="false">(L7+L14)/2</f>
        <v>40</v>
      </c>
      <c r="M15" s="33" t="n">
        <f aca="false">(M7+M14)/2</f>
        <v>40</v>
      </c>
    </row>
    <row r="17" customFormat="false" ht="15" hidden="false" customHeight="false" outlineLevel="0" collapsed="false">
      <c r="A17" s="6" t="s">
        <v>336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customFormat="false" ht="15" hidden="false" customHeight="false" outlineLevel="0" collapsed="false">
      <c r="A18" s="8" t="s">
        <v>337</v>
      </c>
      <c r="B18" s="10" t="s">
        <v>104</v>
      </c>
      <c r="D18" s="33" t="n">
        <f aca="false">D7*Assumptions!$F$26</f>
        <v>32</v>
      </c>
      <c r="E18" s="33" t="n">
        <f aca="false">E7*Assumptions!$F$26</f>
        <v>32</v>
      </c>
      <c r="F18" s="33" t="n">
        <f aca="false">F7*Assumptions!$F$26</f>
        <v>32</v>
      </c>
      <c r="G18" s="33" t="n">
        <f aca="false">G7*Assumptions!$F$26</f>
        <v>32</v>
      </c>
      <c r="H18" s="33" t="n">
        <f aca="false">H7*Assumptions!$F$26</f>
        <v>32</v>
      </c>
      <c r="I18" s="33" t="n">
        <f aca="false">I7*Assumptions!$F$26</f>
        <v>32</v>
      </c>
      <c r="J18" s="33" t="n">
        <f aca="false">J7*Assumptions!$F$26</f>
        <v>32</v>
      </c>
      <c r="K18" s="33" t="n">
        <f aca="false">K7*Assumptions!$F$26</f>
        <v>32</v>
      </c>
      <c r="L18" s="33" t="n">
        <f aca="false">L7*Assumptions!$F$26</f>
        <v>32</v>
      </c>
      <c r="M18" s="33" t="n">
        <f aca="false">M7*Assumptions!$F$26</f>
        <v>32</v>
      </c>
    </row>
    <row r="19" customFormat="false" ht="15" hidden="false" customHeight="false" outlineLevel="0" collapsed="false">
      <c r="A19" s="8" t="s">
        <v>338</v>
      </c>
      <c r="B19" s="10" t="s">
        <v>104</v>
      </c>
      <c r="D19" s="33" t="n">
        <f aca="false">D18*Assumptions!$F$40</f>
        <v>0</v>
      </c>
      <c r="E19" s="33" t="n">
        <f aca="false">E18*Assumptions!$F$40</f>
        <v>0</v>
      </c>
      <c r="F19" s="33" t="n">
        <f aca="false">F18*Assumptions!$F$40</f>
        <v>0</v>
      </c>
      <c r="G19" s="33" t="n">
        <f aca="false">G18*Assumptions!$F$40</f>
        <v>0</v>
      </c>
      <c r="H19" s="33" t="n">
        <f aca="false">H18*Assumptions!$F$40</f>
        <v>0</v>
      </c>
      <c r="I19" s="33" t="n">
        <f aca="false">I18*Assumptions!$F$40</f>
        <v>0</v>
      </c>
      <c r="J19" s="33" t="n">
        <f aca="false">J18*Assumptions!$F$40</f>
        <v>0</v>
      </c>
      <c r="K19" s="33" t="n">
        <f aca="false">K18*Assumptions!$F$40</f>
        <v>0</v>
      </c>
      <c r="L19" s="33" t="n">
        <f aca="false">L18*Assumptions!$F$40</f>
        <v>0</v>
      </c>
      <c r="M19" s="33" t="n">
        <f aca="false">M18*Assumptions!$F$40</f>
        <v>0</v>
      </c>
    </row>
    <row r="20" customFormat="false" ht="15" hidden="false" customHeight="false" outlineLevel="0" collapsed="false">
      <c r="A20" s="8" t="s">
        <v>339</v>
      </c>
      <c r="B20" s="10" t="s">
        <v>104</v>
      </c>
      <c r="D20" s="33" t="n">
        <f aca="false">D18-D19</f>
        <v>32</v>
      </c>
      <c r="E20" s="33" t="n">
        <f aca="false">E18-E19</f>
        <v>32</v>
      </c>
      <c r="F20" s="33" t="n">
        <f aca="false">F18-F19</f>
        <v>32</v>
      </c>
      <c r="G20" s="33" t="n">
        <f aca="false">G18-G19</f>
        <v>32</v>
      </c>
      <c r="H20" s="33" t="n">
        <f aca="false">H18-H19</f>
        <v>32</v>
      </c>
      <c r="I20" s="33" t="n">
        <f aca="false">I18-I19</f>
        <v>32</v>
      </c>
      <c r="J20" s="33" t="n">
        <f aca="false">J18-J19</f>
        <v>32</v>
      </c>
      <c r="K20" s="33" t="n">
        <f aca="false">K18-K19</f>
        <v>32</v>
      </c>
      <c r="L20" s="33" t="n">
        <f aca="false">L18-L19</f>
        <v>32</v>
      </c>
      <c r="M20" s="33" t="n">
        <f aca="false">M18-M19</f>
        <v>32</v>
      </c>
    </row>
    <row r="21" customFormat="false" ht="15" hidden="false" customHeight="false" outlineLevel="0" collapsed="false">
      <c r="A21" s="8" t="s">
        <v>340</v>
      </c>
      <c r="B21" s="10" t="s">
        <v>104</v>
      </c>
      <c r="D21" s="33" t="n">
        <f aca="false">D20*Assumptions!$F$41*(1-Assumptions!$F$29)</f>
        <v>14.72</v>
      </c>
      <c r="E21" s="33" t="n">
        <f aca="false">E20*Assumptions!$F$41*(1-Assumptions!$F$29)</f>
        <v>14.72</v>
      </c>
      <c r="F21" s="33" t="n">
        <f aca="false">F20*Assumptions!$F$41*(1-Assumptions!$F$29)</f>
        <v>14.72</v>
      </c>
      <c r="G21" s="33" t="n">
        <f aca="false">G20*Assumptions!$F$41*(1-Assumptions!$F$29)</f>
        <v>14.72</v>
      </c>
      <c r="H21" s="33" t="n">
        <f aca="false">H20*Assumptions!$F$41*(1-Assumptions!$F$29)</f>
        <v>14.72</v>
      </c>
      <c r="I21" s="33" t="n">
        <f aca="false">I20*Assumptions!$F$41*(1-Assumptions!$F$29)</f>
        <v>14.72</v>
      </c>
      <c r="J21" s="33" t="n">
        <f aca="false">J20*Assumptions!$F$41*(1-Assumptions!$F$29)</f>
        <v>14.72</v>
      </c>
      <c r="K21" s="33" t="n">
        <f aca="false">K20*Assumptions!$F$41*(1-Assumptions!$F$29)</f>
        <v>14.72</v>
      </c>
      <c r="L21" s="33" t="n">
        <f aca="false">L20*Assumptions!$F$41*(1-Assumptions!$F$29)</f>
        <v>14.72</v>
      </c>
      <c r="M21" s="33" t="n">
        <f aca="false">M20*Assumptions!$F$41*(1-Assumptions!$F$29)</f>
        <v>14.72</v>
      </c>
    </row>
    <row r="22" customFormat="false" ht="15" hidden="false" customHeight="false" outlineLevel="0" collapsed="false">
      <c r="A22" s="8" t="s">
        <v>341</v>
      </c>
      <c r="B22" s="10" t="s">
        <v>104</v>
      </c>
      <c r="D22" s="33" t="n">
        <f aca="false">D20*(1-Assumptions!$F$41)*(1-Assumptions!$F$29)</f>
        <v>14.72</v>
      </c>
      <c r="E22" s="33" t="n">
        <f aca="false">E20*(1-Assumptions!$F$41)*(1-Assumptions!$F$29)</f>
        <v>14.72</v>
      </c>
      <c r="F22" s="33" t="n">
        <f aca="false">F20*(1-Assumptions!$F$41)*(1-Assumptions!$F$29)</f>
        <v>14.72</v>
      </c>
      <c r="G22" s="33" t="n">
        <f aca="false">G20*(1-Assumptions!$F$41)*(1-Assumptions!$F$29)</f>
        <v>14.72</v>
      </c>
      <c r="H22" s="33" t="n">
        <f aca="false">H20*(1-Assumptions!$F$41)*(1-Assumptions!$F$29)</f>
        <v>14.72</v>
      </c>
      <c r="I22" s="33" t="n">
        <f aca="false">I20*(1-Assumptions!$F$41)*(1-Assumptions!$F$29)</f>
        <v>14.72</v>
      </c>
      <c r="J22" s="33" t="n">
        <f aca="false">J20*(1-Assumptions!$F$41)*(1-Assumptions!$F$29)</f>
        <v>14.72</v>
      </c>
      <c r="K22" s="33" t="n">
        <f aca="false">K20*(1-Assumptions!$F$41)*(1-Assumptions!$F$29)</f>
        <v>14.72</v>
      </c>
      <c r="L22" s="33" t="n">
        <f aca="false">L20*(1-Assumptions!$F$41)*(1-Assumptions!$F$29)</f>
        <v>14.72</v>
      </c>
      <c r="M22" s="33" t="n">
        <f aca="false">M20*(1-Assumptions!$F$41)*(1-Assumptions!$F$29)</f>
        <v>14.72</v>
      </c>
    </row>
    <row r="23" customFormat="false" ht="15" hidden="false" customHeight="false" outlineLevel="0" collapsed="false">
      <c r="A23" s="8" t="s">
        <v>342</v>
      </c>
      <c r="B23" s="10" t="s">
        <v>104</v>
      </c>
      <c r="D23" s="33" t="n">
        <f aca="false">D19*(1-Assumptions!$F$29)</f>
        <v>0</v>
      </c>
      <c r="E23" s="33" t="n">
        <f aca="false">E19*(1-Assumptions!$F$29)</f>
        <v>0</v>
      </c>
      <c r="F23" s="33" t="n">
        <f aca="false">F19*(1-Assumptions!$F$29)</f>
        <v>0</v>
      </c>
      <c r="G23" s="33" t="n">
        <f aca="false">G19*(1-Assumptions!$F$29)</f>
        <v>0</v>
      </c>
      <c r="H23" s="33" t="n">
        <f aca="false">H19*(1-Assumptions!$F$29)</f>
        <v>0</v>
      </c>
      <c r="I23" s="33" t="n">
        <f aca="false">I19*(1-Assumptions!$F$29)</f>
        <v>0</v>
      </c>
      <c r="J23" s="33" t="n">
        <f aca="false">J19*(1-Assumptions!$F$29)</f>
        <v>0</v>
      </c>
      <c r="K23" s="33" t="n">
        <f aca="false">K19*(1-Assumptions!$F$29)</f>
        <v>0</v>
      </c>
      <c r="L23" s="33" t="n">
        <f aca="false">L19*(1-Assumptions!$F$29)</f>
        <v>0</v>
      </c>
      <c r="M23" s="33" t="n">
        <f aca="false">M19*(1-Assumptions!$F$29)</f>
        <v>0</v>
      </c>
    </row>
    <row r="24" customFormat="false" ht="15" hidden="false" customHeight="false" outlineLevel="0" collapsed="false">
      <c r="A24" s="8" t="s">
        <v>343</v>
      </c>
      <c r="B24" s="10" t="s">
        <v>104</v>
      </c>
      <c r="D24" s="33" t="n">
        <f aca="false">0</f>
        <v>0</v>
      </c>
      <c r="E24" s="33" t="n">
        <f aca="false">0</f>
        <v>0</v>
      </c>
      <c r="F24" s="33" t="n">
        <f aca="false">E21</f>
        <v>14.72</v>
      </c>
      <c r="G24" s="33" t="n">
        <f aca="false">F21</f>
        <v>14.72</v>
      </c>
      <c r="H24" s="33" t="n">
        <f aca="false">G21</f>
        <v>14.72</v>
      </c>
      <c r="I24" s="33" t="n">
        <f aca="false">H21</f>
        <v>14.72</v>
      </c>
      <c r="J24" s="33" t="n">
        <f aca="false">I21</f>
        <v>14.72</v>
      </c>
      <c r="K24" s="33" t="n">
        <f aca="false">J21</f>
        <v>14.72</v>
      </c>
      <c r="L24" s="33" t="n">
        <f aca="false">K21</f>
        <v>14.72</v>
      </c>
      <c r="M24" s="33" t="n">
        <f aca="false">L21</f>
        <v>14.72</v>
      </c>
    </row>
    <row r="25" customFormat="false" ht="15" hidden="false" customHeight="false" outlineLevel="0" collapsed="false">
      <c r="A25" s="8" t="s">
        <v>344</v>
      </c>
      <c r="B25" s="10" t="s">
        <v>104</v>
      </c>
      <c r="D25" s="33" t="n">
        <f aca="false">D24-D12</f>
        <v>0</v>
      </c>
      <c r="E25" s="33" t="n">
        <f aca="false">E24-E12</f>
        <v>0</v>
      </c>
      <c r="F25" s="33" t="n">
        <f aca="false">F24-F12</f>
        <v>5.72</v>
      </c>
      <c r="G25" s="33" t="n">
        <f aca="false">G24-G12</f>
        <v>5.72</v>
      </c>
      <c r="H25" s="33" t="n">
        <f aca="false">H24-H12</f>
        <v>5.72</v>
      </c>
      <c r="I25" s="33" t="n">
        <f aca="false">I24-I12</f>
        <v>5.72</v>
      </c>
      <c r="J25" s="33" t="n">
        <f aca="false">J24-J12</f>
        <v>5.72</v>
      </c>
      <c r="K25" s="33" t="n">
        <f aca="false">K24-K12</f>
        <v>5.72</v>
      </c>
      <c r="L25" s="33" t="n">
        <f aca="false">L24-L12</f>
        <v>5.72</v>
      </c>
      <c r="M25" s="33" t="n">
        <f aca="false">M24-M12</f>
        <v>5.72</v>
      </c>
    </row>
    <row r="26" customFormat="false" ht="15" hidden="false" customHeight="false" outlineLevel="0" collapsed="false">
      <c r="A26" s="8" t="s">
        <v>345</v>
      </c>
      <c r="B26" s="10" t="s">
        <v>104</v>
      </c>
      <c r="D26" s="33" t="n">
        <f aca="false">D21</f>
        <v>14.72</v>
      </c>
      <c r="E26" s="33" t="n">
        <f aca="false">E21+D21</f>
        <v>29.44</v>
      </c>
      <c r="F26" s="33" t="n">
        <f aca="false">F21+E21</f>
        <v>29.44</v>
      </c>
      <c r="G26" s="33" t="n">
        <f aca="false">G21+F21</f>
        <v>29.44</v>
      </c>
      <c r="H26" s="33" t="n">
        <f aca="false">H21+G21</f>
        <v>29.44</v>
      </c>
      <c r="I26" s="33" t="n">
        <f aca="false">I21+H21</f>
        <v>29.44</v>
      </c>
      <c r="J26" s="33" t="n">
        <f aca="false">J21+I21</f>
        <v>29.44</v>
      </c>
      <c r="K26" s="33" t="n">
        <f aca="false">K21+J21</f>
        <v>29.44</v>
      </c>
      <c r="L26" s="33" t="n">
        <f aca="false">L21+K21</f>
        <v>29.44</v>
      </c>
      <c r="M26" s="33" t="n">
        <f aca="false">M21+L21</f>
        <v>29.44</v>
      </c>
    </row>
    <row r="28" customFormat="false" ht="15" hidden="false" customHeight="false" outlineLevel="0" collapsed="false">
      <c r="A28" s="6" t="s">
        <v>346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customFormat="false" ht="15" hidden="false" customHeight="false" outlineLevel="0" collapsed="false">
      <c r="A29" s="3" t="s">
        <v>347</v>
      </c>
      <c r="B29" s="10" t="s">
        <v>348</v>
      </c>
      <c r="D29" s="36" t="n">
        <f aca="false">D15*Assumptions!$F$50*Assumptions!$F$23*Assumptions!$F$49</f>
        <v>102000</v>
      </c>
      <c r="E29" s="36" t="n">
        <f aca="false">E15*Assumptions!$F$50*Assumptions!$F$23*Assumptions!$F$49</f>
        <v>102000</v>
      </c>
      <c r="F29" s="36" t="n">
        <f aca="false">F15*Assumptions!$F$50*Assumptions!$F$23*Assumptions!$F$49</f>
        <v>102000</v>
      </c>
      <c r="G29" s="36" t="n">
        <f aca="false">G15*Assumptions!$F$50*Assumptions!$F$23*Assumptions!$F$49</f>
        <v>102000</v>
      </c>
      <c r="H29" s="36" t="n">
        <f aca="false">H15*Assumptions!$F$50*Assumptions!$F$23*Assumptions!$F$49</f>
        <v>102000</v>
      </c>
      <c r="I29" s="36" t="n">
        <f aca="false">I15*Assumptions!$F$50*Assumptions!$F$23*Assumptions!$F$49</f>
        <v>102000</v>
      </c>
      <c r="J29" s="36" t="n">
        <f aca="false">J15*Assumptions!$F$50*Assumptions!$F$23*Assumptions!$F$49</f>
        <v>102000</v>
      </c>
      <c r="K29" s="36" t="n">
        <f aca="false">K15*Assumptions!$F$50*Assumptions!$F$23*Assumptions!$F$49</f>
        <v>102000</v>
      </c>
      <c r="L29" s="36" t="n">
        <f aca="false">L15*Assumptions!$F$50*Assumptions!$F$23*Assumptions!$F$49</f>
        <v>102000</v>
      </c>
      <c r="M29" s="36" t="n">
        <f aca="false">M15*Assumptions!$F$50*Assumptions!$F$23*Assumptions!$F$49</f>
        <v>102000</v>
      </c>
    </row>
    <row r="30" customFormat="false" ht="15" hidden="false" customHeight="false" outlineLevel="0" collapsed="false">
      <c r="A30" s="8" t="s">
        <v>349</v>
      </c>
      <c r="B30" s="10" t="s">
        <v>348</v>
      </c>
      <c r="D30" s="31" t="n">
        <f aca="false">D29*Assumptions!$F$51</f>
        <v>10200</v>
      </c>
      <c r="E30" s="31" t="n">
        <f aca="false">E29*Assumptions!$F$51</f>
        <v>10200</v>
      </c>
      <c r="F30" s="31" t="n">
        <f aca="false">F29*Assumptions!$F$51</f>
        <v>10200</v>
      </c>
      <c r="G30" s="31" t="n">
        <f aca="false">G29*Assumptions!$F$51</f>
        <v>10200</v>
      </c>
      <c r="H30" s="31" t="n">
        <f aca="false">H29*Assumptions!$F$51</f>
        <v>10200</v>
      </c>
      <c r="I30" s="31" t="n">
        <f aca="false">I29*Assumptions!$F$51</f>
        <v>10200</v>
      </c>
      <c r="J30" s="31" t="n">
        <f aca="false">J29*Assumptions!$F$51</f>
        <v>10200</v>
      </c>
      <c r="K30" s="31" t="n">
        <f aca="false">K29*Assumptions!$F$51</f>
        <v>10200</v>
      </c>
      <c r="L30" s="31" t="n">
        <f aca="false">L29*Assumptions!$F$51</f>
        <v>10200</v>
      </c>
      <c r="M30" s="31" t="n">
        <f aca="false">M29*Assumptions!$F$51</f>
        <v>10200</v>
      </c>
    </row>
    <row r="31" customFormat="false" ht="15" hidden="false" customHeight="false" outlineLevel="0" collapsed="false">
      <c r="A31" s="8" t="s">
        <v>350</v>
      </c>
      <c r="B31" s="10" t="s">
        <v>348</v>
      </c>
      <c r="D31" s="31" t="n">
        <f aca="false">D29-D30</f>
        <v>91800</v>
      </c>
      <c r="E31" s="31" t="n">
        <f aca="false">E29-E30</f>
        <v>91800</v>
      </c>
      <c r="F31" s="31" t="n">
        <f aca="false">F29-F30</f>
        <v>91800</v>
      </c>
      <c r="G31" s="31" t="n">
        <f aca="false">G29-G30</f>
        <v>91800</v>
      </c>
      <c r="H31" s="31" t="n">
        <f aca="false">H29-H30</f>
        <v>91800</v>
      </c>
      <c r="I31" s="31" t="n">
        <f aca="false">I29-I30</f>
        <v>91800</v>
      </c>
      <c r="J31" s="31" t="n">
        <f aca="false">J29-J30</f>
        <v>91800</v>
      </c>
      <c r="K31" s="31" t="n">
        <f aca="false">K29-K30</f>
        <v>91800</v>
      </c>
      <c r="L31" s="31" t="n">
        <f aca="false">L29-L30</f>
        <v>91800</v>
      </c>
      <c r="M31" s="31" t="n">
        <f aca="false">M29-M30</f>
        <v>91800</v>
      </c>
    </row>
    <row r="33" customFormat="false" ht="15" hidden="false" customHeight="false" outlineLevel="0" collapsed="false">
      <c r="A33" s="6" t="s">
        <v>351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customFormat="false" ht="15" hidden="false" customHeight="false" outlineLevel="0" collapsed="false">
      <c r="A34" s="8" t="s">
        <v>352</v>
      </c>
      <c r="B34" s="10" t="s">
        <v>104</v>
      </c>
      <c r="D34" s="33" t="n">
        <f aca="false">Assumptions!$F$33*Assumptions!$F$9</f>
        <v>30</v>
      </c>
      <c r="E34" s="33" t="n">
        <f aca="false">D41</f>
        <v>30</v>
      </c>
      <c r="F34" s="33" t="n">
        <f aca="false">E41</f>
        <v>30</v>
      </c>
      <c r="G34" s="33" t="n">
        <f aca="false">F41</f>
        <v>30</v>
      </c>
      <c r="H34" s="33" t="n">
        <f aca="false">G41</f>
        <v>30</v>
      </c>
      <c r="I34" s="33" t="n">
        <f aca="false">H41</f>
        <v>30</v>
      </c>
      <c r="J34" s="33" t="n">
        <f aca="false">I41</f>
        <v>30</v>
      </c>
      <c r="K34" s="33" t="n">
        <f aca="false">J41</f>
        <v>30</v>
      </c>
      <c r="L34" s="33" t="n">
        <f aca="false">K41</f>
        <v>30</v>
      </c>
      <c r="M34" s="33" t="n">
        <f aca="false">L41</f>
        <v>30</v>
      </c>
    </row>
    <row r="35" customFormat="false" ht="15" hidden="false" customHeight="false" outlineLevel="0" collapsed="false">
      <c r="A35" s="8" t="s">
        <v>328</v>
      </c>
      <c r="B35" s="10" t="s">
        <v>104</v>
      </c>
      <c r="D35" s="33" t="n">
        <f aca="false">ROUND(D34*Assumptions!$F$36,0)</f>
        <v>5</v>
      </c>
      <c r="E35" s="33" t="n">
        <f aca="false">ROUND(E34*Assumptions!$F$36,0)</f>
        <v>5</v>
      </c>
      <c r="F35" s="33" t="n">
        <f aca="false">ROUND(F34*Assumptions!$F$36,0)</f>
        <v>5</v>
      </c>
      <c r="G35" s="33" t="n">
        <f aca="false">ROUND(G34*Assumptions!$F$36,0)</f>
        <v>5</v>
      </c>
      <c r="H35" s="33" t="n">
        <f aca="false">ROUND(H34*Assumptions!$F$36,0)</f>
        <v>5</v>
      </c>
      <c r="I35" s="33" t="n">
        <f aca="false">ROUND(I34*Assumptions!$F$36,0)</f>
        <v>5</v>
      </c>
      <c r="J35" s="33" t="n">
        <f aca="false">ROUND(J34*Assumptions!$F$36,0)</f>
        <v>5</v>
      </c>
      <c r="K35" s="33" t="n">
        <f aca="false">ROUND(K34*Assumptions!$F$36,0)</f>
        <v>5</v>
      </c>
      <c r="L35" s="33" t="n">
        <f aca="false">ROUND(L34*Assumptions!$F$36,0)</f>
        <v>5</v>
      </c>
      <c r="M35" s="33" t="n">
        <f aca="false">ROUND(M34*Assumptions!$F$36,0)</f>
        <v>5</v>
      </c>
    </row>
    <row r="36" customFormat="false" ht="15" hidden="false" customHeight="false" outlineLevel="0" collapsed="false">
      <c r="A36" s="8" t="s">
        <v>329</v>
      </c>
      <c r="B36" s="10" t="s">
        <v>104</v>
      </c>
      <c r="D36" s="33" t="n">
        <f aca="false">ROUND(D34*Assumptions!$F$28,0)</f>
        <v>1</v>
      </c>
      <c r="E36" s="33" t="n">
        <f aca="false">ROUND(E34*Assumptions!$F$28,0)</f>
        <v>1</v>
      </c>
      <c r="F36" s="33" t="n">
        <f aca="false">ROUND(F34*Assumptions!$F$28,0)</f>
        <v>1</v>
      </c>
      <c r="G36" s="33" t="n">
        <f aca="false">ROUND(G34*Assumptions!$F$28,0)</f>
        <v>1</v>
      </c>
      <c r="H36" s="33" t="n">
        <f aca="false">ROUND(H34*Assumptions!$F$28,0)</f>
        <v>1</v>
      </c>
      <c r="I36" s="33" t="n">
        <f aca="false">ROUND(I34*Assumptions!$F$28,0)</f>
        <v>1</v>
      </c>
      <c r="J36" s="33" t="n">
        <f aca="false">ROUND(J34*Assumptions!$F$28,0)</f>
        <v>1</v>
      </c>
      <c r="K36" s="33" t="n">
        <f aca="false">ROUND(K34*Assumptions!$F$28,0)</f>
        <v>1</v>
      </c>
      <c r="L36" s="33" t="n">
        <f aca="false">ROUND(L34*Assumptions!$F$28,0)</f>
        <v>1</v>
      </c>
      <c r="M36" s="33" t="n">
        <f aca="false">ROUND(M34*Assumptions!$F$28,0)</f>
        <v>1</v>
      </c>
    </row>
    <row r="37" customFormat="false" ht="15" hidden="false" customHeight="false" outlineLevel="0" collapsed="false">
      <c r="A37" s="8" t="s">
        <v>330</v>
      </c>
      <c r="B37" s="10" t="s">
        <v>104</v>
      </c>
      <c r="D37" s="33" t="n">
        <f aca="false">Assumptions!$F$34*Assumptions!$F$9</f>
        <v>30</v>
      </c>
      <c r="E37" s="33" t="n">
        <f aca="false">Assumptions!$F$34*Assumptions!$F$9</f>
        <v>30</v>
      </c>
      <c r="F37" s="33" t="n">
        <f aca="false">Assumptions!$F$34*Assumptions!$F$9</f>
        <v>30</v>
      </c>
      <c r="G37" s="33" t="n">
        <f aca="false">Assumptions!$F$34*Assumptions!$F$9</f>
        <v>30</v>
      </c>
      <c r="H37" s="33" t="n">
        <f aca="false">Assumptions!$F$34*Assumptions!$F$9</f>
        <v>30</v>
      </c>
      <c r="I37" s="33" t="n">
        <f aca="false">Assumptions!$F$34*Assumptions!$F$9</f>
        <v>30</v>
      </c>
      <c r="J37" s="33" t="n">
        <f aca="false">Assumptions!$F$34*Assumptions!$F$9</f>
        <v>30</v>
      </c>
      <c r="K37" s="33" t="n">
        <f aca="false">Assumptions!$F$34*Assumptions!$F$9</f>
        <v>30</v>
      </c>
      <c r="L37" s="33" t="n">
        <f aca="false">Assumptions!$F$34*Assumptions!$F$9</f>
        <v>30</v>
      </c>
      <c r="M37" s="33" t="n">
        <f aca="false">Assumptions!$F$34*Assumptions!$F$9</f>
        <v>30</v>
      </c>
    </row>
    <row r="38" customFormat="false" ht="15" hidden="false" customHeight="false" outlineLevel="0" collapsed="false">
      <c r="A38" s="8" t="s">
        <v>331</v>
      </c>
      <c r="B38" s="10" t="s">
        <v>104</v>
      </c>
      <c r="D38" s="33" t="n">
        <f aca="false">MAX(0,D37-(D34-D35-D36))</f>
        <v>6</v>
      </c>
      <c r="E38" s="33" t="n">
        <f aca="false">MAX(0,E37-(E34-E35-E36))</f>
        <v>6</v>
      </c>
      <c r="F38" s="33" t="n">
        <f aca="false">MAX(0,F37-(F34-F35-F36))</f>
        <v>6</v>
      </c>
      <c r="G38" s="33" t="n">
        <f aca="false">MAX(0,G37-(G34-G35-G36))</f>
        <v>6</v>
      </c>
      <c r="H38" s="33" t="n">
        <f aca="false">MAX(0,H37-(H34-H35-H36))</f>
        <v>6</v>
      </c>
      <c r="I38" s="33" t="n">
        <f aca="false">MAX(0,I37-(I34-I35-I36))</f>
        <v>6</v>
      </c>
      <c r="J38" s="33" t="n">
        <f aca="false">MAX(0,J37-(J34-J35-J36))</f>
        <v>6</v>
      </c>
      <c r="K38" s="33" t="n">
        <f aca="false">MAX(0,K37-(K34-K35-K36))</f>
        <v>6</v>
      </c>
      <c r="L38" s="33" t="n">
        <f aca="false">MAX(0,L37-(L34-L35-L36))</f>
        <v>6</v>
      </c>
      <c r="M38" s="33" t="n">
        <f aca="false">MAX(0,M37-(M34-M35-M36))</f>
        <v>6</v>
      </c>
    </row>
    <row r="39" customFormat="false" ht="15" hidden="false" customHeight="false" outlineLevel="0" collapsed="false">
      <c r="A39" s="8" t="s">
        <v>332</v>
      </c>
      <c r="B39" s="10" t="s">
        <v>104</v>
      </c>
      <c r="D39" s="33" t="n">
        <f aca="false">MIN(D51,D38)</f>
        <v>0</v>
      </c>
      <c r="E39" s="33" t="n">
        <f aca="false">MIN(E51,E38)</f>
        <v>0</v>
      </c>
      <c r="F39" s="33" t="n">
        <f aca="false">MIN(F51,F38)</f>
        <v>6</v>
      </c>
      <c r="G39" s="33" t="n">
        <f aca="false">MIN(G51,G38)</f>
        <v>6</v>
      </c>
      <c r="H39" s="33" t="n">
        <f aca="false">MIN(H51,H38)</f>
        <v>6</v>
      </c>
      <c r="I39" s="33" t="n">
        <f aca="false">MIN(I51,I38)</f>
        <v>6</v>
      </c>
      <c r="J39" s="33" t="n">
        <f aca="false">MIN(J51,J38)</f>
        <v>6</v>
      </c>
      <c r="K39" s="33" t="n">
        <f aca="false">MIN(K51,K38)</f>
        <v>6</v>
      </c>
      <c r="L39" s="33" t="n">
        <f aca="false">MIN(L51,L38)</f>
        <v>6</v>
      </c>
      <c r="M39" s="33" t="n">
        <f aca="false">MIN(M51,M38)</f>
        <v>6</v>
      </c>
    </row>
    <row r="40" customFormat="false" ht="15" hidden="false" customHeight="false" outlineLevel="0" collapsed="false">
      <c r="A40" s="8" t="s">
        <v>333</v>
      </c>
      <c r="B40" s="10" t="s">
        <v>104</v>
      </c>
      <c r="D40" s="33" t="n">
        <f aca="false">D38-D39</f>
        <v>6</v>
      </c>
      <c r="E40" s="33" t="n">
        <f aca="false">E38-E39</f>
        <v>6</v>
      </c>
      <c r="F40" s="33" t="n">
        <f aca="false">F38-F39</f>
        <v>0</v>
      </c>
      <c r="G40" s="33" t="n">
        <f aca="false">G38-G39</f>
        <v>0</v>
      </c>
      <c r="H40" s="33" t="n">
        <f aca="false">H38-H39</f>
        <v>0</v>
      </c>
      <c r="I40" s="33" t="n">
        <f aca="false">I38-I39</f>
        <v>0</v>
      </c>
      <c r="J40" s="33" t="n">
        <f aca="false">J38-J39</f>
        <v>0</v>
      </c>
      <c r="K40" s="33" t="n">
        <f aca="false">K38-K39</f>
        <v>0</v>
      </c>
      <c r="L40" s="33" t="n">
        <f aca="false">L38-L39</f>
        <v>0</v>
      </c>
      <c r="M40" s="33" t="n">
        <f aca="false">M38-M39</f>
        <v>0</v>
      </c>
    </row>
    <row r="41" customFormat="false" ht="15" hidden="false" customHeight="false" outlineLevel="0" collapsed="false">
      <c r="A41" s="3" t="s">
        <v>353</v>
      </c>
      <c r="B41" s="10" t="s">
        <v>104</v>
      </c>
      <c r="D41" s="41" t="n">
        <f aca="false">D34-D35-D36+D39+D40</f>
        <v>30</v>
      </c>
      <c r="E41" s="41" t="n">
        <f aca="false">E34-E35-E36+E39+E40</f>
        <v>30</v>
      </c>
      <c r="F41" s="41" t="n">
        <f aca="false">F34-F35-F36+F39+F40</f>
        <v>30</v>
      </c>
      <c r="G41" s="41" t="n">
        <f aca="false">G34-G35-G36+G39+G40</f>
        <v>30</v>
      </c>
      <c r="H41" s="41" t="n">
        <f aca="false">H34-H35-H36+H39+H40</f>
        <v>30</v>
      </c>
      <c r="I41" s="41" t="n">
        <f aca="false">I34-I35-I36+I39+I40</f>
        <v>30</v>
      </c>
      <c r="J41" s="41" t="n">
        <f aca="false">J34-J35-J36+J39+J40</f>
        <v>30</v>
      </c>
      <c r="K41" s="41" t="n">
        <f aca="false">K34-K35-K36+K39+K40</f>
        <v>30</v>
      </c>
      <c r="L41" s="41" t="n">
        <f aca="false">L34-L35-L36+L39+L40</f>
        <v>30</v>
      </c>
      <c r="M41" s="41" t="n">
        <f aca="false">M34-M35-M36+M39+M40</f>
        <v>30</v>
      </c>
    </row>
    <row r="42" customFormat="false" ht="15" hidden="false" customHeight="false" outlineLevel="0" collapsed="false">
      <c r="A42" s="8" t="s">
        <v>354</v>
      </c>
      <c r="B42" s="10" t="s">
        <v>104</v>
      </c>
      <c r="D42" s="33" t="n">
        <f aca="false">(D34+D41)/2</f>
        <v>30</v>
      </c>
      <c r="E42" s="33" t="n">
        <f aca="false">(E34+E41)/2</f>
        <v>30</v>
      </c>
      <c r="F42" s="33" t="n">
        <f aca="false">(F34+F41)/2</f>
        <v>30</v>
      </c>
      <c r="G42" s="33" t="n">
        <f aca="false">(G34+G41)/2</f>
        <v>30</v>
      </c>
      <c r="H42" s="33" t="n">
        <f aca="false">(H34+H41)/2</f>
        <v>30</v>
      </c>
      <c r="I42" s="33" t="n">
        <f aca="false">(I34+I41)/2</f>
        <v>30</v>
      </c>
      <c r="J42" s="33" t="n">
        <f aca="false">(J34+J41)/2</f>
        <v>30</v>
      </c>
      <c r="K42" s="33" t="n">
        <f aca="false">(K34+K41)/2</f>
        <v>30</v>
      </c>
      <c r="L42" s="33" t="n">
        <f aca="false">(L34+L41)/2</f>
        <v>30</v>
      </c>
      <c r="M42" s="33" t="n">
        <f aca="false">(M34+M41)/2</f>
        <v>30</v>
      </c>
    </row>
    <row r="44" customFormat="false" ht="15" hidden="false" customHeight="false" outlineLevel="0" collapsed="false">
      <c r="A44" s="6" t="s">
        <v>355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customFormat="false" ht="15" hidden="false" customHeight="false" outlineLevel="0" collapsed="false">
      <c r="A45" s="8" t="s">
        <v>337</v>
      </c>
      <c r="B45" s="10" t="s">
        <v>104</v>
      </c>
      <c r="D45" s="33" t="n">
        <f aca="false">D34*Assumptions!$F$27</f>
        <v>22.5</v>
      </c>
      <c r="E45" s="33" t="n">
        <f aca="false">E34*Assumptions!$F$27</f>
        <v>22.5</v>
      </c>
      <c r="F45" s="33" t="n">
        <f aca="false">F34*Assumptions!$F$27</f>
        <v>22.5</v>
      </c>
      <c r="G45" s="33" t="n">
        <f aca="false">G34*Assumptions!$F$27</f>
        <v>22.5</v>
      </c>
      <c r="H45" s="33" t="n">
        <f aca="false">H34*Assumptions!$F$27</f>
        <v>22.5</v>
      </c>
      <c r="I45" s="33" t="n">
        <f aca="false">I34*Assumptions!$F$27</f>
        <v>22.5</v>
      </c>
      <c r="J45" s="33" t="n">
        <f aca="false">J34*Assumptions!$F$27</f>
        <v>22.5</v>
      </c>
      <c r="K45" s="33" t="n">
        <f aca="false">K34*Assumptions!$F$27</f>
        <v>22.5</v>
      </c>
      <c r="L45" s="33" t="n">
        <f aca="false">L34*Assumptions!$F$27</f>
        <v>22.5</v>
      </c>
      <c r="M45" s="33" t="n">
        <f aca="false">M34*Assumptions!$F$27</f>
        <v>22.5</v>
      </c>
    </row>
    <row r="46" customFormat="false" ht="15" hidden="false" customHeight="false" outlineLevel="0" collapsed="false">
      <c r="A46" s="8" t="s">
        <v>356</v>
      </c>
      <c r="B46" s="10" t="s">
        <v>104</v>
      </c>
      <c r="D46" s="33" t="n">
        <f aca="false">D45*(1-Assumptions!$F$29)</f>
        <v>20.7</v>
      </c>
      <c r="E46" s="33" t="n">
        <f aca="false">E45*(1-Assumptions!$F$29)</f>
        <v>20.7</v>
      </c>
      <c r="F46" s="33" t="n">
        <f aca="false">F45*(1-Assumptions!$F$29)</f>
        <v>20.7</v>
      </c>
      <c r="G46" s="33" t="n">
        <f aca="false">G45*(1-Assumptions!$F$29)</f>
        <v>20.7</v>
      </c>
      <c r="H46" s="33" t="n">
        <f aca="false">H45*(1-Assumptions!$F$29)</f>
        <v>20.7</v>
      </c>
      <c r="I46" s="33" t="n">
        <f aca="false">I45*(1-Assumptions!$F$29)</f>
        <v>20.7</v>
      </c>
      <c r="J46" s="33" t="n">
        <f aca="false">J45*(1-Assumptions!$F$29)</f>
        <v>20.7</v>
      </c>
      <c r="K46" s="33" t="n">
        <f aca="false">K45*(1-Assumptions!$F$29)</f>
        <v>20.7</v>
      </c>
      <c r="L46" s="33" t="n">
        <f aca="false">L45*(1-Assumptions!$F$29)</f>
        <v>20.7</v>
      </c>
      <c r="M46" s="33" t="n">
        <f aca="false">M45*(1-Assumptions!$F$29)</f>
        <v>20.7</v>
      </c>
    </row>
    <row r="47" customFormat="false" ht="15" hidden="false" customHeight="false" outlineLevel="0" collapsed="false">
      <c r="A47" s="8" t="s">
        <v>357</v>
      </c>
      <c r="B47" s="10" t="s">
        <v>104</v>
      </c>
      <c r="D47" s="33" t="n">
        <f aca="false">D46*Assumptions!$F$37</f>
        <v>10.35</v>
      </c>
      <c r="E47" s="33" t="n">
        <f aca="false">E46*Assumptions!$F$37</f>
        <v>10.35</v>
      </c>
      <c r="F47" s="33" t="n">
        <f aca="false">F46*Assumptions!$F$37</f>
        <v>10.35</v>
      </c>
      <c r="G47" s="33" t="n">
        <f aca="false">G46*Assumptions!$F$37</f>
        <v>10.35</v>
      </c>
      <c r="H47" s="33" t="n">
        <f aca="false">H46*Assumptions!$F$37</f>
        <v>10.35</v>
      </c>
      <c r="I47" s="33" t="n">
        <f aca="false">I46*Assumptions!$F$37</f>
        <v>10.35</v>
      </c>
      <c r="J47" s="33" t="n">
        <f aca="false">J46*Assumptions!$F$37</f>
        <v>10.35</v>
      </c>
      <c r="K47" s="33" t="n">
        <f aca="false">K46*Assumptions!$F$37</f>
        <v>10.35</v>
      </c>
      <c r="L47" s="33" t="n">
        <f aca="false">L46*Assumptions!$F$37</f>
        <v>10.35</v>
      </c>
      <c r="M47" s="33" t="n">
        <f aca="false">M46*Assumptions!$F$37</f>
        <v>10.35</v>
      </c>
    </row>
    <row r="48" customFormat="false" ht="15" hidden="false" customHeight="false" outlineLevel="0" collapsed="false">
      <c r="A48" s="8" t="s">
        <v>358</v>
      </c>
      <c r="B48" s="10" t="s">
        <v>104</v>
      </c>
      <c r="D48" s="33" t="n">
        <f aca="false">D46-D47</f>
        <v>10.35</v>
      </c>
      <c r="E48" s="33" t="n">
        <f aca="false">E46-E47</f>
        <v>10.35</v>
      </c>
      <c r="F48" s="33" t="n">
        <f aca="false">F46-F47</f>
        <v>10.35</v>
      </c>
      <c r="G48" s="33" t="n">
        <f aca="false">G46-G47</f>
        <v>10.35</v>
      </c>
      <c r="H48" s="33" t="n">
        <f aca="false">H46-H47</f>
        <v>10.35</v>
      </c>
      <c r="I48" s="33" t="n">
        <f aca="false">I46-I47</f>
        <v>10.35</v>
      </c>
      <c r="J48" s="33" t="n">
        <f aca="false">J46-J47</f>
        <v>10.35</v>
      </c>
      <c r="K48" s="33" t="n">
        <f aca="false">K46-K47</f>
        <v>10.35</v>
      </c>
      <c r="L48" s="33" t="n">
        <f aca="false">L46-L47</f>
        <v>10.35</v>
      </c>
      <c r="M48" s="33" t="n">
        <f aca="false">M46-M47</f>
        <v>10.35</v>
      </c>
    </row>
    <row r="49" customFormat="false" ht="15" hidden="false" customHeight="false" outlineLevel="0" collapsed="false">
      <c r="A49" s="8" t="s">
        <v>359</v>
      </c>
      <c r="B49" s="10" t="s">
        <v>104</v>
      </c>
      <c r="D49" s="33" t="n">
        <f aca="false">D48*(1-Assumptions!$F$45)</f>
        <v>10.35</v>
      </c>
      <c r="E49" s="33" t="n">
        <f aca="false">E48*(1-Assumptions!$F$45)</f>
        <v>10.35</v>
      </c>
      <c r="F49" s="33" t="n">
        <f aca="false">F48*(1-Assumptions!$F$45)</f>
        <v>10.35</v>
      </c>
      <c r="G49" s="33" t="n">
        <f aca="false">G48*(1-Assumptions!$F$45)</f>
        <v>10.35</v>
      </c>
      <c r="H49" s="33" t="n">
        <f aca="false">H48*(1-Assumptions!$F$45)</f>
        <v>10.35</v>
      </c>
      <c r="I49" s="33" t="n">
        <f aca="false">I48*(1-Assumptions!$F$45)</f>
        <v>10.35</v>
      </c>
      <c r="J49" s="33" t="n">
        <f aca="false">J48*(1-Assumptions!$F$45)</f>
        <v>10.35</v>
      </c>
      <c r="K49" s="33" t="n">
        <f aca="false">K48*(1-Assumptions!$F$45)</f>
        <v>10.35</v>
      </c>
      <c r="L49" s="33" t="n">
        <f aca="false">L48*(1-Assumptions!$F$45)</f>
        <v>10.35</v>
      </c>
      <c r="M49" s="33" t="n">
        <f aca="false">M48*(1-Assumptions!$F$45)</f>
        <v>10.35</v>
      </c>
    </row>
    <row r="50" customFormat="false" ht="15" hidden="false" customHeight="false" outlineLevel="0" collapsed="false">
      <c r="A50" s="8" t="s">
        <v>360</v>
      </c>
      <c r="B50" s="10" t="s">
        <v>104</v>
      </c>
      <c r="D50" s="33" t="n">
        <f aca="false">D48*Assumptions!$F$45</f>
        <v>0</v>
      </c>
      <c r="E50" s="33" t="n">
        <f aca="false">E48*Assumptions!$F$45</f>
        <v>0</v>
      </c>
      <c r="F50" s="33" t="n">
        <f aca="false">F48*Assumptions!$F$45</f>
        <v>0</v>
      </c>
      <c r="G50" s="33" t="n">
        <f aca="false">G48*Assumptions!$F$45</f>
        <v>0</v>
      </c>
      <c r="H50" s="33" t="n">
        <f aca="false">H48*Assumptions!$F$45</f>
        <v>0</v>
      </c>
      <c r="I50" s="33" t="n">
        <f aca="false">I48*Assumptions!$F$45</f>
        <v>0</v>
      </c>
      <c r="J50" s="33" t="n">
        <f aca="false">J48*Assumptions!$F$45</f>
        <v>0</v>
      </c>
      <c r="K50" s="33" t="n">
        <f aca="false">K48*Assumptions!$F$45</f>
        <v>0</v>
      </c>
      <c r="L50" s="33" t="n">
        <f aca="false">L48*Assumptions!$F$45</f>
        <v>0</v>
      </c>
      <c r="M50" s="33" t="n">
        <f aca="false">M48*Assumptions!$F$45</f>
        <v>0</v>
      </c>
    </row>
    <row r="51" customFormat="false" ht="15" hidden="false" customHeight="false" outlineLevel="0" collapsed="false">
      <c r="A51" s="8" t="s">
        <v>343</v>
      </c>
      <c r="B51" s="10" t="s">
        <v>104</v>
      </c>
      <c r="D51" s="33" t="n">
        <f aca="false">0</f>
        <v>0</v>
      </c>
      <c r="E51" s="33" t="n">
        <f aca="false">0</f>
        <v>0</v>
      </c>
      <c r="F51" s="33" t="n">
        <f aca="false">E47</f>
        <v>10.35</v>
      </c>
      <c r="G51" s="33" t="n">
        <f aca="false">F47</f>
        <v>10.35</v>
      </c>
      <c r="H51" s="33" t="n">
        <f aca="false">G47</f>
        <v>10.35</v>
      </c>
      <c r="I51" s="33" t="n">
        <f aca="false">H47</f>
        <v>10.35</v>
      </c>
      <c r="J51" s="33" t="n">
        <f aca="false">I47</f>
        <v>10.35</v>
      </c>
      <c r="K51" s="33" t="n">
        <f aca="false">J47</f>
        <v>10.35</v>
      </c>
      <c r="L51" s="33" t="n">
        <f aca="false">K47</f>
        <v>10.35</v>
      </c>
      <c r="M51" s="33" t="n">
        <f aca="false">L47</f>
        <v>10.35</v>
      </c>
    </row>
    <row r="52" customFormat="false" ht="15" hidden="false" customHeight="false" outlineLevel="0" collapsed="false">
      <c r="A52" s="8" t="s">
        <v>344</v>
      </c>
      <c r="B52" s="10" t="s">
        <v>104</v>
      </c>
      <c r="D52" s="33" t="n">
        <f aca="false">D51-D39</f>
        <v>0</v>
      </c>
      <c r="E52" s="33" t="n">
        <f aca="false">E51-E39</f>
        <v>0</v>
      </c>
      <c r="F52" s="33" t="n">
        <f aca="false">F51-F39</f>
        <v>4.35</v>
      </c>
      <c r="G52" s="33" t="n">
        <f aca="false">G51-G39</f>
        <v>4.35</v>
      </c>
      <c r="H52" s="33" t="n">
        <f aca="false">H51-H39</f>
        <v>4.35</v>
      </c>
      <c r="I52" s="33" t="n">
        <f aca="false">I51-I39</f>
        <v>4.35</v>
      </c>
      <c r="J52" s="33" t="n">
        <f aca="false">J51-J39</f>
        <v>4.35</v>
      </c>
      <c r="K52" s="33" t="n">
        <f aca="false">K51-K39</f>
        <v>4.35</v>
      </c>
      <c r="L52" s="33" t="n">
        <f aca="false">L51-L39</f>
        <v>4.35</v>
      </c>
      <c r="M52" s="33" t="n">
        <f aca="false">M51-M39</f>
        <v>4.35</v>
      </c>
    </row>
    <row r="53" customFormat="false" ht="15" hidden="false" customHeight="false" outlineLevel="0" collapsed="false">
      <c r="A53" s="8" t="s">
        <v>361</v>
      </c>
      <c r="B53" s="10" t="s">
        <v>104</v>
      </c>
      <c r="D53" s="33" t="n">
        <f aca="false">D47</f>
        <v>10.35</v>
      </c>
      <c r="E53" s="33" t="n">
        <f aca="false">E47+D47</f>
        <v>20.7</v>
      </c>
      <c r="F53" s="33" t="n">
        <f aca="false">F47+E47</f>
        <v>20.7</v>
      </c>
      <c r="G53" s="33" t="n">
        <f aca="false">G47+F47</f>
        <v>20.7</v>
      </c>
      <c r="H53" s="33" t="n">
        <f aca="false">H47+G47</f>
        <v>20.7</v>
      </c>
      <c r="I53" s="33" t="n">
        <f aca="false">I47+H47</f>
        <v>20.7</v>
      </c>
      <c r="J53" s="33" t="n">
        <f aca="false">J47+I47</f>
        <v>20.7</v>
      </c>
      <c r="K53" s="33" t="n">
        <f aca="false">K47+J47</f>
        <v>20.7</v>
      </c>
      <c r="L53" s="33" t="n">
        <f aca="false">L47+K47</f>
        <v>20.7</v>
      </c>
      <c r="M53" s="33" t="n">
        <f aca="false">M47+L47</f>
        <v>20.7</v>
      </c>
    </row>
    <row r="54" customFormat="false" ht="15" hidden="false" customHeight="false" outlineLevel="0" collapsed="false">
      <c r="A54" s="8" t="s">
        <v>362</v>
      </c>
      <c r="B54" s="10" t="s">
        <v>104</v>
      </c>
      <c r="D54" s="33" t="n">
        <f aca="false">ROUNDUP(D42/Assumptions!$F$47,0)</f>
        <v>2</v>
      </c>
      <c r="E54" s="33" t="n">
        <f aca="false">ROUNDUP(E42/Assumptions!$F$47,0)</f>
        <v>2</v>
      </c>
      <c r="F54" s="33" t="n">
        <f aca="false">ROUNDUP(F42/Assumptions!$F$47,0)</f>
        <v>2</v>
      </c>
      <c r="G54" s="33" t="n">
        <f aca="false">ROUNDUP(G42/Assumptions!$F$47,0)</f>
        <v>2</v>
      </c>
      <c r="H54" s="33" t="n">
        <f aca="false">ROUNDUP(H42/Assumptions!$F$47,0)</f>
        <v>2</v>
      </c>
      <c r="I54" s="33" t="n">
        <f aca="false">ROUNDUP(I42/Assumptions!$F$47,0)</f>
        <v>2</v>
      </c>
      <c r="J54" s="33" t="n">
        <f aca="false">ROUNDUP(J42/Assumptions!$F$47,0)</f>
        <v>2</v>
      </c>
      <c r="K54" s="33" t="n">
        <f aca="false">ROUNDUP(K42/Assumptions!$F$47,0)</f>
        <v>2</v>
      </c>
      <c r="L54" s="33" t="n">
        <f aca="false">ROUNDUP(L42/Assumptions!$F$47,0)</f>
        <v>2</v>
      </c>
      <c r="M54" s="33" t="n">
        <f aca="false">ROUNDUP(M42/Assumptions!$F$47,0)</f>
        <v>2</v>
      </c>
    </row>
    <row r="56" customFormat="false" ht="15" hidden="false" customHeight="false" outlineLevel="0" collapsed="false">
      <c r="A56" s="6" t="s">
        <v>363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customFormat="false" ht="15" hidden="false" customHeight="false" outlineLevel="0" collapsed="false">
      <c r="A57" s="8" t="s">
        <v>364</v>
      </c>
      <c r="B57" s="10" t="s">
        <v>365</v>
      </c>
      <c r="D57" s="33" t="n">
        <f aca="false">D15+D42+D54+0.5*(D26+D53)</f>
        <v>84.535</v>
      </c>
      <c r="E57" s="33" t="n">
        <f aca="false">E15+E42+E54+0.5*(E26+E53)</f>
        <v>97.07</v>
      </c>
      <c r="F57" s="33" t="n">
        <f aca="false">F15+F42+F54+0.5*(F26+F53)</f>
        <v>97.07</v>
      </c>
      <c r="G57" s="33" t="n">
        <f aca="false">G15+G42+G54+0.5*(G26+G53)</f>
        <v>97.07</v>
      </c>
      <c r="H57" s="33" t="n">
        <f aca="false">H15+H42+H54+0.5*(H26+H53)</f>
        <v>97.07</v>
      </c>
      <c r="I57" s="33" t="n">
        <f aca="false">I15+I42+I54+0.5*(I26+I53)</f>
        <v>97.07</v>
      </c>
      <c r="J57" s="33" t="n">
        <f aca="false">J15+J42+J54+0.5*(J26+J53)</f>
        <v>97.07</v>
      </c>
      <c r="K57" s="33" t="n">
        <f aca="false">K15+K42+K54+0.5*(K26+K53)</f>
        <v>97.07</v>
      </c>
      <c r="L57" s="33" t="n">
        <f aca="false">L15+L42+L54+0.5*(L26+L53)</f>
        <v>97.07</v>
      </c>
      <c r="M57" s="33" t="n">
        <f aca="false">M15+M42+M54+0.5*(M26+M53)</f>
        <v>97.07</v>
      </c>
    </row>
    <row r="58" customFormat="false" ht="15" hidden="false" customHeight="false" outlineLevel="0" collapsed="false">
      <c r="A58" s="8" t="s">
        <v>366</v>
      </c>
      <c r="B58" s="10" t="s">
        <v>365</v>
      </c>
      <c r="D58" s="33" t="n">
        <f aca="false">Assumptions!$F$10*Assumptions!$F$11</f>
        <v>120</v>
      </c>
      <c r="E58" s="33" t="n">
        <f aca="false">Assumptions!$F$10*Assumptions!$F$11</f>
        <v>120</v>
      </c>
      <c r="F58" s="33" t="n">
        <f aca="false">Assumptions!$F$10*Assumptions!$F$11</f>
        <v>120</v>
      </c>
      <c r="G58" s="33" t="n">
        <f aca="false">Assumptions!$F$10*Assumptions!$F$11</f>
        <v>120</v>
      </c>
      <c r="H58" s="33" t="n">
        <f aca="false">Assumptions!$F$10*Assumptions!$F$11</f>
        <v>120</v>
      </c>
      <c r="I58" s="33" t="n">
        <f aca="false">Assumptions!$F$10*Assumptions!$F$11</f>
        <v>120</v>
      </c>
      <c r="J58" s="33" t="n">
        <f aca="false">Assumptions!$F$10*Assumptions!$F$11</f>
        <v>120</v>
      </c>
      <c r="K58" s="33" t="n">
        <f aca="false">Assumptions!$F$10*Assumptions!$F$11</f>
        <v>120</v>
      </c>
      <c r="L58" s="33" t="n">
        <f aca="false">Assumptions!$F$10*Assumptions!$F$11</f>
        <v>120</v>
      </c>
      <c r="M58" s="33" t="n">
        <f aca="false">Assumptions!$F$10*Assumptions!$F$11</f>
        <v>120</v>
      </c>
    </row>
    <row r="59" customFormat="false" ht="15" hidden="false" customHeight="false" outlineLevel="0" collapsed="false">
      <c r="A59" s="8" t="s">
        <v>367</v>
      </c>
      <c r="B59" s="10" t="s">
        <v>75</v>
      </c>
      <c r="D59" s="22" t="n">
        <f aca="false">IF(D58=0,0,D57/D58)</f>
        <v>0.704458333333333</v>
      </c>
      <c r="E59" s="22" t="n">
        <f aca="false">IF(E58=0,0,E57/E58)</f>
        <v>0.808916666666667</v>
      </c>
      <c r="F59" s="22" t="n">
        <f aca="false">IF(F58=0,0,F57/F58)</f>
        <v>0.808916666666667</v>
      </c>
      <c r="G59" s="22" t="n">
        <f aca="false">IF(G58=0,0,G57/G58)</f>
        <v>0.808916666666667</v>
      </c>
      <c r="H59" s="22" t="n">
        <f aca="false">IF(H58=0,0,H57/H58)</f>
        <v>0.808916666666667</v>
      </c>
      <c r="I59" s="22" t="n">
        <f aca="false">IF(I58=0,0,I57/I58)</f>
        <v>0.808916666666667</v>
      </c>
      <c r="J59" s="22" t="n">
        <f aca="false">IF(J58=0,0,J57/J58)</f>
        <v>0.808916666666667</v>
      </c>
      <c r="K59" s="22" t="n">
        <f aca="false">IF(K58=0,0,K57/K58)</f>
        <v>0.808916666666667</v>
      </c>
      <c r="L59" s="22" t="n">
        <f aca="false">IF(L58=0,0,L57/L58)</f>
        <v>0.808916666666667</v>
      </c>
      <c r="M59" s="22" t="n">
        <f aca="false">IF(M58=0,0,M57/M58)</f>
        <v>0.808916666666667</v>
      </c>
    </row>
    <row r="60" customFormat="false" ht="15" hidden="false" customHeight="false" outlineLevel="0" collapsed="false">
      <c r="A60" s="8" t="s">
        <v>368</v>
      </c>
      <c r="B60" s="10"/>
      <c r="D60" s="8" t="str">
        <f aca="false">IF(D59&gt;1,"WARNING","OK")</f>
        <v>OK</v>
      </c>
      <c r="E60" s="8" t="str">
        <f aca="false">IF(E59&gt;1,"WARNING","OK")</f>
        <v>OK</v>
      </c>
      <c r="F60" s="8" t="str">
        <f aca="false">IF(F59&gt;1,"WARNING","OK")</f>
        <v>OK</v>
      </c>
      <c r="G60" s="8" t="str">
        <f aca="false">IF(G59&gt;1,"WARNING","OK")</f>
        <v>OK</v>
      </c>
      <c r="H60" s="8" t="str">
        <f aca="false">IF(H59&gt;1,"WARNING","OK")</f>
        <v>OK</v>
      </c>
      <c r="I60" s="8" t="str">
        <f aca="false">IF(I59&gt;1,"WARNING","OK")</f>
        <v>OK</v>
      </c>
      <c r="J60" s="8" t="str">
        <f aca="false">IF(J59&gt;1,"WARNING","OK")</f>
        <v>OK</v>
      </c>
      <c r="K60" s="8" t="str">
        <f aca="false">IF(K59&gt;1,"WARNING","OK")</f>
        <v>OK</v>
      </c>
      <c r="L60" s="8" t="str">
        <f aca="false">IF(L59&gt;1,"WARNING","OK")</f>
        <v>OK</v>
      </c>
      <c r="M60" s="8" t="str">
        <f aca="false">IF(M59&gt;1,"WARNING","OK")</f>
        <v>OK</v>
      </c>
    </row>
    <row r="62" customFormat="false" ht="15" hidden="false" customHeight="false" outlineLevel="0" collapsed="false">
      <c r="A62" s="37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13" min="3" style="0" width="11.5"/>
  </cols>
  <sheetData>
    <row r="1" customFormat="false" ht="17.35" hidden="false" customHeight="false" outlineLevel="0" collapsed="false">
      <c r="A1" s="1" t="s">
        <v>370</v>
      </c>
    </row>
    <row r="2" customFormat="false" ht="15" hidden="false" customHeight="false" outlineLevel="0" collapsed="false">
      <c r="A2" s="2" t="s">
        <v>371</v>
      </c>
    </row>
    <row r="3" customFormat="false" ht="15" hidden="false" customHeight="false" outlineLevel="0" collapsed="false">
      <c r="A3" s="38" t="s">
        <v>313</v>
      </c>
      <c r="B3" s="38" t="s">
        <v>36</v>
      </c>
      <c r="C3" s="39" t="s">
        <v>314</v>
      </c>
      <c r="D3" s="39" t="s">
        <v>315</v>
      </c>
      <c r="E3" s="39" t="s">
        <v>316</v>
      </c>
      <c r="F3" s="39" t="s">
        <v>317</v>
      </c>
      <c r="G3" s="39" t="s">
        <v>318</v>
      </c>
      <c r="H3" s="39" t="s">
        <v>319</v>
      </c>
      <c r="I3" s="39" t="s">
        <v>320</v>
      </c>
      <c r="J3" s="39" t="s">
        <v>321</v>
      </c>
      <c r="K3" s="39" t="s">
        <v>322</v>
      </c>
      <c r="L3" s="39" t="s">
        <v>323</v>
      </c>
      <c r="M3" s="39" t="s">
        <v>324</v>
      </c>
    </row>
    <row r="4" customFormat="false" ht="15" hidden="false" customHeight="false" outlineLevel="0" collapsed="false">
      <c r="A4" s="40" t="s">
        <v>325</v>
      </c>
      <c r="C4" s="40" t="n">
        <v>0</v>
      </c>
      <c r="D4" s="40" t="n">
        <v>1</v>
      </c>
      <c r="E4" s="40" t="n">
        <v>2</v>
      </c>
      <c r="F4" s="40" t="n">
        <v>3</v>
      </c>
      <c r="G4" s="40" t="n">
        <v>4</v>
      </c>
      <c r="H4" s="40" t="n">
        <v>5</v>
      </c>
      <c r="I4" s="40" t="n">
        <v>6</v>
      </c>
      <c r="J4" s="40" t="n">
        <v>7</v>
      </c>
      <c r="K4" s="40" t="n">
        <v>8</v>
      </c>
      <c r="L4" s="40" t="n">
        <v>9</v>
      </c>
      <c r="M4" s="40" t="n">
        <v>10</v>
      </c>
    </row>
    <row r="6" customFormat="false" ht="15" hidden="false" customHeight="false" outlineLevel="0" collapsed="false">
      <c r="A6" s="8" t="s">
        <v>372</v>
      </c>
      <c r="B6" s="10" t="s">
        <v>373</v>
      </c>
      <c r="D6" s="42" t="n">
        <f aca="false">(1+Assumptions!$F$15)^(D$4-1)</f>
        <v>1</v>
      </c>
      <c r="E6" s="42" t="n">
        <f aca="false">(1+Assumptions!$F$15)^(E$4-1)</f>
        <v>1.03</v>
      </c>
      <c r="F6" s="42" t="n">
        <f aca="false">(1+Assumptions!$F$15)^(F$4-1)</f>
        <v>1.0609</v>
      </c>
      <c r="G6" s="42" t="n">
        <f aca="false">(1+Assumptions!$F$15)^(G$4-1)</f>
        <v>1.092727</v>
      </c>
      <c r="H6" s="42" t="n">
        <f aca="false">(1+Assumptions!$F$15)^(H$4-1)</f>
        <v>1.12550881</v>
      </c>
      <c r="I6" s="42" t="n">
        <f aca="false">(1+Assumptions!$F$15)^(I$4-1)</f>
        <v>1.1592740743</v>
      </c>
      <c r="J6" s="42" t="n">
        <f aca="false">(1+Assumptions!$F$15)^(J$4-1)</f>
        <v>1.194052296529</v>
      </c>
      <c r="K6" s="42" t="n">
        <f aca="false">(1+Assumptions!$F$15)^(K$4-1)</f>
        <v>1.22987386542487</v>
      </c>
      <c r="L6" s="42" t="n">
        <f aca="false">(1+Assumptions!$F$15)^(L$4-1)</f>
        <v>1.26677008138762</v>
      </c>
      <c r="M6" s="42" t="n">
        <f aca="false">(1+Assumptions!$F$15)^(M$4-1)</f>
        <v>1.30477318382925</v>
      </c>
    </row>
    <row r="7" customFormat="false" ht="15" hidden="false" customHeight="false" outlineLevel="0" collapsed="false">
      <c r="A7" s="6" t="s">
        <v>374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customFormat="false" ht="15" hidden="false" customHeight="false" outlineLevel="0" collapsed="false">
      <c r="A8" s="8" t="s">
        <v>375</v>
      </c>
      <c r="B8" s="10" t="s">
        <v>376</v>
      </c>
      <c r="D8" s="31" t="n">
        <f aca="false">Herd!D31*Assumptions!$F$22*D$6</f>
        <v>55080</v>
      </c>
      <c r="E8" s="31" t="n">
        <f aca="false">Herd!E31*Assumptions!$F$22*E$6</f>
        <v>56732.4</v>
      </c>
      <c r="F8" s="31" t="n">
        <f aca="false">Herd!F31*Assumptions!$F$22*F$6</f>
        <v>58434.372</v>
      </c>
      <c r="G8" s="31" t="n">
        <f aca="false">Herd!G31*Assumptions!$F$22*G$6</f>
        <v>60187.40316</v>
      </c>
      <c r="H8" s="31" t="n">
        <f aca="false">Herd!H31*Assumptions!$F$22*H$6</f>
        <v>61993.0252548</v>
      </c>
      <c r="I8" s="31" t="n">
        <f aca="false">Herd!I31*Assumptions!$F$22*I$6</f>
        <v>63852.816012444</v>
      </c>
      <c r="J8" s="31" t="n">
        <f aca="false">Herd!J31*Assumptions!$F$22*J$6</f>
        <v>65768.4004928173</v>
      </c>
      <c r="K8" s="31" t="n">
        <f aca="false">Herd!K31*Assumptions!$F$22*K$6</f>
        <v>67741.4525076019</v>
      </c>
      <c r="L8" s="31" t="n">
        <f aca="false">Herd!L31*Assumptions!$F$22*L$6</f>
        <v>69773.6960828299</v>
      </c>
      <c r="M8" s="31" t="n">
        <f aca="false">Herd!M31*Assumptions!$F$22*M$6</f>
        <v>71866.9069653148</v>
      </c>
    </row>
    <row r="9" customFormat="false" ht="15" hidden="false" customHeight="false" outlineLevel="0" collapsed="false">
      <c r="A9" s="8" t="s">
        <v>377</v>
      </c>
      <c r="B9" s="10" t="s">
        <v>376</v>
      </c>
      <c r="D9" s="31" t="n">
        <f aca="false">Herd!D30*Assumptions!$F$22*Assumptions!$F$52*D$6</f>
        <v>12240</v>
      </c>
      <c r="E9" s="31" t="n">
        <f aca="false">Herd!E30*Assumptions!$F$22*Assumptions!$F$52*E$6</f>
        <v>12607.2</v>
      </c>
      <c r="F9" s="31" t="n">
        <f aca="false">Herd!F30*Assumptions!$F$22*Assumptions!$F$52*F$6</f>
        <v>12985.416</v>
      </c>
      <c r="G9" s="31" t="n">
        <f aca="false">Herd!G30*Assumptions!$F$22*Assumptions!$F$52*G$6</f>
        <v>13374.97848</v>
      </c>
      <c r="H9" s="31" t="n">
        <f aca="false">Herd!H30*Assumptions!$F$22*Assumptions!$F$52*H$6</f>
        <v>13776.2278344</v>
      </c>
      <c r="I9" s="31" t="n">
        <f aca="false">Herd!I30*Assumptions!$F$22*Assumptions!$F$52*I$6</f>
        <v>14189.514669432</v>
      </c>
      <c r="J9" s="31" t="n">
        <f aca="false">Herd!J30*Assumptions!$F$22*Assumptions!$F$52*J$6</f>
        <v>14615.200109515</v>
      </c>
      <c r="K9" s="31" t="n">
        <f aca="false">Herd!K30*Assumptions!$F$22*Assumptions!$F$52*K$6</f>
        <v>15053.6561128004</v>
      </c>
      <c r="L9" s="31" t="n">
        <f aca="false">Herd!L30*Assumptions!$F$22*Assumptions!$F$52*L$6</f>
        <v>15505.2657961844</v>
      </c>
      <c r="M9" s="31" t="n">
        <f aca="false">Herd!M30*Assumptions!$F$22*Assumptions!$F$52*M$6</f>
        <v>15970.42377007</v>
      </c>
    </row>
    <row r="10" customFormat="false" ht="15" hidden="false" customHeight="false" outlineLevel="0" collapsed="false">
      <c r="A10" s="8" t="s">
        <v>378</v>
      </c>
      <c r="B10" s="10" t="s">
        <v>376</v>
      </c>
      <c r="D10" s="31" t="n">
        <f aca="false">Herd!D22*Assumptions!$F$55*Assumptions!$F$25*D$6</f>
        <v>588.8</v>
      </c>
      <c r="E10" s="31" t="n">
        <f aca="false">Herd!E22*Assumptions!$F$55*Assumptions!$F$25*E$6</f>
        <v>606.464</v>
      </c>
      <c r="F10" s="31" t="n">
        <f aca="false">Herd!F22*Assumptions!$F$55*Assumptions!$F$25*F$6</f>
        <v>624.65792</v>
      </c>
      <c r="G10" s="31" t="n">
        <f aca="false">Herd!G22*Assumptions!$F$55*Assumptions!$F$25*G$6</f>
        <v>643.3976576</v>
      </c>
      <c r="H10" s="31" t="n">
        <f aca="false">Herd!H22*Assumptions!$F$55*Assumptions!$F$25*H$6</f>
        <v>662.699587328</v>
      </c>
      <c r="I10" s="31" t="n">
        <f aca="false">Herd!I22*Assumptions!$F$55*Assumptions!$F$25*I$6</f>
        <v>682.58057494784</v>
      </c>
      <c r="J10" s="31" t="n">
        <f aca="false">Herd!J22*Assumptions!$F$55*Assumptions!$F$25*J$6</f>
        <v>703.057992196275</v>
      </c>
      <c r="K10" s="31" t="n">
        <f aca="false">Herd!K22*Assumptions!$F$55*Assumptions!$F$25*K$6</f>
        <v>724.149731962164</v>
      </c>
      <c r="L10" s="31" t="n">
        <f aca="false">Herd!L22*Assumptions!$F$55*Assumptions!$F$25*L$6</f>
        <v>745.874223921029</v>
      </c>
      <c r="M10" s="31" t="n">
        <f aca="false">Herd!M22*Assumptions!$F$55*Assumptions!$F$25*M$6</f>
        <v>768.25045063866</v>
      </c>
    </row>
    <row r="11" customFormat="false" ht="15" hidden="false" customHeight="false" outlineLevel="0" collapsed="false">
      <c r="A11" s="8" t="s">
        <v>379</v>
      </c>
      <c r="B11" s="10" t="s">
        <v>376</v>
      </c>
      <c r="D11" s="31" t="n">
        <f aca="false">Herd!D23*Assumptions!$F$56*Assumptions!$F$25*D$6</f>
        <v>0</v>
      </c>
      <c r="E11" s="31" t="n">
        <f aca="false">Herd!E23*Assumptions!$F$56*Assumptions!$F$25*E$6</f>
        <v>0</v>
      </c>
      <c r="F11" s="31" t="n">
        <f aca="false">Herd!F23*Assumptions!$F$56*Assumptions!$F$25*F$6</f>
        <v>0</v>
      </c>
      <c r="G11" s="31" t="n">
        <f aca="false">Herd!G23*Assumptions!$F$56*Assumptions!$F$25*G$6</f>
        <v>0</v>
      </c>
      <c r="H11" s="31" t="n">
        <f aca="false">Herd!H23*Assumptions!$F$56*Assumptions!$F$25*H$6</f>
        <v>0</v>
      </c>
      <c r="I11" s="31" t="n">
        <f aca="false">Herd!I23*Assumptions!$F$56*Assumptions!$F$25*I$6</f>
        <v>0</v>
      </c>
      <c r="J11" s="31" t="n">
        <f aca="false">Herd!J23*Assumptions!$F$56*Assumptions!$F$25*J$6</f>
        <v>0</v>
      </c>
      <c r="K11" s="31" t="n">
        <f aca="false">Herd!K23*Assumptions!$F$56*Assumptions!$F$25*K$6</f>
        <v>0</v>
      </c>
      <c r="L11" s="31" t="n">
        <f aca="false">Herd!L23*Assumptions!$F$56*Assumptions!$F$25*L$6</f>
        <v>0</v>
      </c>
      <c r="M11" s="31" t="n">
        <f aca="false">Herd!M23*Assumptions!$F$56*Assumptions!$F$25*M$6</f>
        <v>0</v>
      </c>
    </row>
    <row r="12" customFormat="false" ht="15" hidden="false" customHeight="false" outlineLevel="0" collapsed="false">
      <c r="A12" s="8" t="s">
        <v>380</v>
      </c>
      <c r="B12" s="10" t="s">
        <v>376</v>
      </c>
      <c r="D12" s="31" t="n">
        <f aca="false">Herd!D25*(1-Assumptions!$F$42)*Assumptions!$F$57*Assumptions!$F$25*D$6</f>
        <v>0</v>
      </c>
      <c r="E12" s="31" t="n">
        <f aca="false">Herd!E25*(1-Assumptions!$F$42)*Assumptions!$F$57*Assumptions!$F$25*E$6</f>
        <v>0</v>
      </c>
      <c r="F12" s="31" t="n">
        <f aca="false">Herd!F25*(1-Assumptions!$F$42)*Assumptions!$F$57*Assumptions!$F$25*F$6</f>
        <v>4247.8436</v>
      </c>
      <c r="G12" s="31" t="n">
        <f aca="false">Herd!G25*(1-Assumptions!$F$42)*Assumptions!$F$57*Assumptions!$F$25*G$6</f>
        <v>4375.278908</v>
      </c>
      <c r="H12" s="31" t="n">
        <f aca="false">Herd!H25*(1-Assumptions!$F$42)*Assumptions!$F$57*Assumptions!$F$25*H$6</f>
        <v>4506.53727524</v>
      </c>
      <c r="I12" s="31" t="n">
        <f aca="false">Herd!I25*(1-Assumptions!$F$42)*Assumptions!$F$57*Assumptions!$F$25*I$6</f>
        <v>4641.7333934972</v>
      </c>
      <c r="J12" s="31" t="n">
        <f aca="false">Herd!J25*(1-Assumptions!$F$42)*Assumptions!$F$57*Assumptions!$F$25*J$6</f>
        <v>4780.98539530212</v>
      </c>
      <c r="K12" s="31" t="n">
        <f aca="false">Herd!K25*(1-Assumptions!$F$42)*Assumptions!$F$57*Assumptions!$F$25*K$6</f>
        <v>4924.41495716118</v>
      </c>
      <c r="L12" s="31" t="n">
        <f aca="false">Herd!L25*(1-Assumptions!$F$42)*Assumptions!$F$57*Assumptions!$F$25*L$6</f>
        <v>5072.14740587602</v>
      </c>
      <c r="M12" s="31" t="n">
        <f aca="false">Herd!M25*(1-Assumptions!$F$42)*Assumptions!$F$57*Assumptions!$F$25*M$6</f>
        <v>5224.3118280523</v>
      </c>
    </row>
    <row r="13" customFormat="false" ht="15" hidden="false" customHeight="false" outlineLevel="0" collapsed="false">
      <c r="A13" s="8" t="s">
        <v>381</v>
      </c>
      <c r="B13" s="10" t="s">
        <v>376</v>
      </c>
      <c r="D13" s="31" t="n">
        <f aca="false">Herd!D25*Assumptions!$F$42*Assumptions!$F$57*Assumptions!$F$44*Assumptions!$F$25*D$6</f>
        <v>0</v>
      </c>
      <c r="E13" s="31" t="n">
        <f aca="false">Herd!E25*Assumptions!$F$42*Assumptions!$F$57*Assumptions!$F$44*Assumptions!$F$25*E$6</f>
        <v>0</v>
      </c>
      <c r="F13" s="31" t="n">
        <f aca="false">Herd!F25*Assumptions!$F$42*Assumptions!$F$57*Assumptions!$F$44*Assumptions!$F$25*F$6</f>
        <v>0</v>
      </c>
      <c r="G13" s="31" t="n">
        <f aca="false">Herd!G25*Assumptions!$F$42*Assumptions!$F$57*Assumptions!$F$44*Assumptions!$F$25*G$6</f>
        <v>0</v>
      </c>
      <c r="H13" s="31" t="n">
        <f aca="false">Herd!H25*Assumptions!$F$42*Assumptions!$F$57*Assumptions!$F$44*Assumptions!$F$25*H$6</f>
        <v>0</v>
      </c>
      <c r="I13" s="31" t="n">
        <f aca="false">Herd!I25*Assumptions!$F$42*Assumptions!$F$57*Assumptions!$F$44*Assumptions!$F$25*I$6</f>
        <v>0</v>
      </c>
      <c r="J13" s="31" t="n">
        <f aca="false">Herd!J25*Assumptions!$F$42*Assumptions!$F$57*Assumptions!$F$44*Assumptions!$F$25*J$6</f>
        <v>0</v>
      </c>
      <c r="K13" s="31" t="n">
        <f aca="false">Herd!K25*Assumptions!$F$42*Assumptions!$F$57*Assumptions!$F$44*Assumptions!$F$25*K$6</f>
        <v>0</v>
      </c>
      <c r="L13" s="31" t="n">
        <f aca="false">Herd!L25*Assumptions!$F$42*Assumptions!$F$57*Assumptions!$F$44*Assumptions!$F$25*L$6</f>
        <v>0</v>
      </c>
      <c r="M13" s="31" t="n">
        <f aca="false">Herd!M25*Assumptions!$F$42*Assumptions!$F$57*Assumptions!$F$44*Assumptions!$F$25*M$6</f>
        <v>0</v>
      </c>
    </row>
    <row r="14" customFormat="false" ht="15" hidden="false" customHeight="false" outlineLevel="0" collapsed="false">
      <c r="A14" s="8" t="s">
        <v>382</v>
      </c>
      <c r="B14" s="10" t="s">
        <v>376</v>
      </c>
      <c r="D14" s="31" t="n">
        <f aca="false">Herd!D8*Assumptions!$F$63*Assumptions!$F$65*Assumptions!$F$25*D$6</f>
        <v>5376</v>
      </c>
      <c r="E14" s="31" t="n">
        <f aca="false">Herd!E8*Assumptions!$F$63*Assumptions!$F$65*Assumptions!$F$25*E$6</f>
        <v>5537.28</v>
      </c>
      <c r="F14" s="31" t="n">
        <f aca="false">Herd!F8*Assumptions!$F$63*Assumptions!$F$65*Assumptions!$F$25*F$6</f>
        <v>5703.3984</v>
      </c>
      <c r="G14" s="31" t="n">
        <f aca="false">Herd!G8*Assumptions!$F$63*Assumptions!$F$65*Assumptions!$F$25*G$6</f>
        <v>5874.500352</v>
      </c>
      <c r="H14" s="31" t="n">
        <f aca="false">Herd!H8*Assumptions!$F$63*Assumptions!$F$65*Assumptions!$F$25*H$6</f>
        <v>6050.73536256</v>
      </c>
      <c r="I14" s="31" t="n">
        <f aca="false">Herd!I8*Assumptions!$F$63*Assumptions!$F$65*Assumptions!$F$25*I$6</f>
        <v>6232.2574234368</v>
      </c>
      <c r="J14" s="31" t="n">
        <f aca="false">Herd!J8*Assumptions!$F$63*Assumptions!$F$65*Assumptions!$F$25*J$6</f>
        <v>6419.22514613991</v>
      </c>
      <c r="K14" s="31" t="n">
        <f aca="false">Herd!K8*Assumptions!$F$63*Assumptions!$F$65*Assumptions!$F$25*K$6</f>
        <v>6611.8019005241</v>
      </c>
      <c r="L14" s="31" t="n">
        <f aca="false">Herd!L8*Assumptions!$F$63*Assumptions!$F$65*Assumptions!$F$25*L$6</f>
        <v>6810.15595753983</v>
      </c>
      <c r="M14" s="31" t="n">
        <f aca="false">Herd!M8*Assumptions!$F$63*Assumptions!$F$65*Assumptions!$F$25*M$6</f>
        <v>7014.46063626602</v>
      </c>
    </row>
    <row r="16" customFormat="false" ht="15" hidden="false" customHeight="false" outlineLevel="0" collapsed="false">
      <c r="A16" s="6" t="s">
        <v>383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customFormat="false" ht="15" hidden="false" customHeight="false" outlineLevel="0" collapsed="false">
      <c r="A17" s="8" t="s">
        <v>384</v>
      </c>
      <c r="B17" s="10" t="s">
        <v>376</v>
      </c>
      <c r="D17" s="31" t="n">
        <f aca="false">Herd!D49*Assumptions!$F$59*Assumptions!$F$60*Assumptions!$F$25*D$6</f>
        <v>4554</v>
      </c>
      <c r="E17" s="31" t="n">
        <f aca="false">Herd!E49*Assumptions!$F$59*Assumptions!$F$60*Assumptions!$F$25*E$6</f>
        <v>4690.62</v>
      </c>
      <c r="F17" s="31" t="n">
        <f aca="false">Herd!F49*Assumptions!$F$59*Assumptions!$F$60*Assumptions!$F$25*F$6</f>
        <v>4831.3386</v>
      </c>
      <c r="G17" s="31" t="n">
        <f aca="false">Herd!G49*Assumptions!$F$59*Assumptions!$F$60*Assumptions!$F$25*G$6</f>
        <v>4976.278758</v>
      </c>
      <c r="H17" s="31" t="n">
        <f aca="false">Herd!H49*Assumptions!$F$59*Assumptions!$F$60*Assumptions!$F$25*H$6</f>
        <v>5125.56712074</v>
      </c>
      <c r="I17" s="31" t="n">
        <f aca="false">Herd!I49*Assumptions!$F$59*Assumptions!$F$60*Assumptions!$F$25*I$6</f>
        <v>5279.3341343622</v>
      </c>
      <c r="J17" s="31" t="n">
        <f aca="false">Herd!J49*Assumptions!$F$59*Assumptions!$F$60*Assumptions!$F$25*J$6</f>
        <v>5437.71415839307</v>
      </c>
      <c r="K17" s="31" t="n">
        <f aca="false">Herd!K49*Assumptions!$F$59*Assumptions!$F$60*Assumptions!$F$25*K$6</f>
        <v>5600.84558314486</v>
      </c>
      <c r="L17" s="31" t="n">
        <f aca="false">Herd!L49*Assumptions!$F$59*Assumptions!$F$60*Assumptions!$F$25*L$6</f>
        <v>5768.87095063921</v>
      </c>
      <c r="M17" s="31" t="n">
        <f aca="false">Herd!M49*Assumptions!$F$59*Assumptions!$F$60*Assumptions!$F$25*M$6</f>
        <v>5941.93707915838</v>
      </c>
    </row>
    <row r="18" customFormat="false" ht="15" hidden="false" customHeight="false" outlineLevel="0" collapsed="false">
      <c r="A18" s="8" t="s">
        <v>385</v>
      </c>
      <c r="B18" s="10" t="s">
        <v>376</v>
      </c>
      <c r="D18" s="31" t="n">
        <f aca="false">Herd!D50*Assumptions!$F$61*Assumptions!$F$62*Assumptions!$F$25*D$6</f>
        <v>0</v>
      </c>
      <c r="E18" s="31" t="n">
        <f aca="false">Herd!E50*Assumptions!$F$61*Assumptions!$F$62*Assumptions!$F$25*E$6</f>
        <v>0</v>
      </c>
      <c r="F18" s="31" t="n">
        <f aca="false">Herd!F50*Assumptions!$F$61*Assumptions!$F$62*Assumptions!$F$25*F$6</f>
        <v>0</v>
      </c>
      <c r="G18" s="31" t="n">
        <f aca="false">Herd!G50*Assumptions!$F$61*Assumptions!$F$62*Assumptions!$F$25*G$6</f>
        <v>0</v>
      </c>
      <c r="H18" s="31" t="n">
        <f aca="false">Herd!H50*Assumptions!$F$61*Assumptions!$F$62*Assumptions!$F$25*H$6</f>
        <v>0</v>
      </c>
      <c r="I18" s="31" t="n">
        <f aca="false">Herd!I50*Assumptions!$F$61*Assumptions!$F$62*Assumptions!$F$25*I$6</f>
        <v>0</v>
      </c>
      <c r="J18" s="31" t="n">
        <f aca="false">Herd!J50*Assumptions!$F$61*Assumptions!$F$62*Assumptions!$F$25*J$6</f>
        <v>0</v>
      </c>
      <c r="K18" s="31" t="n">
        <f aca="false">Herd!K50*Assumptions!$F$61*Assumptions!$F$62*Assumptions!$F$25*K$6</f>
        <v>0</v>
      </c>
      <c r="L18" s="31" t="n">
        <f aca="false">Herd!L50*Assumptions!$F$61*Assumptions!$F$62*Assumptions!$F$25*L$6</f>
        <v>0</v>
      </c>
      <c r="M18" s="31" t="n">
        <f aca="false">Herd!M50*Assumptions!$F$61*Assumptions!$F$62*Assumptions!$F$25*M$6</f>
        <v>0</v>
      </c>
    </row>
    <row r="19" customFormat="false" ht="15" hidden="false" customHeight="false" outlineLevel="0" collapsed="false">
      <c r="A19" s="8" t="s">
        <v>386</v>
      </c>
      <c r="B19" s="10" t="s">
        <v>376</v>
      </c>
      <c r="D19" s="31" t="n">
        <f aca="false">Herd!D52*(1-Assumptions!$F$43)*Assumptions!$F$58*Assumptions!$F$25*D$6</f>
        <v>0</v>
      </c>
      <c r="E19" s="31" t="n">
        <f aca="false">Herd!E52*(1-Assumptions!$F$43)*Assumptions!$F$58*Assumptions!$F$25*E$6</f>
        <v>0</v>
      </c>
      <c r="F19" s="31" t="n">
        <f aca="false">Herd!F52*(1-Assumptions!$F$43)*Assumptions!$F$58*Assumptions!$F$25*F$6</f>
        <v>2768.949</v>
      </c>
      <c r="G19" s="31" t="n">
        <f aca="false">Herd!G52*(1-Assumptions!$F$43)*Assumptions!$F$58*Assumptions!$F$25*G$6</f>
        <v>2852.01747</v>
      </c>
      <c r="H19" s="31" t="n">
        <f aca="false">Herd!H52*(1-Assumptions!$F$43)*Assumptions!$F$58*Assumptions!$F$25*H$6</f>
        <v>2937.5779941</v>
      </c>
      <c r="I19" s="31" t="n">
        <f aca="false">Herd!I52*(1-Assumptions!$F$43)*Assumptions!$F$58*Assumptions!$F$25*I$6</f>
        <v>3025.705333923</v>
      </c>
      <c r="J19" s="31" t="n">
        <f aca="false">Herd!J52*(1-Assumptions!$F$43)*Assumptions!$F$58*Assumptions!$F$25*J$6</f>
        <v>3116.47649394069</v>
      </c>
      <c r="K19" s="31" t="n">
        <f aca="false">Herd!K52*(1-Assumptions!$F$43)*Assumptions!$F$58*Assumptions!$F$25*K$6</f>
        <v>3209.97078875891</v>
      </c>
      <c r="L19" s="31" t="n">
        <f aca="false">Herd!L52*(1-Assumptions!$F$43)*Assumptions!$F$58*Assumptions!$F$25*L$6</f>
        <v>3306.26991242168</v>
      </c>
      <c r="M19" s="31" t="n">
        <f aca="false">Herd!M52*(1-Assumptions!$F$43)*Assumptions!$F$58*Assumptions!$F$25*M$6</f>
        <v>3405.45800979433</v>
      </c>
    </row>
    <row r="20" customFormat="false" ht="15" hidden="false" customHeight="false" outlineLevel="0" collapsed="false">
      <c r="A20" s="8" t="s">
        <v>387</v>
      </c>
      <c r="B20" s="10" t="s">
        <v>376</v>
      </c>
      <c r="D20" s="31" t="n">
        <f aca="false">Herd!D52*Assumptions!$F$43*Assumptions!$F$58*Assumptions!$F$44*Assumptions!$F$25*D$6</f>
        <v>0</v>
      </c>
      <c r="E20" s="31" t="n">
        <f aca="false">Herd!E52*Assumptions!$F$43*Assumptions!$F$58*Assumptions!$F$44*Assumptions!$F$25*E$6</f>
        <v>0</v>
      </c>
      <c r="F20" s="31" t="n">
        <f aca="false">Herd!F52*Assumptions!$F$43*Assumptions!$F$58*Assumptions!$F$44*Assumptions!$F$25*F$6</f>
        <v>0</v>
      </c>
      <c r="G20" s="31" t="n">
        <f aca="false">Herd!G52*Assumptions!$F$43*Assumptions!$F$58*Assumptions!$F$44*Assumptions!$F$25*G$6</f>
        <v>0</v>
      </c>
      <c r="H20" s="31" t="n">
        <f aca="false">Herd!H52*Assumptions!$F$43*Assumptions!$F$58*Assumptions!$F$44*Assumptions!$F$25*H$6</f>
        <v>0</v>
      </c>
      <c r="I20" s="31" t="n">
        <f aca="false">Herd!I52*Assumptions!$F$43*Assumptions!$F$58*Assumptions!$F$44*Assumptions!$F$25*I$6</f>
        <v>0</v>
      </c>
      <c r="J20" s="31" t="n">
        <f aca="false">Herd!J52*Assumptions!$F$43*Assumptions!$F$58*Assumptions!$F$44*Assumptions!$F$25*J$6</f>
        <v>0</v>
      </c>
      <c r="K20" s="31" t="n">
        <f aca="false">Herd!K52*Assumptions!$F$43*Assumptions!$F$58*Assumptions!$F$44*Assumptions!$F$25*K$6</f>
        <v>0</v>
      </c>
      <c r="L20" s="31" t="n">
        <f aca="false">Herd!L52*Assumptions!$F$43*Assumptions!$F$58*Assumptions!$F$44*Assumptions!$F$25*L$6</f>
        <v>0</v>
      </c>
      <c r="M20" s="31" t="n">
        <f aca="false">Herd!M52*Assumptions!$F$43*Assumptions!$F$58*Assumptions!$F$44*Assumptions!$F$25*M$6</f>
        <v>0</v>
      </c>
    </row>
    <row r="21" customFormat="false" ht="15" hidden="false" customHeight="false" outlineLevel="0" collapsed="false">
      <c r="A21" s="8" t="s">
        <v>388</v>
      </c>
      <c r="B21" s="10" t="s">
        <v>376</v>
      </c>
      <c r="D21" s="31" t="n">
        <f aca="false">Herd!D35*Assumptions!$F$64*Assumptions!$F$65*Assumptions!$F$25*D$6</f>
        <v>3600</v>
      </c>
      <c r="E21" s="31" t="n">
        <f aca="false">Herd!E35*Assumptions!$F$64*Assumptions!$F$65*Assumptions!$F$25*E$6</f>
        <v>3708</v>
      </c>
      <c r="F21" s="31" t="n">
        <f aca="false">Herd!F35*Assumptions!$F$64*Assumptions!$F$65*Assumptions!$F$25*F$6</f>
        <v>3819.24</v>
      </c>
      <c r="G21" s="31" t="n">
        <f aca="false">Herd!G35*Assumptions!$F$64*Assumptions!$F$65*Assumptions!$F$25*G$6</f>
        <v>3933.8172</v>
      </c>
      <c r="H21" s="31" t="n">
        <f aca="false">Herd!H35*Assumptions!$F$64*Assumptions!$F$65*Assumptions!$F$25*H$6</f>
        <v>4051.831716</v>
      </c>
      <c r="I21" s="31" t="n">
        <f aca="false">Herd!I35*Assumptions!$F$64*Assumptions!$F$65*Assumptions!$F$25*I$6</f>
        <v>4173.38666748</v>
      </c>
      <c r="J21" s="31" t="n">
        <f aca="false">Herd!J35*Assumptions!$F$64*Assumptions!$F$65*Assumptions!$F$25*J$6</f>
        <v>4298.5882675044</v>
      </c>
      <c r="K21" s="31" t="n">
        <f aca="false">Herd!K35*Assumptions!$F$64*Assumptions!$F$65*Assumptions!$F$25*K$6</f>
        <v>4427.54591552953</v>
      </c>
      <c r="L21" s="31" t="n">
        <f aca="false">Herd!L35*Assumptions!$F$64*Assumptions!$F$65*Assumptions!$F$25*L$6</f>
        <v>4560.37229299542</v>
      </c>
      <c r="M21" s="31" t="n">
        <f aca="false">Herd!M35*Assumptions!$F$64*Assumptions!$F$65*Assumptions!$F$25*M$6</f>
        <v>4697.18346178528</v>
      </c>
    </row>
    <row r="23" customFormat="false" ht="15" hidden="false" customHeight="false" outlineLevel="0" collapsed="false">
      <c r="A23" s="6" t="s">
        <v>389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customFormat="false" ht="15" hidden="false" customHeight="false" outlineLevel="0" collapsed="false">
      <c r="A24" s="8" t="s">
        <v>390</v>
      </c>
      <c r="B24" s="10" t="s">
        <v>376</v>
      </c>
      <c r="D24" s="31" t="n">
        <f aca="false">(Herd!D15+Herd!D42)*Assumptions!$F$66*D$6</f>
        <v>1750</v>
      </c>
      <c r="E24" s="31" t="n">
        <f aca="false">(Herd!E15+Herd!E42)*Assumptions!$F$66*E$6</f>
        <v>1802.5</v>
      </c>
      <c r="F24" s="31" t="n">
        <f aca="false">(Herd!F15+Herd!F42)*Assumptions!$F$66*F$6</f>
        <v>1856.575</v>
      </c>
      <c r="G24" s="31" t="n">
        <f aca="false">(Herd!G15+Herd!G42)*Assumptions!$F$66*G$6</f>
        <v>1912.27225</v>
      </c>
      <c r="H24" s="31" t="n">
        <f aca="false">(Herd!H15+Herd!H42)*Assumptions!$F$66*H$6</f>
        <v>1969.6404175</v>
      </c>
      <c r="I24" s="31" t="n">
        <f aca="false">(Herd!I15+Herd!I42)*Assumptions!$F$66*I$6</f>
        <v>2028.729630025</v>
      </c>
      <c r="J24" s="31" t="n">
        <f aca="false">(Herd!J15+Herd!J42)*Assumptions!$F$66*J$6</f>
        <v>2089.59151892575</v>
      </c>
      <c r="K24" s="31" t="n">
        <f aca="false">(Herd!K15+Herd!K42)*Assumptions!$F$66*K$6</f>
        <v>2152.27926449352</v>
      </c>
      <c r="L24" s="31" t="n">
        <f aca="false">(Herd!L15+Herd!L42)*Assumptions!$F$66*L$6</f>
        <v>2216.84764242833</v>
      </c>
      <c r="M24" s="31" t="n">
        <f aca="false">(Herd!M15+Herd!M42)*Assumptions!$F$66*M$6</f>
        <v>2283.35307170118</v>
      </c>
    </row>
    <row r="25" customFormat="false" ht="15" hidden="false" customHeight="false" outlineLevel="0" collapsed="false">
      <c r="A25" s="8" t="s">
        <v>391</v>
      </c>
      <c r="B25" s="10" t="s">
        <v>376</v>
      </c>
      <c r="D25" s="31" t="n">
        <f aca="false">Assumptions!$F$46*Assumptions!$F$67*Assumptions!$F$9*D$6</f>
        <v>0</v>
      </c>
      <c r="E25" s="31" t="n">
        <f aca="false">Assumptions!$F$46*Assumptions!$F$67*Assumptions!$F$9*E$6</f>
        <v>0</v>
      </c>
      <c r="F25" s="31" t="n">
        <f aca="false">Assumptions!$F$46*Assumptions!$F$67*Assumptions!$F$9*F$6</f>
        <v>0</v>
      </c>
      <c r="G25" s="31" t="n">
        <f aca="false">Assumptions!$F$46*Assumptions!$F$67*Assumptions!$F$9*G$6</f>
        <v>0</v>
      </c>
      <c r="H25" s="31" t="n">
        <f aca="false">Assumptions!$F$46*Assumptions!$F$67*Assumptions!$F$9*H$6</f>
        <v>0</v>
      </c>
      <c r="I25" s="31" t="n">
        <f aca="false">Assumptions!$F$46*Assumptions!$F$67*Assumptions!$F$9*I$6</f>
        <v>0</v>
      </c>
      <c r="J25" s="31" t="n">
        <f aca="false">Assumptions!$F$46*Assumptions!$F$67*Assumptions!$F$9*J$6</f>
        <v>0</v>
      </c>
      <c r="K25" s="31" t="n">
        <f aca="false">Assumptions!$F$46*Assumptions!$F$67*Assumptions!$F$9*K$6</f>
        <v>0</v>
      </c>
      <c r="L25" s="31" t="n">
        <f aca="false">Assumptions!$F$46*Assumptions!$F$67*Assumptions!$F$9*L$6</f>
        <v>0</v>
      </c>
      <c r="M25" s="31" t="n">
        <f aca="false">Assumptions!$F$46*Assumptions!$F$67*Assumptions!$F$9*M$6</f>
        <v>0</v>
      </c>
    </row>
    <row r="26" customFormat="false" ht="15" hidden="false" customHeight="false" outlineLevel="0" collapsed="false">
      <c r="A26" s="8" t="s">
        <v>392</v>
      </c>
      <c r="B26" s="10" t="s">
        <v>376</v>
      </c>
      <c r="D26" s="31" t="n">
        <f aca="false">IF(D$4&lt;=Assumptions!$F$69,Assumptions!$F$68,0)</f>
        <v>0</v>
      </c>
      <c r="E26" s="31" t="n">
        <f aca="false">IF(E$4&lt;=Assumptions!$F$69,Assumptions!$F$68,0)</f>
        <v>0</v>
      </c>
      <c r="F26" s="31" t="n">
        <f aca="false">IF(F$4&lt;=Assumptions!$F$69,Assumptions!$F$68,0)</f>
        <v>0</v>
      </c>
      <c r="G26" s="31" t="n">
        <f aca="false">IF(G$4&lt;=Assumptions!$F$69,Assumptions!$F$68,0)</f>
        <v>0</v>
      </c>
      <c r="H26" s="31" t="n">
        <f aca="false">IF(H$4&lt;=Assumptions!$F$69,Assumptions!$F$68,0)</f>
        <v>0</v>
      </c>
      <c r="I26" s="31" t="n">
        <f aca="false">IF(I$4&lt;=Assumptions!$F$69,Assumptions!$F$68,0)</f>
        <v>0</v>
      </c>
      <c r="J26" s="31" t="n">
        <f aca="false">IF(J$4&lt;=Assumptions!$F$69,Assumptions!$F$68,0)</f>
        <v>0</v>
      </c>
      <c r="K26" s="31" t="n">
        <f aca="false">IF(K$4&lt;=Assumptions!$F$69,Assumptions!$F$68,0)</f>
        <v>0</v>
      </c>
      <c r="L26" s="31" t="n">
        <f aca="false">IF(L$4&lt;=Assumptions!$F$69,Assumptions!$F$68,0)</f>
        <v>0</v>
      </c>
      <c r="M26" s="31" t="n">
        <f aca="false">IF(M$4&lt;=Assumptions!$F$69,Assumptions!$F$68,0)</f>
        <v>0</v>
      </c>
    </row>
    <row r="28" customFormat="false" ht="15" hidden="false" customHeight="false" outlineLevel="0" collapsed="false">
      <c r="A28" s="3" t="s">
        <v>393</v>
      </c>
      <c r="B28" s="10" t="s">
        <v>376</v>
      </c>
      <c r="D28" s="43" t="n">
        <f aca="false">D8+D9+D10+D11+D12+D13+D14+D17+D18+D19+D20+D21+D24+D25+D26</f>
        <v>83188.8</v>
      </c>
      <c r="E28" s="43" t="n">
        <f aca="false">E8+E9+E10+E11+E12+E13+E14+E17+E18+E19+E20+E21+E24+E25+E26</f>
        <v>85684.464</v>
      </c>
      <c r="F28" s="43" t="n">
        <f aca="false">F8+F9+F10+F11+F12+F13+F14+F17+F18+F19+F20+F21+F24+F25+F26</f>
        <v>95271.79052</v>
      </c>
      <c r="G28" s="43" t="n">
        <f aca="false">G8+G9+G10+G11+G12+G13+G14+G17+G18+G19+G20+G21+G24+G25+G26</f>
        <v>98129.9442356</v>
      </c>
      <c r="H28" s="43" t="n">
        <f aca="false">H8+H9+H10+H11+H12+H13+H14+H17+H18+H19+H20+H21+H24+H25+H26</f>
        <v>101073.842562668</v>
      </c>
      <c r="I28" s="43" t="n">
        <f aca="false">I8+I9+I10+I11+I12+I13+I14+I17+I18+I19+I20+I21+I24+I25+I26</f>
        <v>104106.057839548</v>
      </c>
      <c r="J28" s="43" t="n">
        <f aca="false">J8+J9+J10+J11+J12+J13+J14+J17+J18+J19+J20+J21+J24+J25+J26</f>
        <v>107229.239574734</v>
      </c>
      <c r="K28" s="43" t="n">
        <f aca="false">K8+K9+K10+K11+K12+K13+K14+K17+K18+K19+K20+K21+K24+K25+K26</f>
        <v>110446.116761977</v>
      </c>
      <c r="L28" s="43" t="n">
        <f aca="false">L8+L9+L10+L11+L12+L13+L14+L17+L18+L19+L20+L21+L24+L25+L26</f>
        <v>113759.500264836</v>
      </c>
      <c r="M28" s="43" t="n">
        <f aca="false">M8+M9+M10+M11+M12+M13+M14+M17+M18+M19+M20+M21+M24+M25+M26</f>
        <v>117172.285272781</v>
      </c>
    </row>
    <row r="30" customFormat="false" ht="15" hidden="false" customHeight="false" outlineLevel="0" collapsed="false">
      <c r="A30" s="6" t="s">
        <v>394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customFormat="false" ht="15" hidden="false" customHeight="false" outlineLevel="0" collapsed="false">
      <c r="A31" s="8" t="s">
        <v>395</v>
      </c>
      <c r="B31" s="10" t="s">
        <v>376</v>
      </c>
      <c r="D31" s="31" t="n">
        <f aca="false">D8+D9</f>
        <v>67320</v>
      </c>
      <c r="E31" s="31" t="n">
        <f aca="false">E8+E9</f>
        <v>69339.6</v>
      </c>
      <c r="F31" s="31" t="n">
        <f aca="false">F8+F9</f>
        <v>71419.788</v>
      </c>
      <c r="G31" s="31" t="n">
        <f aca="false">G8+G9</f>
        <v>73562.38164</v>
      </c>
      <c r="H31" s="31" t="n">
        <f aca="false">H8+H9</f>
        <v>75769.2530892</v>
      </c>
      <c r="I31" s="31" t="n">
        <f aca="false">I8+I9</f>
        <v>78042.330681876</v>
      </c>
      <c r="J31" s="31" t="n">
        <f aca="false">J8+J9</f>
        <v>80383.6006023323</v>
      </c>
      <c r="K31" s="31" t="n">
        <f aca="false">K8+K9</f>
        <v>82795.1086204023</v>
      </c>
      <c r="L31" s="31" t="n">
        <f aca="false">L8+L9</f>
        <v>85278.9618790143</v>
      </c>
      <c r="M31" s="31" t="n">
        <f aca="false">M8+M9</f>
        <v>87837.3307353848</v>
      </c>
    </row>
    <row r="32" customFormat="false" ht="15" hidden="false" customHeight="false" outlineLevel="0" collapsed="false">
      <c r="A32" s="8" t="s">
        <v>396</v>
      </c>
      <c r="B32" s="10" t="s">
        <v>376</v>
      </c>
      <c r="D32" s="31" t="n">
        <f aca="false">D10+D11</f>
        <v>588.8</v>
      </c>
      <c r="E32" s="31" t="n">
        <f aca="false">E10+E11</f>
        <v>606.464</v>
      </c>
      <c r="F32" s="31" t="n">
        <f aca="false">F10+F11</f>
        <v>624.65792</v>
      </c>
      <c r="G32" s="31" t="n">
        <f aca="false">G10+G11</f>
        <v>643.3976576</v>
      </c>
      <c r="H32" s="31" t="n">
        <f aca="false">H10+H11</f>
        <v>662.699587328</v>
      </c>
      <c r="I32" s="31" t="n">
        <f aca="false">I10+I11</f>
        <v>682.58057494784</v>
      </c>
      <c r="J32" s="31" t="n">
        <f aca="false">J10+J11</f>
        <v>703.057992196275</v>
      </c>
      <c r="K32" s="31" t="n">
        <f aca="false">K10+K11</f>
        <v>724.149731962164</v>
      </c>
      <c r="L32" s="31" t="n">
        <f aca="false">L10+L11</f>
        <v>745.874223921029</v>
      </c>
      <c r="M32" s="31" t="n">
        <f aca="false">M10+M11</f>
        <v>768.25045063866</v>
      </c>
    </row>
    <row r="33" customFormat="false" ht="15" hidden="false" customHeight="false" outlineLevel="0" collapsed="false">
      <c r="A33" s="8" t="s">
        <v>397</v>
      </c>
      <c r="B33" s="10" t="s">
        <v>376</v>
      </c>
      <c r="D33" s="31" t="n">
        <f aca="false">D12+D13+D19+D20</f>
        <v>0</v>
      </c>
      <c r="E33" s="31" t="n">
        <f aca="false">E12+E13+E19+E20</f>
        <v>0</v>
      </c>
      <c r="F33" s="31" t="n">
        <f aca="false">F12+F13+F19+F20</f>
        <v>7016.7926</v>
      </c>
      <c r="G33" s="31" t="n">
        <f aca="false">G12+G13+G19+G20</f>
        <v>7227.296378</v>
      </c>
      <c r="H33" s="31" t="n">
        <f aca="false">H12+H13+H19+H20</f>
        <v>7444.11526934</v>
      </c>
      <c r="I33" s="31" t="n">
        <f aca="false">I12+I13+I19+I20</f>
        <v>7667.4387274202</v>
      </c>
      <c r="J33" s="31" t="n">
        <f aca="false">J12+J13+J19+J20</f>
        <v>7897.46188924281</v>
      </c>
      <c r="K33" s="31" t="n">
        <f aca="false">K12+K13+K19+K20</f>
        <v>8134.38574592009</v>
      </c>
      <c r="L33" s="31" t="n">
        <f aca="false">L12+L13+L19+L20</f>
        <v>8378.4173182977</v>
      </c>
      <c r="M33" s="31" t="n">
        <f aca="false">M12+M13+M19+M20</f>
        <v>8629.76983784663</v>
      </c>
    </row>
    <row r="34" customFormat="false" ht="15" hidden="false" customHeight="false" outlineLevel="0" collapsed="false">
      <c r="A34" s="8" t="s">
        <v>398</v>
      </c>
      <c r="B34" s="10" t="s">
        <v>376</v>
      </c>
      <c r="D34" s="31" t="n">
        <f aca="false">D14+D21</f>
        <v>8976</v>
      </c>
      <c r="E34" s="31" t="n">
        <f aca="false">E14+E21</f>
        <v>9245.28</v>
      </c>
      <c r="F34" s="31" t="n">
        <f aca="false">F14+F21</f>
        <v>9522.6384</v>
      </c>
      <c r="G34" s="31" t="n">
        <f aca="false">G14+G21</f>
        <v>9808.317552</v>
      </c>
      <c r="H34" s="31" t="n">
        <f aca="false">H14+H21</f>
        <v>10102.56707856</v>
      </c>
      <c r="I34" s="31" t="n">
        <f aca="false">I14+I21</f>
        <v>10405.6440909168</v>
      </c>
      <c r="J34" s="31" t="n">
        <f aca="false">J14+J21</f>
        <v>10717.8134136443</v>
      </c>
      <c r="K34" s="31" t="n">
        <f aca="false">K14+K21</f>
        <v>11039.3478160536</v>
      </c>
      <c r="L34" s="31" t="n">
        <f aca="false">L14+L21</f>
        <v>11370.5282505352</v>
      </c>
      <c r="M34" s="31" t="n">
        <f aca="false">M14+M21</f>
        <v>11711.6440980513</v>
      </c>
    </row>
    <row r="35" customFormat="false" ht="15" hidden="false" customHeight="false" outlineLevel="0" collapsed="false">
      <c r="A35" s="8" t="s">
        <v>399</v>
      </c>
      <c r="B35" s="10" t="s">
        <v>376</v>
      </c>
      <c r="D35" s="31" t="n">
        <f aca="false">D17+D18</f>
        <v>4554</v>
      </c>
      <c r="E35" s="31" t="n">
        <f aca="false">E17+E18</f>
        <v>4690.62</v>
      </c>
      <c r="F35" s="31" t="n">
        <f aca="false">F17+F18</f>
        <v>4831.3386</v>
      </c>
      <c r="G35" s="31" t="n">
        <f aca="false">G17+G18</f>
        <v>4976.278758</v>
      </c>
      <c r="H35" s="31" t="n">
        <f aca="false">H17+H18</f>
        <v>5125.56712074</v>
      </c>
      <c r="I35" s="31" t="n">
        <f aca="false">I17+I18</f>
        <v>5279.3341343622</v>
      </c>
      <c r="J35" s="31" t="n">
        <f aca="false">J17+J18</f>
        <v>5437.71415839307</v>
      </c>
      <c r="K35" s="31" t="n">
        <f aca="false">K17+K18</f>
        <v>5600.84558314486</v>
      </c>
      <c r="L35" s="31" t="n">
        <f aca="false">L17+L18</f>
        <v>5768.87095063921</v>
      </c>
      <c r="M35" s="31" t="n">
        <f aca="false">M17+M18</f>
        <v>5941.93707915838</v>
      </c>
    </row>
    <row r="36" customFormat="false" ht="15" hidden="false" customHeight="false" outlineLevel="0" collapsed="false">
      <c r="A36" s="8" t="s">
        <v>400</v>
      </c>
      <c r="B36" s="10" t="s">
        <v>376</v>
      </c>
      <c r="D36" s="31" t="n">
        <f aca="false">D24+D25+D26</f>
        <v>1750</v>
      </c>
      <c r="E36" s="31" t="n">
        <f aca="false">E24+E25+E26</f>
        <v>1802.5</v>
      </c>
      <c r="F36" s="31" t="n">
        <f aca="false">F24+F25+F26</f>
        <v>1856.575</v>
      </c>
      <c r="G36" s="31" t="n">
        <f aca="false">G24+G25+G26</f>
        <v>1912.27225</v>
      </c>
      <c r="H36" s="31" t="n">
        <f aca="false">H24+H25+H26</f>
        <v>1969.6404175</v>
      </c>
      <c r="I36" s="31" t="n">
        <f aca="false">I24+I25+I26</f>
        <v>2028.729630025</v>
      </c>
      <c r="J36" s="31" t="n">
        <f aca="false">J24+J25+J26</f>
        <v>2089.59151892575</v>
      </c>
      <c r="K36" s="31" t="n">
        <f aca="false">K24+K25+K26</f>
        <v>2152.27926449352</v>
      </c>
      <c r="L36" s="31" t="n">
        <f aca="false">L24+L25+L26</f>
        <v>2216.84764242833</v>
      </c>
      <c r="M36" s="31" t="n">
        <f aca="false">M24+M25+M26</f>
        <v>2283.35307170118</v>
      </c>
    </row>
    <row r="38" customFormat="false" ht="15" hidden="false" customHeight="false" outlineLevel="0" collapsed="false">
      <c r="A38" s="8" t="s">
        <v>401</v>
      </c>
      <c r="B38" s="10" t="s">
        <v>376</v>
      </c>
      <c r="D38" s="31" t="n">
        <f aca="false">D8+D9+D10+D11+D12+D13+D14</f>
        <v>73284.8</v>
      </c>
      <c r="E38" s="31" t="n">
        <f aca="false">E8+E9+E10+E11+E12+E13+E14</f>
        <v>75483.344</v>
      </c>
      <c r="F38" s="31" t="n">
        <f aca="false">F8+F9+F10+F11+F12+F13+F14</f>
        <v>81995.68792</v>
      </c>
      <c r="G38" s="31" t="n">
        <f aca="false">G8+G9+G10+G11+G12+G13+G14</f>
        <v>84455.5585576</v>
      </c>
      <c r="H38" s="31" t="n">
        <f aca="false">H8+H9+H10+H11+H12+H13+H14</f>
        <v>86989.225314328</v>
      </c>
      <c r="I38" s="31" t="n">
        <f aca="false">I8+I9+I10+I11+I12+I13+I14</f>
        <v>89598.9020737578</v>
      </c>
      <c r="J38" s="31" t="n">
        <f aca="false">J8+J9+J10+J11+J12+J13+J14</f>
        <v>92286.8691359706</v>
      </c>
      <c r="K38" s="31" t="n">
        <f aca="false">K8+K9+K10+K11+K12+K13+K14</f>
        <v>95055.4752100497</v>
      </c>
      <c r="L38" s="31" t="n">
        <f aca="false">L8+L9+L10+L11+L12+L13+L14</f>
        <v>97907.1394663512</v>
      </c>
      <c r="M38" s="31" t="n">
        <f aca="false">M8+M9+M10+M11+M12+M13+M14</f>
        <v>100844.353650342</v>
      </c>
    </row>
    <row r="39" customFormat="false" ht="15" hidden="false" customHeight="false" outlineLevel="0" collapsed="false">
      <c r="A39" s="8" t="s">
        <v>402</v>
      </c>
      <c r="B39" s="10" t="s">
        <v>376</v>
      </c>
      <c r="D39" s="31" t="n">
        <f aca="false">D17+D18+D19+D20+D21</f>
        <v>8154</v>
      </c>
      <c r="E39" s="31" t="n">
        <f aca="false">E17+E18+E19+E20+E21</f>
        <v>8398.62</v>
      </c>
      <c r="F39" s="31" t="n">
        <f aca="false">F17+F18+F19+F20+F21</f>
        <v>11419.5276</v>
      </c>
      <c r="G39" s="31" t="n">
        <f aca="false">G17+G18+G19+G20+G21</f>
        <v>11762.113428</v>
      </c>
      <c r="H39" s="31" t="n">
        <f aca="false">H17+H18+H19+H20+H21</f>
        <v>12114.97683084</v>
      </c>
      <c r="I39" s="31" t="n">
        <f aca="false">I17+I18+I19+I20+I21</f>
        <v>12478.4261357652</v>
      </c>
      <c r="J39" s="31" t="n">
        <f aca="false">J17+J18+J19+J20+J21</f>
        <v>12852.7789198382</v>
      </c>
      <c r="K39" s="31" t="n">
        <f aca="false">K17+K18+K19+K20+K21</f>
        <v>13238.3622874333</v>
      </c>
      <c r="L39" s="31" t="n">
        <f aca="false">L17+L18+L19+L20+L21</f>
        <v>13635.5131560563</v>
      </c>
      <c r="M39" s="31" t="n">
        <f aca="false">M17+M18+M19+M20+M21</f>
        <v>14044.578550738</v>
      </c>
    </row>
    <row r="40" customFormat="false" ht="15" hidden="false" customHeight="false" outlineLevel="0" collapsed="false">
      <c r="A40" s="8" t="s">
        <v>403</v>
      </c>
      <c r="B40" s="10" t="s">
        <v>75</v>
      </c>
      <c r="D40" s="22" t="n">
        <f aca="false">IF(D28=0,0,D38/D28)</f>
        <v>0.880945511895832</v>
      </c>
      <c r="E40" s="22" t="n">
        <f aca="false">IF(E28=0,0,E38/E28)</f>
        <v>0.880945511895832</v>
      </c>
      <c r="F40" s="22" t="n">
        <f aca="false">IF(F28=0,0,F38/F28)</f>
        <v>0.860650224714597</v>
      </c>
      <c r="G40" s="22" t="n">
        <f aca="false">IF(G28=0,0,G38/G28)</f>
        <v>0.860650224714597</v>
      </c>
      <c r="H40" s="22" t="n">
        <f aca="false">IF(H28=0,0,H38/H28)</f>
        <v>0.860650224714597</v>
      </c>
      <c r="I40" s="22" t="n">
        <f aca="false">IF(I28=0,0,I38/I28)</f>
        <v>0.860650224714597</v>
      </c>
      <c r="J40" s="22" t="n">
        <f aca="false">IF(J28=0,0,J38/J28)</f>
        <v>0.860650224714597</v>
      </c>
      <c r="K40" s="22" t="n">
        <f aca="false">IF(K28=0,0,K38/K28)</f>
        <v>0.860650224714597</v>
      </c>
      <c r="L40" s="22" t="n">
        <f aca="false">IF(L28=0,0,L38/L28)</f>
        <v>0.860650224714597</v>
      </c>
      <c r="M40" s="22" t="n">
        <f aca="false">IF(M28=0,0,M38/M28)</f>
        <v>0.860650224714597</v>
      </c>
    </row>
    <row r="41" customFormat="false" ht="15" hidden="false" customHeight="false" outlineLevel="0" collapsed="false">
      <c r="A41" s="8" t="s">
        <v>404</v>
      </c>
      <c r="B41" s="10" t="s">
        <v>75</v>
      </c>
      <c r="D41" s="22" t="n">
        <f aca="false">IF(D28=0,0,(D32+D33+D34+D35)/D28)</f>
        <v>0.169719962302618</v>
      </c>
      <c r="E41" s="22" t="n">
        <f aca="false">IF(E28=0,0,(E32+E33+E34+E35)/E28)</f>
        <v>0.169719962302618</v>
      </c>
      <c r="F41" s="22" t="n">
        <f aca="false">IF(F28=0,0,(F32+F33+F34+F35)/F28)</f>
        <v>0.230870306939205</v>
      </c>
      <c r="G41" s="22" t="n">
        <f aca="false">IF(G28=0,0,(G32+G33+G34+G35)/G28)</f>
        <v>0.230870306939205</v>
      </c>
      <c r="H41" s="22" t="n">
        <f aca="false">IF(H28=0,0,(H32+H33+H34+H35)/H28)</f>
        <v>0.230870306939205</v>
      </c>
      <c r="I41" s="22" t="n">
        <f aca="false">IF(I28=0,0,(I32+I33+I34+I35)/I28)</f>
        <v>0.230870306939205</v>
      </c>
      <c r="J41" s="22" t="n">
        <f aca="false">IF(J28=0,0,(J32+J33+J34+J35)/J28)</f>
        <v>0.230870306939205</v>
      </c>
      <c r="K41" s="22" t="n">
        <f aca="false">IF(K28=0,0,(K32+K33+K34+K35)/K28)</f>
        <v>0.230870306939205</v>
      </c>
      <c r="L41" s="22" t="n">
        <f aca="false">IF(L28=0,0,(L32+L33+L34+L35)/L28)</f>
        <v>0.230870306939205</v>
      </c>
      <c r="M41" s="22" t="n">
        <f aca="false">IF(M28=0,0,(M32+M33+M34+M35)/M28)</f>
        <v>0.230870306939205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13" min="3" style="0" width="11.5"/>
  </cols>
  <sheetData>
    <row r="1" customFormat="false" ht="17.35" hidden="false" customHeight="false" outlineLevel="0" collapsed="false">
      <c r="A1" s="1" t="s">
        <v>405</v>
      </c>
    </row>
    <row r="2" customFormat="false" ht="15" hidden="false" customHeight="false" outlineLevel="0" collapsed="false">
      <c r="A2" s="2" t="s">
        <v>406</v>
      </c>
    </row>
    <row r="3" customFormat="false" ht="15" hidden="false" customHeight="false" outlineLevel="0" collapsed="false">
      <c r="A3" s="38" t="s">
        <v>313</v>
      </c>
      <c r="B3" s="38" t="s">
        <v>36</v>
      </c>
      <c r="C3" s="39" t="s">
        <v>314</v>
      </c>
      <c r="D3" s="39" t="s">
        <v>315</v>
      </c>
      <c r="E3" s="39" t="s">
        <v>316</v>
      </c>
      <c r="F3" s="39" t="s">
        <v>317</v>
      </c>
      <c r="G3" s="39" t="s">
        <v>318</v>
      </c>
      <c r="H3" s="39" t="s">
        <v>319</v>
      </c>
      <c r="I3" s="39" t="s">
        <v>320</v>
      </c>
      <c r="J3" s="39" t="s">
        <v>321</v>
      </c>
      <c r="K3" s="39" t="s">
        <v>322</v>
      </c>
      <c r="L3" s="39" t="s">
        <v>323</v>
      </c>
      <c r="M3" s="39" t="s">
        <v>324</v>
      </c>
    </row>
    <row r="4" customFormat="false" ht="15" hidden="false" customHeight="false" outlineLevel="0" collapsed="false">
      <c r="A4" s="40" t="s">
        <v>325</v>
      </c>
      <c r="C4" s="40" t="n">
        <v>0</v>
      </c>
      <c r="D4" s="40" t="n">
        <v>1</v>
      </c>
      <c r="E4" s="40" t="n">
        <v>2</v>
      </c>
      <c r="F4" s="40" t="n">
        <v>3</v>
      </c>
      <c r="G4" s="40" t="n">
        <v>4</v>
      </c>
      <c r="H4" s="40" t="n">
        <v>5</v>
      </c>
      <c r="I4" s="40" t="n">
        <v>6</v>
      </c>
      <c r="J4" s="40" t="n">
        <v>7</v>
      </c>
      <c r="K4" s="40" t="n">
        <v>8</v>
      </c>
      <c r="L4" s="40" t="n">
        <v>9</v>
      </c>
      <c r="M4" s="40" t="n">
        <v>10</v>
      </c>
    </row>
    <row r="6" customFormat="false" ht="15" hidden="false" customHeight="false" outlineLevel="0" collapsed="false">
      <c r="A6" s="8" t="s">
        <v>407</v>
      </c>
      <c r="B6" s="10" t="s">
        <v>373</v>
      </c>
      <c r="D6" s="42" t="n">
        <f aca="false">(1+Assumptions!$F$16)^(D$4-1)</f>
        <v>1</v>
      </c>
      <c r="E6" s="42" t="n">
        <f aca="false">(1+Assumptions!$F$16)^(E$4-1)</f>
        <v>1.04</v>
      </c>
      <c r="F6" s="42" t="n">
        <f aca="false">(1+Assumptions!$F$16)^(F$4-1)</f>
        <v>1.0816</v>
      </c>
      <c r="G6" s="42" t="n">
        <f aca="false">(1+Assumptions!$F$16)^(G$4-1)</f>
        <v>1.124864</v>
      </c>
      <c r="H6" s="42" t="n">
        <f aca="false">(1+Assumptions!$F$16)^(H$4-1)</f>
        <v>1.16985856</v>
      </c>
      <c r="I6" s="42" t="n">
        <f aca="false">(1+Assumptions!$F$16)^(I$4-1)</f>
        <v>1.2166529024</v>
      </c>
      <c r="J6" s="42" t="n">
        <f aca="false">(1+Assumptions!$F$16)^(J$4-1)</f>
        <v>1.265319018496</v>
      </c>
      <c r="K6" s="42" t="n">
        <f aca="false">(1+Assumptions!$F$16)^(K$4-1)</f>
        <v>1.31593177923584</v>
      </c>
      <c r="L6" s="42" t="n">
        <f aca="false">(1+Assumptions!$F$16)^(L$4-1)</f>
        <v>1.36856905040527</v>
      </c>
      <c r="M6" s="42" t="n">
        <f aca="false">(1+Assumptions!$F$16)^(M$4-1)</f>
        <v>1.42331181242149</v>
      </c>
    </row>
    <row r="7" customFormat="false" ht="15" hidden="false" customHeight="false" outlineLevel="0" collapsed="false">
      <c r="A7" s="6" t="s">
        <v>408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customFormat="false" ht="15" hidden="false" customHeight="false" outlineLevel="0" collapsed="false">
      <c r="A8" s="8" t="s">
        <v>409</v>
      </c>
      <c r="B8" s="10" t="s">
        <v>376</v>
      </c>
      <c r="D8" s="31" t="n">
        <f aca="false">Herd!D15*Assumptions!$F$76*Assumptions!$F$24*D$6</f>
        <v>19200</v>
      </c>
      <c r="E8" s="31" t="n">
        <f aca="false">Herd!E15*Assumptions!$F$76*Assumptions!$F$24*E$6</f>
        <v>19968</v>
      </c>
      <c r="F8" s="31" t="n">
        <f aca="false">Herd!F15*Assumptions!$F$76*Assumptions!$F$24*F$6</f>
        <v>20766.72</v>
      </c>
      <c r="G8" s="31" t="n">
        <f aca="false">Herd!G15*Assumptions!$F$76*Assumptions!$F$24*G$6</f>
        <v>21597.3888</v>
      </c>
      <c r="H8" s="31" t="n">
        <f aca="false">Herd!H15*Assumptions!$F$76*Assumptions!$F$24*H$6</f>
        <v>22461.284352</v>
      </c>
      <c r="I8" s="31" t="n">
        <f aca="false">Herd!I15*Assumptions!$F$76*Assumptions!$F$24*I$6</f>
        <v>23359.73572608</v>
      </c>
      <c r="J8" s="31" t="n">
        <f aca="false">Herd!J15*Assumptions!$F$76*Assumptions!$F$24*J$6</f>
        <v>24294.1251551232</v>
      </c>
      <c r="K8" s="31" t="n">
        <f aca="false">Herd!K15*Assumptions!$F$76*Assumptions!$F$24*K$6</f>
        <v>25265.8901613281</v>
      </c>
      <c r="L8" s="31" t="n">
        <f aca="false">Herd!L15*Assumptions!$F$76*Assumptions!$F$24*L$6</f>
        <v>26276.5257677813</v>
      </c>
      <c r="M8" s="31" t="n">
        <f aca="false">Herd!M15*Assumptions!$F$76*Assumptions!$F$24*M$6</f>
        <v>27327.5867984925</v>
      </c>
    </row>
    <row r="9" customFormat="false" ht="15" hidden="false" customHeight="false" outlineLevel="0" collapsed="false">
      <c r="A9" s="8" t="s">
        <v>410</v>
      </c>
      <c r="B9" s="10" t="s">
        <v>376</v>
      </c>
      <c r="D9" s="31" t="n">
        <f aca="false">Herd!D26*Assumptions!$F$77*Assumptions!$F$24*D$6</f>
        <v>2208</v>
      </c>
      <c r="E9" s="31" t="n">
        <f aca="false">Herd!E26*Assumptions!$F$77*Assumptions!$F$24*E$6</f>
        <v>4592.64</v>
      </c>
      <c r="F9" s="31" t="n">
        <f aca="false">Herd!F26*Assumptions!$F$77*Assumptions!$F$24*F$6</f>
        <v>4776.3456</v>
      </c>
      <c r="G9" s="31" t="n">
        <f aca="false">Herd!G26*Assumptions!$F$77*Assumptions!$F$24*G$6</f>
        <v>4967.399424</v>
      </c>
      <c r="H9" s="31" t="n">
        <f aca="false">Herd!H26*Assumptions!$F$77*Assumptions!$F$24*H$6</f>
        <v>5166.09540096</v>
      </c>
      <c r="I9" s="31" t="n">
        <f aca="false">Herd!I26*Assumptions!$F$77*Assumptions!$F$24*I$6</f>
        <v>5372.7392169984</v>
      </c>
      <c r="J9" s="31" t="n">
        <f aca="false">Herd!J26*Assumptions!$F$77*Assumptions!$F$24*J$6</f>
        <v>5587.64878567834</v>
      </c>
      <c r="K9" s="31" t="n">
        <f aca="false">Herd!K26*Assumptions!$F$77*Assumptions!$F$24*K$6</f>
        <v>5811.15473710547</v>
      </c>
      <c r="L9" s="31" t="n">
        <f aca="false">Herd!L26*Assumptions!$F$77*Assumptions!$F$24*L$6</f>
        <v>6043.60092658969</v>
      </c>
      <c r="M9" s="31" t="n">
        <f aca="false">Herd!M26*Assumptions!$F$77*Assumptions!$F$24*M$6</f>
        <v>6285.34496365328</v>
      </c>
    </row>
    <row r="10" customFormat="false" ht="15" hidden="false" customHeight="false" outlineLevel="0" collapsed="false">
      <c r="A10" s="8" t="s">
        <v>411</v>
      </c>
      <c r="B10" s="10" t="s">
        <v>376</v>
      </c>
      <c r="D10" s="31" t="n">
        <f aca="false">Herd!D42*Assumptions!$F$78*Assumptions!$F$24*D$6</f>
        <v>3600</v>
      </c>
      <c r="E10" s="31" t="n">
        <f aca="false">Herd!E42*Assumptions!$F$78*Assumptions!$F$24*E$6</f>
        <v>3744</v>
      </c>
      <c r="F10" s="31" t="n">
        <f aca="false">Herd!F42*Assumptions!$F$78*Assumptions!$F$24*F$6</f>
        <v>3893.76</v>
      </c>
      <c r="G10" s="31" t="n">
        <f aca="false">Herd!G42*Assumptions!$F$78*Assumptions!$F$24*G$6</f>
        <v>4049.5104</v>
      </c>
      <c r="H10" s="31" t="n">
        <f aca="false">Herd!H42*Assumptions!$F$78*Assumptions!$F$24*H$6</f>
        <v>4211.490816</v>
      </c>
      <c r="I10" s="31" t="n">
        <f aca="false">Herd!I42*Assumptions!$F$78*Assumptions!$F$24*I$6</f>
        <v>4379.95044864</v>
      </c>
      <c r="J10" s="31" t="n">
        <f aca="false">Herd!J42*Assumptions!$F$78*Assumptions!$F$24*J$6</f>
        <v>4555.1484665856</v>
      </c>
      <c r="K10" s="31" t="n">
        <f aca="false">Herd!K42*Assumptions!$F$78*Assumptions!$F$24*K$6</f>
        <v>4737.35440524903</v>
      </c>
      <c r="L10" s="31" t="n">
        <f aca="false">Herd!L42*Assumptions!$F$78*Assumptions!$F$24*L$6</f>
        <v>4926.84858145899</v>
      </c>
      <c r="M10" s="31" t="n">
        <f aca="false">Herd!M42*Assumptions!$F$78*Assumptions!$F$24*M$6</f>
        <v>5123.92252471735</v>
      </c>
    </row>
    <row r="11" customFormat="false" ht="15" hidden="false" customHeight="false" outlineLevel="0" collapsed="false">
      <c r="A11" s="8" t="s">
        <v>412</v>
      </c>
      <c r="B11" s="10" t="s">
        <v>376</v>
      </c>
      <c r="D11" s="31" t="n">
        <f aca="false">Herd!D53*Assumptions!$F$79*Assumptions!$F$24*D$6</f>
        <v>931.5</v>
      </c>
      <c r="E11" s="31" t="n">
        <f aca="false">Herd!E53*Assumptions!$F$79*Assumptions!$F$24*E$6</f>
        <v>1937.52</v>
      </c>
      <c r="F11" s="31" t="n">
        <f aca="false">Herd!F53*Assumptions!$F$79*Assumptions!$F$24*F$6</f>
        <v>2015.0208</v>
      </c>
      <c r="G11" s="31" t="n">
        <f aca="false">Herd!G53*Assumptions!$F$79*Assumptions!$F$24*G$6</f>
        <v>2095.621632</v>
      </c>
      <c r="H11" s="31" t="n">
        <f aca="false">Herd!H53*Assumptions!$F$79*Assumptions!$F$24*H$6</f>
        <v>2179.44649728</v>
      </c>
      <c r="I11" s="31" t="n">
        <f aca="false">Herd!I53*Assumptions!$F$79*Assumptions!$F$24*I$6</f>
        <v>2266.6243571712</v>
      </c>
      <c r="J11" s="31" t="n">
        <f aca="false">Herd!J53*Assumptions!$F$79*Assumptions!$F$24*J$6</f>
        <v>2357.28933145805</v>
      </c>
      <c r="K11" s="31" t="n">
        <f aca="false">Herd!K53*Assumptions!$F$79*Assumptions!$F$24*K$6</f>
        <v>2451.58090471637</v>
      </c>
      <c r="L11" s="31" t="n">
        <f aca="false">Herd!L53*Assumptions!$F$79*Assumptions!$F$24*L$6</f>
        <v>2549.64414090503</v>
      </c>
      <c r="M11" s="31" t="n">
        <f aca="false">Herd!M53*Assumptions!$F$79*Assumptions!$F$24*M$6</f>
        <v>2651.62990654123</v>
      </c>
    </row>
    <row r="12" customFormat="false" ht="15" hidden="false" customHeight="false" outlineLevel="0" collapsed="false">
      <c r="A12" s="8" t="s">
        <v>413</v>
      </c>
      <c r="B12" s="10" t="s">
        <v>376</v>
      </c>
      <c r="D12" s="31" t="n">
        <f aca="false">Herd!D50*Assumptions!$F$80*Assumptions!$F$24*D$6</f>
        <v>0</v>
      </c>
      <c r="E12" s="31" t="n">
        <f aca="false">Herd!E50*Assumptions!$F$80*Assumptions!$F$24*E$6</f>
        <v>0</v>
      </c>
      <c r="F12" s="31" t="n">
        <f aca="false">Herd!F50*Assumptions!$F$80*Assumptions!$F$24*F$6</f>
        <v>0</v>
      </c>
      <c r="G12" s="31" t="n">
        <f aca="false">Herd!G50*Assumptions!$F$80*Assumptions!$F$24*G$6</f>
        <v>0</v>
      </c>
      <c r="H12" s="31" t="n">
        <f aca="false">Herd!H50*Assumptions!$F$80*Assumptions!$F$24*H$6</f>
        <v>0</v>
      </c>
      <c r="I12" s="31" t="n">
        <f aca="false">Herd!I50*Assumptions!$F$80*Assumptions!$F$24*I$6</f>
        <v>0</v>
      </c>
      <c r="J12" s="31" t="n">
        <f aca="false">Herd!J50*Assumptions!$F$80*Assumptions!$F$24*J$6</f>
        <v>0</v>
      </c>
      <c r="K12" s="31" t="n">
        <f aca="false">Herd!K50*Assumptions!$F$80*Assumptions!$F$24*K$6</f>
        <v>0</v>
      </c>
      <c r="L12" s="31" t="n">
        <f aca="false">Herd!L50*Assumptions!$F$80*Assumptions!$F$24*L$6</f>
        <v>0</v>
      </c>
      <c r="M12" s="31" t="n">
        <f aca="false">Herd!M50*Assumptions!$F$80*Assumptions!$F$24*M$6</f>
        <v>0</v>
      </c>
    </row>
    <row r="13" customFormat="false" ht="15" hidden="false" customHeight="false" outlineLevel="0" collapsed="false">
      <c r="A13" s="8" t="s">
        <v>414</v>
      </c>
      <c r="B13" s="10" t="s">
        <v>376</v>
      </c>
      <c r="D13" s="31" t="n">
        <f aca="false">Assumptions!$F$10*Assumptions!$F$81*D$6</f>
        <v>2250</v>
      </c>
      <c r="E13" s="31" t="n">
        <f aca="false">Assumptions!$F$10*Assumptions!$F$81*E$6</f>
        <v>2340</v>
      </c>
      <c r="F13" s="31" t="n">
        <f aca="false">Assumptions!$F$10*Assumptions!$F$81*F$6</f>
        <v>2433.6</v>
      </c>
      <c r="G13" s="31" t="n">
        <f aca="false">Assumptions!$F$10*Assumptions!$F$81*G$6</f>
        <v>2530.944</v>
      </c>
      <c r="H13" s="31" t="n">
        <f aca="false">Assumptions!$F$10*Assumptions!$F$81*H$6</f>
        <v>2632.18176</v>
      </c>
      <c r="I13" s="31" t="n">
        <f aca="false">Assumptions!$F$10*Assumptions!$F$81*I$6</f>
        <v>2737.4690304</v>
      </c>
      <c r="J13" s="31" t="n">
        <f aca="false">Assumptions!$F$10*Assumptions!$F$81*J$6</f>
        <v>2846.967791616</v>
      </c>
      <c r="K13" s="31" t="n">
        <f aca="false">Assumptions!$F$10*Assumptions!$F$81*K$6</f>
        <v>2960.84650328064</v>
      </c>
      <c r="L13" s="31" t="n">
        <f aca="false">Assumptions!$F$10*Assumptions!$F$81*L$6</f>
        <v>3079.28036341187</v>
      </c>
      <c r="M13" s="31" t="n">
        <f aca="false">Assumptions!$F$10*Assumptions!$F$81*M$6</f>
        <v>3202.45157794834</v>
      </c>
    </row>
    <row r="14" customFormat="false" ht="15" hidden="false" customHeight="false" outlineLevel="0" collapsed="false">
      <c r="A14" s="3" t="s">
        <v>415</v>
      </c>
      <c r="B14" s="10" t="s">
        <v>376</v>
      </c>
      <c r="D14" s="43" t="n">
        <f aca="false">SUM(D8:D13)</f>
        <v>28189.5</v>
      </c>
      <c r="E14" s="43" t="n">
        <f aca="false">SUM(E8:E13)</f>
        <v>32582.16</v>
      </c>
      <c r="F14" s="43" t="n">
        <f aca="false">SUM(F8:F13)</f>
        <v>33885.4464</v>
      </c>
      <c r="G14" s="43" t="n">
        <f aca="false">SUM(G8:G13)</f>
        <v>35240.864256</v>
      </c>
      <c r="H14" s="43" t="n">
        <f aca="false">SUM(H8:H13)</f>
        <v>36650.49882624</v>
      </c>
      <c r="I14" s="43" t="n">
        <f aca="false">SUM(I8:I13)</f>
        <v>38116.5187792896</v>
      </c>
      <c r="J14" s="43" t="n">
        <f aca="false">SUM(J8:J13)</f>
        <v>39641.1795304612</v>
      </c>
      <c r="K14" s="43" t="n">
        <f aca="false">SUM(K8:K13)</f>
        <v>41226.8267116796</v>
      </c>
      <c r="L14" s="43" t="n">
        <f aca="false">SUM(L8:L13)</f>
        <v>42875.8997801468</v>
      </c>
      <c r="M14" s="43" t="n">
        <f aca="false">SUM(M8:M13)</f>
        <v>44590.9357713527</v>
      </c>
    </row>
    <row r="16" customFormat="false" ht="15" hidden="false" customHeight="false" outlineLevel="0" collapsed="false">
      <c r="A16" s="6" t="s">
        <v>416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customFormat="false" ht="15" hidden="false" customHeight="false" outlineLevel="0" collapsed="false">
      <c r="A17" s="8" t="s">
        <v>192</v>
      </c>
      <c r="B17" s="10" t="s">
        <v>376</v>
      </c>
      <c r="D17" s="31" t="n">
        <f aca="false">(Herd!D15+Herd!D42+Herd!D26+Herd!D53)*Assumptions!$F$82*D$6</f>
        <v>2091.54</v>
      </c>
      <c r="E17" s="31" t="n">
        <f aca="false">(Herd!E15+Herd!E42+Herd!E26+Herd!E53)*Assumptions!$F$82*E$6</f>
        <v>2748.8032</v>
      </c>
      <c r="F17" s="31" t="n">
        <f aca="false">(Herd!F15+Herd!F42+Herd!F26+Herd!F53)*Assumptions!$F$82*F$6</f>
        <v>2858.755328</v>
      </c>
      <c r="G17" s="31" t="n">
        <f aca="false">(Herd!G15+Herd!G42+Herd!G26+Herd!G53)*Assumptions!$F$82*G$6</f>
        <v>2973.10554112</v>
      </c>
      <c r="H17" s="31" t="n">
        <f aca="false">(Herd!H15+Herd!H42+Herd!H26+Herd!H53)*Assumptions!$F$82*H$6</f>
        <v>3092.0297627648</v>
      </c>
      <c r="I17" s="31" t="n">
        <f aca="false">(Herd!I15+Herd!I42+Herd!I26+Herd!I53)*Assumptions!$F$82*I$6</f>
        <v>3215.71095327539</v>
      </c>
      <c r="J17" s="31" t="n">
        <f aca="false">(Herd!J15+Herd!J42+Herd!J26+Herd!J53)*Assumptions!$F$82*J$6</f>
        <v>3344.33939140641</v>
      </c>
      <c r="K17" s="31" t="n">
        <f aca="false">(Herd!K15+Herd!K42+Herd!K26+Herd!K53)*Assumptions!$F$82*K$6</f>
        <v>3478.11296706266</v>
      </c>
      <c r="L17" s="31" t="n">
        <f aca="false">(Herd!L15+Herd!L42+Herd!L26+Herd!L53)*Assumptions!$F$82*L$6</f>
        <v>3617.23748574517</v>
      </c>
      <c r="M17" s="31" t="n">
        <f aca="false">(Herd!M15+Herd!M42+Herd!M26+Herd!M53)*Assumptions!$F$82*M$6</f>
        <v>3761.92698517498</v>
      </c>
    </row>
    <row r="18" customFormat="false" ht="15" hidden="false" customHeight="false" outlineLevel="0" collapsed="false">
      <c r="A18" s="8" t="s">
        <v>417</v>
      </c>
      <c r="B18" s="10" t="s">
        <v>376</v>
      </c>
      <c r="D18" s="31" t="n">
        <f aca="false">Herd!D15*(Assumptions!$F$83+Assumptions!$F$38*Assumptions!$F$84)*D$6</f>
        <v>720</v>
      </c>
      <c r="E18" s="31" t="n">
        <f aca="false">Herd!E15*(Assumptions!$F$83+Assumptions!$F$38*Assumptions!$F$84)*E$6</f>
        <v>748.8</v>
      </c>
      <c r="F18" s="31" t="n">
        <f aca="false">Herd!F15*(Assumptions!$F$83+Assumptions!$F$38*Assumptions!$F$84)*F$6</f>
        <v>778.752</v>
      </c>
      <c r="G18" s="31" t="n">
        <f aca="false">Herd!G15*(Assumptions!$F$83+Assumptions!$F$38*Assumptions!$F$84)*G$6</f>
        <v>809.90208</v>
      </c>
      <c r="H18" s="31" t="n">
        <f aca="false">Herd!H15*(Assumptions!$F$83+Assumptions!$F$38*Assumptions!$F$84)*H$6</f>
        <v>842.2981632</v>
      </c>
      <c r="I18" s="31" t="n">
        <f aca="false">Herd!I15*(Assumptions!$F$83+Assumptions!$F$38*Assumptions!$F$84)*I$6</f>
        <v>875.990089728</v>
      </c>
      <c r="J18" s="31" t="n">
        <f aca="false">Herd!J15*(Assumptions!$F$83+Assumptions!$F$38*Assumptions!$F$84)*J$6</f>
        <v>911.02969331712</v>
      </c>
      <c r="K18" s="31" t="n">
        <f aca="false">Herd!K15*(Assumptions!$F$83+Assumptions!$F$38*Assumptions!$F$84)*K$6</f>
        <v>947.470881049805</v>
      </c>
      <c r="L18" s="31" t="n">
        <f aca="false">Herd!L15*(Assumptions!$F$83+Assumptions!$F$38*Assumptions!$F$84)*L$6</f>
        <v>985.369716291797</v>
      </c>
      <c r="M18" s="31" t="n">
        <f aca="false">Herd!M15*(Assumptions!$F$83+Assumptions!$F$38*Assumptions!$F$84)*M$6</f>
        <v>1024.78450494347</v>
      </c>
    </row>
    <row r="19" customFormat="false" ht="15" hidden="false" customHeight="false" outlineLevel="0" collapsed="false">
      <c r="A19" s="8" t="s">
        <v>418</v>
      </c>
      <c r="B19" s="10" t="s">
        <v>376</v>
      </c>
      <c r="D19" s="31" t="n">
        <f aca="false">Herd!D54*Assumptions!$F$73/Assumptions!$F$74*D$6</f>
        <v>480</v>
      </c>
      <c r="E19" s="31" t="n">
        <f aca="false">Herd!E54*Assumptions!$F$73/Assumptions!$F$74*E$6</f>
        <v>499.2</v>
      </c>
      <c r="F19" s="31" t="n">
        <f aca="false">Herd!F54*Assumptions!$F$73/Assumptions!$F$74*F$6</f>
        <v>519.168</v>
      </c>
      <c r="G19" s="31" t="n">
        <f aca="false">Herd!G54*Assumptions!$F$73/Assumptions!$F$74*G$6</f>
        <v>539.93472</v>
      </c>
      <c r="H19" s="31" t="n">
        <f aca="false">Herd!H54*Assumptions!$F$73/Assumptions!$F$74*H$6</f>
        <v>561.5321088</v>
      </c>
      <c r="I19" s="31" t="n">
        <f aca="false">Herd!I54*Assumptions!$F$73/Assumptions!$F$74*I$6</f>
        <v>583.993393152</v>
      </c>
      <c r="J19" s="31" t="n">
        <f aca="false">Herd!J54*Assumptions!$F$73/Assumptions!$F$74*J$6</f>
        <v>607.35312887808</v>
      </c>
      <c r="K19" s="31" t="n">
        <f aca="false">Herd!K54*Assumptions!$F$73/Assumptions!$F$74*K$6</f>
        <v>631.647254033203</v>
      </c>
      <c r="L19" s="31" t="n">
        <f aca="false">Herd!L54*Assumptions!$F$73/Assumptions!$F$74*L$6</f>
        <v>656.913144194532</v>
      </c>
      <c r="M19" s="31" t="n">
        <f aca="false">Herd!M54*Assumptions!$F$73/Assumptions!$F$74*M$6</f>
        <v>683.189669962313</v>
      </c>
    </row>
    <row r="20" customFormat="false" ht="15" hidden="false" customHeight="false" outlineLevel="0" collapsed="false">
      <c r="A20" s="8" t="s">
        <v>419</v>
      </c>
      <c r="B20" s="10" t="s">
        <v>376</v>
      </c>
      <c r="D20" s="31" t="n">
        <f aca="false">Herd!D13*Assumptions!$F$70*Assumptions!$F$25*Revenue!D6</f>
        <v>9900</v>
      </c>
      <c r="E20" s="31" t="n">
        <f aca="false">Herd!E13*Assumptions!$F$70*Assumptions!$F$25*Revenue!E6</f>
        <v>10197</v>
      </c>
      <c r="F20" s="31" t="n">
        <f aca="false">Herd!F13*Assumptions!$F$70*Assumptions!$F$25*Revenue!F6</f>
        <v>0</v>
      </c>
      <c r="G20" s="31" t="n">
        <f aca="false">Herd!G13*Assumptions!$F$70*Assumptions!$F$25*Revenue!G6</f>
        <v>0</v>
      </c>
      <c r="H20" s="31" t="n">
        <f aca="false">Herd!H13*Assumptions!$F$70*Assumptions!$F$25*Revenue!H6</f>
        <v>0</v>
      </c>
      <c r="I20" s="31" t="n">
        <f aca="false">Herd!I13*Assumptions!$F$70*Assumptions!$F$25*Revenue!I6</f>
        <v>0</v>
      </c>
      <c r="J20" s="31" t="n">
        <f aca="false">Herd!J13*Assumptions!$F$70*Assumptions!$F$25*Revenue!J6</f>
        <v>0</v>
      </c>
      <c r="K20" s="31" t="n">
        <f aca="false">Herd!K13*Assumptions!$F$70*Assumptions!$F$25*Revenue!K6</f>
        <v>0</v>
      </c>
      <c r="L20" s="31" t="n">
        <f aca="false">Herd!L13*Assumptions!$F$70*Assumptions!$F$25*Revenue!L6</f>
        <v>0</v>
      </c>
      <c r="M20" s="31" t="n">
        <f aca="false">Herd!M13*Assumptions!$F$70*Assumptions!$F$25*Revenue!M6</f>
        <v>0</v>
      </c>
    </row>
    <row r="21" customFormat="false" ht="15" hidden="false" customHeight="false" outlineLevel="0" collapsed="false">
      <c r="A21" s="8" t="s">
        <v>420</v>
      </c>
      <c r="B21" s="10" t="s">
        <v>376</v>
      </c>
      <c r="D21" s="31" t="n">
        <f aca="false">Herd!D40*Assumptions!$F$71*Assumptions!$F$25*Revenue!D6</f>
        <v>4800</v>
      </c>
      <c r="E21" s="31" t="n">
        <f aca="false">Herd!E40*Assumptions!$F$71*Assumptions!$F$25*Revenue!E6</f>
        <v>4944</v>
      </c>
      <c r="F21" s="31" t="n">
        <f aca="false">Herd!F40*Assumptions!$F$71*Assumptions!$F$25*Revenue!F6</f>
        <v>0</v>
      </c>
      <c r="G21" s="31" t="n">
        <f aca="false">Herd!G40*Assumptions!$F$71*Assumptions!$F$25*Revenue!G6</f>
        <v>0</v>
      </c>
      <c r="H21" s="31" t="n">
        <f aca="false">Herd!H40*Assumptions!$F$71*Assumptions!$F$25*Revenue!H6</f>
        <v>0</v>
      </c>
      <c r="I21" s="31" t="n">
        <f aca="false">Herd!I40*Assumptions!$F$71*Assumptions!$F$25*Revenue!I6</f>
        <v>0</v>
      </c>
      <c r="J21" s="31" t="n">
        <f aca="false">Herd!J40*Assumptions!$F$71*Assumptions!$F$25*Revenue!J6</f>
        <v>0</v>
      </c>
      <c r="K21" s="31" t="n">
        <f aca="false">Herd!K40*Assumptions!$F$71*Assumptions!$F$25*Revenue!K6</f>
        <v>0</v>
      </c>
      <c r="L21" s="31" t="n">
        <f aca="false">Herd!L40*Assumptions!$F$71*Assumptions!$F$25*Revenue!L6</f>
        <v>0</v>
      </c>
      <c r="M21" s="31" t="n">
        <f aca="false">Herd!M40*Assumptions!$F$71*Assumptions!$F$25*Revenue!M6</f>
        <v>0</v>
      </c>
    </row>
    <row r="22" customFormat="false" ht="15" hidden="false" customHeight="false" outlineLevel="0" collapsed="false">
      <c r="A22" s="3" t="s">
        <v>421</v>
      </c>
      <c r="B22" s="10" t="s">
        <v>376</v>
      </c>
      <c r="D22" s="43" t="n">
        <f aca="false">SUM(D17:D21)</f>
        <v>17991.54</v>
      </c>
      <c r="E22" s="43" t="n">
        <f aca="false">SUM(E17:E21)</f>
        <v>19137.8032</v>
      </c>
      <c r="F22" s="43" t="n">
        <f aca="false">SUM(F17:F21)</f>
        <v>4156.675328</v>
      </c>
      <c r="G22" s="43" t="n">
        <f aca="false">SUM(G17:G21)</f>
        <v>4322.94234112</v>
      </c>
      <c r="H22" s="43" t="n">
        <f aca="false">SUM(H17:H21)</f>
        <v>4495.8600347648</v>
      </c>
      <c r="I22" s="43" t="n">
        <f aca="false">SUM(I17:I21)</f>
        <v>4675.69443615539</v>
      </c>
      <c r="J22" s="43" t="n">
        <f aca="false">SUM(J17:J21)</f>
        <v>4862.72221360161</v>
      </c>
      <c r="K22" s="43" t="n">
        <f aca="false">SUM(K17:K21)</f>
        <v>5057.23110214567</v>
      </c>
      <c r="L22" s="43" t="n">
        <f aca="false">SUM(L17:L21)</f>
        <v>5259.5203462315</v>
      </c>
      <c r="M22" s="43" t="n">
        <f aca="false">SUM(M17:M21)</f>
        <v>5469.90116008076</v>
      </c>
    </row>
    <row r="24" customFormat="false" ht="15" hidden="false" customHeight="false" outlineLevel="0" collapsed="false">
      <c r="A24" s="6" t="s">
        <v>422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customFormat="false" ht="15" hidden="false" customHeight="false" outlineLevel="0" collapsed="false">
      <c r="A25" s="8" t="s">
        <v>423</v>
      </c>
      <c r="B25" s="10" t="s">
        <v>376</v>
      </c>
      <c r="D25" s="31" t="n">
        <f aca="false">Assumptions!$F$85*D$6</f>
        <v>7000</v>
      </c>
      <c r="E25" s="31" t="n">
        <f aca="false">Assumptions!$F$85*E$6</f>
        <v>7280</v>
      </c>
      <c r="F25" s="31" t="n">
        <f aca="false">Assumptions!$F$85*F$6</f>
        <v>7571.2</v>
      </c>
      <c r="G25" s="31" t="n">
        <f aca="false">Assumptions!$F$85*G$6</f>
        <v>7874.048</v>
      </c>
      <c r="H25" s="31" t="n">
        <f aca="false">Assumptions!$F$85*H$6</f>
        <v>8189.00992</v>
      </c>
      <c r="I25" s="31" t="n">
        <f aca="false">Assumptions!$F$85*I$6</f>
        <v>8516.5703168</v>
      </c>
      <c r="J25" s="31" t="n">
        <f aca="false">Assumptions!$F$85*J$6</f>
        <v>8857.233129472</v>
      </c>
      <c r="K25" s="31" t="n">
        <f aca="false">Assumptions!$F$85*K$6</f>
        <v>9211.52245465088</v>
      </c>
      <c r="L25" s="31" t="n">
        <f aca="false">Assumptions!$F$85*L$6</f>
        <v>9579.98335283692</v>
      </c>
      <c r="M25" s="31" t="n">
        <f aca="false">Assumptions!$F$85*M$6</f>
        <v>9963.1826869504</v>
      </c>
    </row>
    <row r="26" customFormat="false" ht="15" hidden="false" customHeight="false" outlineLevel="0" collapsed="false">
      <c r="A26" s="8" t="s">
        <v>424</v>
      </c>
      <c r="B26" s="10" t="s">
        <v>376</v>
      </c>
      <c r="D26" s="31" t="n">
        <f aca="false">(Herd!D15/Assumptions!$F$87+Herd!D42/Assumptions!$F$88)*Assumptions!$F$86*D$6</f>
        <v>4740</v>
      </c>
      <c r="E26" s="31" t="n">
        <f aca="false">(Herd!E15/Assumptions!$F$87+Herd!E42/Assumptions!$F$88)*Assumptions!$F$86*E$6</f>
        <v>4929.6</v>
      </c>
      <c r="F26" s="31" t="n">
        <f aca="false">(Herd!F15/Assumptions!$F$87+Herd!F42/Assumptions!$F$88)*Assumptions!$F$86*F$6</f>
        <v>5126.784</v>
      </c>
      <c r="G26" s="31" t="n">
        <f aca="false">(Herd!G15/Assumptions!$F$87+Herd!G42/Assumptions!$F$88)*Assumptions!$F$86*G$6</f>
        <v>5331.85536</v>
      </c>
      <c r="H26" s="31" t="n">
        <f aca="false">(Herd!H15/Assumptions!$F$87+Herd!H42/Assumptions!$F$88)*Assumptions!$F$86*H$6</f>
        <v>5545.1295744</v>
      </c>
      <c r="I26" s="31" t="n">
        <f aca="false">(Herd!I15/Assumptions!$F$87+Herd!I42/Assumptions!$F$88)*Assumptions!$F$86*I$6</f>
        <v>5766.934757376</v>
      </c>
      <c r="J26" s="31" t="n">
        <f aca="false">(Herd!J15/Assumptions!$F$87+Herd!J42/Assumptions!$F$88)*Assumptions!$F$86*J$6</f>
        <v>5997.61214767104</v>
      </c>
      <c r="K26" s="31" t="n">
        <f aca="false">(Herd!K15/Assumptions!$F$87+Herd!K42/Assumptions!$F$88)*Assumptions!$F$86*K$6</f>
        <v>6237.51663357788</v>
      </c>
      <c r="L26" s="31" t="n">
        <f aca="false">(Herd!L15/Assumptions!$F$87+Herd!L42/Assumptions!$F$88)*Assumptions!$F$86*L$6</f>
        <v>6487.017298921</v>
      </c>
      <c r="M26" s="31" t="n">
        <f aca="false">(Herd!M15/Assumptions!$F$87+Herd!M42/Assumptions!$F$88)*Assumptions!$F$86*M$6</f>
        <v>6746.49799087784</v>
      </c>
    </row>
    <row r="27" customFormat="false" ht="15" hidden="false" customHeight="false" outlineLevel="0" collapsed="false">
      <c r="A27" s="3" t="s">
        <v>425</v>
      </c>
      <c r="B27" s="10" t="s">
        <v>376</v>
      </c>
      <c r="D27" s="43" t="n">
        <f aca="false">D25+D26</f>
        <v>11740</v>
      </c>
      <c r="E27" s="43" t="n">
        <f aca="false">E25+E26</f>
        <v>12209.6</v>
      </c>
      <c r="F27" s="43" t="n">
        <f aca="false">F25+F26</f>
        <v>12697.984</v>
      </c>
      <c r="G27" s="43" t="n">
        <f aca="false">G25+G26</f>
        <v>13205.90336</v>
      </c>
      <c r="H27" s="43" t="n">
        <f aca="false">H25+H26</f>
        <v>13734.1394944</v>
      </c>
      <c r="I27" s="43" t="n">
        <f aca="false">I25+I26</f>
        <v>14283.505074176</v>
      </c>
      <c r="J27" s="43" t="n">
        <f aca="false">J25+J26</f>
        <v>14854.845277143</v>
      </c>
      <c r="K27" s="43" t="n">
        <f aca="false">K25+K26</f>
        <v>15449.0390882288</v>
      </c>
      <c r="L27" s="43" t="n">
        <f aca="false">L25+L26</f>
        <v>16067.0006517579</v>
      </c>
      <c r="M27" s="43" t="n">
        <f aca="false">M25+M26</f>
        <v>16709.6806778282</v>
      </c>
    </row>
    <row r="29" customFormat="false" ht="15" hidden="false" customHeight="false" outlineLevel="0" collapsed="false">
      <c r="A29" s="6" t="s">
        <v>426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customFormat="false" ht="15" hidden="false" customHeight="false" outlineLevel="0" collapsed="false">
      <c r="A30" s="8" t="s">
        <v>427</v>
      </c>
      <c r="B30" s="10" t="s">
        <v>376</v>
      </c>
      <c r="D30" s="31" t="n">
        <f aca="false">Herd!D30*Assumptions!$F$53*D$6</f>
        <v>2040</v>
      </c>
      <c r="E30" s="31" t="n">
        <f aca="false">Herd!E30*Assumptions!$F$53*E$6</f>
        <v>2121.6</v>
      </c>
      <c r="F30" s="31" t="n">
        <f aca="false">Herd!F30*Assumptions!$F$53*F$6</f>
        <v>2206.464</v>
      </c>
      <c r="G30" s="31" t="n">
        <f aca="false">Herd!G30*Assumptions!$F$53*G$6</f>
        <v>2294.72256</v>
      </c>
      <c r="H30" s="31" t="n">
        <f aca="false">Herd!H30*Assumptions!$F$53*H$6</f>
        <v>2386.5114624</v>
      </c>
      <c r="I30" s="31" t="n">
        <f aca="false">Herd!I30*Assumptions!$F$53*I$6</f>
        <v>2481.971920896</v>
      </c>
      <c r="J30" s="31" t="n">
        <f aca="false">Herd!J30*Assumptions!$F$53*J$6</f>
        <v>2581.25079773184</v>
      </c>
      <c r="K30" s="31" t="n">
        <f aca="false">Herd!K30*Assumptions!$F$53*K$6</f>
        <v>2684.50082964111</v>
      </c>
      <c r="L30" s="31" t="n">
        <f aca="false">Herd!L30*Assumptions!$F$53*L$6</f>
        <v>2791.88086282676</v>
      </c>
      <c r="M30" s="31" t="n">
        <f aca="false">Herd!M30*Assumptions!$F$53*M$6</f>
        <v>2903.55609733983</v>
      </c>
    </row>
    <row r="31" customFormat="false" ht="15" hidden="false" customHeight="false" outlineLevel="0" collapsed="false">
      <c r="A31" s="8" t="s">
        <v>428</v>
      </c>
      <c r="B31" s="10" t="s">
        <v>376</v>
      </c>
      <c r="D31" s="31" t="n">
        <f aca="false">Herd!D15*Assumptions!$F$89*D$6</f>
        <v>1400</v>
      </c>
      <c r="E31" s="31" t="n">
        <f aca="false">Herd!E15*Assumptions!$F$89*E$6</f>
        <v>1456</v>
      </c>
      <c r="F31" s="31" t="n">
        <f aca="false">Herd!F15*Assumptions!$F$89*F$6</f>
        <v>1514.24</v>
      </c>
      <c r="G31" s="31" t="n">
        <f aca="false">Herd!G15*Assumptions!$F$89*G$6</f>
        <v>1574.8096</v>
      </c>
      <c r="H31" s="31" t="n">
        <f aca="false">Herd!H15*Assumptions!$F$89*H$6</f>
        <v>1637.801984</v>
      </c>
      <c r="I31" s="31" t="n">
        <f aca="false">Herd!I15*Assumptions!$F$89*I$6</f>
        <v>1703.31406336</v>
      </c>
      <c r="J31" s="31" t="n">
        <f aca="false">Herd!J15*Assumptions!$F$89*J$6</f>
        <v>1771.4466258944</v>
      </c>
      <c r="K31" s="31" t="n">
        <f aca="false">Herd!K15*Assumptions!$F$89*K$6</f>
        <v>1842.30449093018</v>
      </c>
      <c r="L31" s="31" t="n">
        <f aca="false">Herd!L15*Assumptions!$F$89*L$6</f>
        <v>1915.99667056738</v>
      </c>
      <c r="M31" s="31" t="n">
        <f aca="false">Herd!M15*Assumptions!$F$89*M$6</f>
        <v>1992.63653739008</v>
      </c>
    </row>
    <row r="32" customFormat="false" ht="15" hidden="false" customHeight="false" outlineLevel="0" collapsed="false">
      <c r="A32" s="8" t="s">
        <v>429</v>
      </c>
      <c r="B32" s="10" t="s">
        <v>376</v>
      </c>
      <c r="D32" s="31" t="n">
        <f aca="false">Assumptions!$F$90*D$6</f>
        <v>1800</v>
      </c>
      <c r="E32" s="31" t="n">
        <f aca="false">Assumptions!$F$90*E$6</f>
        <v>1872</v>
      </c>
      <c r="F32" s="31" t="n">
        <f aca="false">Assumptions!$F$90*F$6</f>
        <v>1946.88</v>
      </c>
      <c r="G32" s="31" t="n">
        <f aca="false">Assumptions!$F$90*G$6</f>
        <v>2024.7552</v>
      </c>
      <c r="H32" s="31" t="n">
        <f aca="false">Assumptions!$F$90*H$6</f>
        <v>2105.745408</v>
      </c>
      <c r="I32" s="31" t="n">
        <f aca="false">Assumptions!$F$90*I$6</f>
        <v>2189.97522432</v>
      </c>
      <c r="J32" s="31" t="n">
        <f aca="false">Assumptions!$F$90*J$6</f>
        <v>2277.5742332928</v>
      </c>
      <c r="K32" s="31" t="n">
        <f aca="false">Assumptions!$F$90*K$6</f>
        <v>2368.67720262451</v>
      </c>
      <c r="L32" s="31" t="n">
        <f aca="false">Assumptions!$F$90*L$6</f>
        <v>2463.42429072949</v>
      </c>
      <c r="M32" s="31" t="n">
        <f aca="false">Assumptions!$F$90*M$6</f>
        <v>2561.96126235867</v>
      </c>
    </row>
    <row r="33" customFormat="false" ht="15" hidden="false" customHeight="false" outlineLevel="0" collapsed="false">
      <c r="A33" s="8" t="s">
        <v>206</v>
      </c>
      <c r="B33" s="10" t="s">
        <v>376</v>
      </c>
      <c r="D33" s="31" t="n">
        <f aca="false">Assumptions!$F$92*Capex!$H$47</f>
        <v>2402.84</v>
      </c>
      <c r="E33" s="31" t="n">
        <f aca="false">Assumptions!$F$92*Capex!$H$47</f>
        <v>2402.84</v>
      </c>
      <c r="F33" s="31" t="n">
        <f aca="false">Assumptions!$F$92*Capex!$H$47</f>
        <v>2402.84</v>
      </c>
      <c r="G33" s="31" t="n">
        <f aca="false">Assumptions!$F$92*Capex!$H$47</f>
        <v>2402.84</v>
      </c>
      <c r="H33" s="31" t="n">
        <f aca="false">Assumptions!$F$92*Capex!$H$47</f>
        <v>2402.84</v>
      </c>
      <c r="I33" s="31" t="n">
        <f aca="false">Assumptions!$F$92*Capex!$H$47</f>
        <v>2402.84</v>
      </c>
      <c r="J33" s="31" t="n">
        <f aca="false">Assumptions!$F$92*Capex!$H$47</f>
        <v>2402.84</v>
      </c>
      <c r="K33" s="31" t="n">
        <f aca="false">Assumptions!$F$92*Capex!$H$47</f>
        <v>2402.84</v>
      </c>
      <c r="L33" s="31" t="n">
        <f aca="false">Assumptions!$F$92*Capex!$H$47</f>
        <v>2402.84</v>
      </c>
      <c r="M33" s="31" t="n">
        <f aca="false">Assumptions!$F$92*Capex!$H$47</f>
        <v>2402.84</v>
      </c>
    </row>
    <row r="34" customFormat="false" ht="15" hidden="false" customHeight="false" outlineLevel="0" collapsed="false">
      <c r="A34" s="8" t="s">
        <v>208</v>
      </c>
      <c r="B34" s="10" t="s">
        <v>376</v>
      </c>
      <c r="D34" s="31" t="n">
        <f aca="false">Assumptions!$F$93*Capex!$H$44*D$6</f>
        <v>4719</v>
      </c>
      <c r="E34" s="31" t="n">
        <f aca="false">Assumptions!$F$93*Capex!$H$44*E$6</f>
        <v>4907.76</v>
      </c>
      <c r="F34" s="31" t="n">
        <f aca="false">Assumptions!$F$93*Capex!$H$44*F$6</f>
        <v>5104.0704</v>
      </c>
      <c r="G34" s="31" t="n">
        <f aca="false">Assumptions!$F$93*Capex!$H$44*G$6</f>
        <v>5308.233216</v>
      </c>
      <c r="H34" s="31" t="n">
        <f aca="false">Assumptions!$F$93*Capex!$H$44*H$6</f>
        <v>5520.56254464</v>
      </c>
      <c r="I34" s="31" t="n">
        <f aca="false">Assumptions!$F$93*Capex!$H$44*I$6</f>
        <v>5741.3850464256</v>
      </c>
      <c r="J34" s="31" t="n">
        <f aca="false">Assumptions!$F$93*Capex!$H$44*J$6</f>
        <v>5971.04044828263</v>
      </c>
      <c r="K34" s="31" t="n">
        <f aca="false">Assumptions!$F$93*Capex!$H$44*K$6</f>
        <v>6209.88206621393</v>
      </c>
      <c r="L34" s="31" t="n">
        <f aca="false">Assumptions!$F$93*Capex!$H$44*L$6</f>
        <v>6458.27734886249</v>
      </c>
      <c r="M34" s="31" t="n">
        <f aca="false">Assumptions!$F$93*Capex!$H$44*M$6</f>
        <v>6716.60844281699</v>
      </c>
    </row>
    <row r="35" customFormat="false" ht="15" hidden="false" customHeight="false" outlineLevel="0" collapsed="false">
      <c r="A35" s="8" t="s">
        <v>210</v>
      </c>
      <c r="B35" s="10" t="s">
        <v>376</v>
      </c>
      <c r="D35" s="31" t="n">
        <f aca="false">Assumptions!$F$94*Revenue!D28</f>
        <v>1663.776</v>
      </c>
      <c r="E35" s="31" t="n">
        <f aca="false">Assumptions!$F$94*Revenue!E28</f>
        <v>1713.68928</v>
      </c>
      <c r="F35" s="31" t="n">
        <f aca="false">Assumptions!$F$94*Revenue!F28</f>
        <v>1905.4358104</v>
      </c>
      <c r="G35" s="31" t="n">
        <f aca="false">Assumptions!$F$94*Revenue!G28</f>
        <v>1962.598884712</v>
      </c>
      <c r="H35" s="31" t="n">
        <f aca="false">Assumptions!$F$94*Revenue!H28</f>
        <v>2021.47685125336</v>
      </c>
      <c r="I35" s="31" t="n">
        <f aca="false">Assumptions!$F$94*Revenue!I28</f>
        <v>2082.12115679096</v>
      </c>
      <c r="J35" s="31" t="n">
        <f aca="false">Assumptions!$F$94*Revenue!J28</f>
        <v>2144.58479149469</v>
      </c>
      <c r="K35" s="31" t="n">
        <f aca="false">Assumptions!$F$94*Revenue!K28</f>
        <v>2208.92233523953</v>
      </c>
      <c r="L35" s="31" t="n">
        <f aca="false">Assumptions!$F$94*Revenue!L28</f>
        <v>2275.19000529672</v>
      </c>
      <c r="M35" s="31" t="n">
        <f aca="false">Assumptions!$F$94*Revenue!M28</f>
        <v>2343.44570545562</v>
      </c>
    </row>
    <row r="36" customFormat="false" ht="15" hidden="false" customHeight="false" outlineLevel="0" collapsed="false">
      <c r="A36" s="8" t="s">
        <v>212</v>
      </c>
      <c r="B36" s="10" t="s">
        <v>376</v>
      </c>
      <c r="D36" s="31" t="n">
        <f aca="false">Assumptions!$F$95*D$6</f>
        <v>2500</v>
      </c>
      <c r="E36" s="31" t="n">
        <f aca="false">Assumptions!$F$95*E$6</f>
        <v>2600</v>
      </c>
      <c r="F36" s="31" t="n">
        <f aca="false">Assumptions!$F$95*F$6</f>
        <v>2704</v>
      </c>
      <c r="G36" s="31" t="n">
        <f aca="false">Assumptions!$F$95*G$6</f>
        <v>2812.16</v>
      </c>
      <c r="H36" s="31" t="n">
        <f aca="false">Assumptions!$F$95*H$6</f>
        <v>2924.6464</v>
      </c>
      <c r="I36" s="31" t="n">
        <f aca="false">Assumptions!$F$95*I$6</f>
        <v>3041.632256</v>
      </c>
      <c r="J36" s="31" t="n">
        <f aca="false">Assumptions!$F$95*J$6</f>
        <v>3163.29754624</v>
      </c>
      <c r="K36" s="31" t="n">
        <f aca="false">Assumptions!$F$95*K$6</f>
        <v>3289.8294480896</v>
      </c>
      <c r="L36" s="31" t="n">
        <f aca="false">Assumptions!$F$95*L$6</f>
        <v>3421.42262601318</v>
      </c>
      <c r="M36" s="31" t="n">
        <f aca="false">Assumptions!$F$95*M$6</f>
        <v>3558.27953105371</v>
      </c>
    </row>
    <row r="37" customFormat="false" ht="15" hidden="false" customHeight="false" outlineLevel="0" collapsed="false">
      <c r="A37" s="3" t="s">
        <v>430</v>
      </c>
      <c r="B37" s="10" t="s">
        <v>376</v>
      </c>
      <c r="D37" s="43" t="n">
        <f aca="false">SUM(D30:D36)</f>
        <v>16525.616</v>
      </c>
      <c r="E37" s="43" t="n">
        <f aca="false">SUM(E30:E36)</f>
        <v>17073.88928</v>
      </c>
      <c r="F37" s="43" t="n">
        <f aca="false">SUM(F30:F36)</f>
        <v>17783.9302104</v>
      </c>
      <c r="G37" s="43" t="n">
        <f aca="false">SUM(G30:G36)</f>
        <v>18380.119460712</v>
      </c>
      <c r="H37" s="43" t="n">
        <f aca="false">SUM(H30:H36)</f>
        <v>18999.5846502934</v>
      </c>
      <c r="I37" s="43" t="n">
        <f aca="false">SUM(I30:I36)</f>
        <v>19643.2396677926</v>
      </c>
      <c r="J37" s="43" t="n">
        <f aca="false">SUM(J30:J36)</f>
        <v>20312.0344429364</v>
      </c>
      <c r="K37" s="43" t="n">
        <f aca="false">SUM(K30:K36)</f>
        <v>21006.9563727389</v>
      </c>
      <c r="L37" s="43" t="n">
        <f aca="false">SUM(L30:L36)</f>
        <v>21729.031804296</v>
      </c>
      <c r="M37" s="43" t="n">
        <f aca="false">SUM(M30:M36)</f>
        <v>22479.3275764149</v>
      </c>
    </row>
    <row r="39" customFormat="false" ht="15" hidden="false" customHeight="false" outlineLevel="0" collapsed="false">
      <c r="A39" s="6" t="s">
        <v>431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customFormat="false" ht="15" hidden="false" customHeight="false" outlineLevel="0" collapsed="false">
      <c r="A40" s="8" t="s">
        <v>66</v>
      </c>
      <c r="B40" s="10" t="s">
        <v>376</v>
      </c>
      <c r="D40" s="31" t="n">
        <f aca="false">Assumptions!$F$10*Assumptions!$F$14*(1-Assumptions!$F$12)*D$6</f>
        <v>6000</v>
      </c>
      <c r="E40" s="31" t="n">
        <f aca="false">Assumptions!$F$10*Assumptions!$F$14*(1-Assumptions!$F$12)*E$6</f>
        <v>6240</v>
      </c>
      <c r="F40" s="31" t="n">
        <f aca="false">Assumptions!$F$10*Assumptions!$F$14*(1-Assumptions!$F$12)*F$6</f>
        <v>6489.6</v>
      </c>
      <c r="G40" s="31" t="n">
        <f aca="false">Assumptions!$F$10*Assumptions!$F$14*(1-Assumptions!$F$12)*G$6</f>
        <v>6749.184</v>
      </c>
      <c r="H40" s="31" t="n">
        <f aca="false">Assumptions!$F$10*Assumptions!$F$14*(1-Assumptions!$F$12)*H$6</f>
        <v>7019.15136</v>
      </c>
      <c r="I40" s="31" t="n">
        <f aca="false">Assumptions!$F$10*Assumptions!$F$14*(1-Assumptions!$F$12)*I$6</f>
        <v>7299.9174144</v>
      </c>
      <c r="J40" s="31" t="n">
        <f aca="false">Assumptions!$F$10*Assumptions!$F$14*(1-Assumptions!$F$12)*J$6</f>
        <v>7591.914110976</v>
      </c>
      <c r="K40" s="31" t="n">
        <f aca="false">Assumptions!$F$10*Assumptions!$F$14*(1-Assumptions!$F$12)*K$6</f>
        <v>7895.59067541504</v>
      </c>
      <c r="L40" s="31" t="n">
        <f aca="false">Assumptions!$F$10*Assumptions!$F$14*(1-Assumptions!$F$12)*L$6</f>
        <v>8211.41430243164</v>
      </c>
      <c r="M40" s="31" t="n">
        <f aca="false">Assumptions!$F$10*Assumptions!$F$14*(1-Assumptions!$F$12)*M$6</f>
        <v>8539.87087452891</v>
      </c>
    </row>
    <row r="41" customFormat="false" ht="15" hidden="false" customHeight="false" outlineLevel="0" collapsed="false">
      <c r="A41" s="8" t="s">
        <v>205</v>
      </c>
      <c r="B41" s="10" t="s">
        <v>376</v>
      </c>
      <c r="D41" s="31" t="n">
        <f aca="false">Assumptions!$F$10*Assumptions!$F$91*D$6</f>
        <v>225</v>
      </c>
      <c r="E41" s="31" t="n">
        <f aca="false">Assumptions!$F$10*Assumptions!$F$91*E$6</f>
        <v>234</v>
      </c>
      <c r="F41" s="31" t="n">
        <f aca="false">Assumptions!$F$10*Assumptions!$F$91*F$6</f>
        <v>243.36</v>
      </c>
      <c r="G41" s="31" t="n">
        <f aca="false">Assumptions!$F$10*Assumptions!$F$91*G$6</f>
        <v>253.0944</v>
      </c>
      <c r="H41" s="31" t="n">
        <f aca="false">Assumptions!$F$10*Assumptions!$F$91*H$6</f>
        <v>263.218176</v>
      </c>
      <c r="I41" s="31" t="n">
        <f aca="false">Assumptions!$F$10*Assumptions!$F$91*I$6</f>
        <v>273.74690304</v>
      </c>
      <c r="J41" s="31" t="n">
        <f aca="false">Assumptions!$F$10*Assumptions!$F$91*J$6</f>
        <v>284.6967791616</v>
      </c>
      <c r="K41" s="31" t="n">
        <f aca="false">Assumptions!$F$10*Assumptions!$F$91*K$6</f>
        <v>296.084650328064</v>
      </c>
      <c r="L41" s="31" t="n">
        <f aca="false">Assumptions!$F$10*Assumptions!$F$91*L$6</f>
        <v>307.928036341187</v>
      </c>
      <c r="M41" s="31" t="n">
        <f aca="false">Assumptions!$F$10*Assumptions!$F$91*M$6</f>
        <v>320.245157794834</v>
      </c>
    </row>
    <row r="42" customFormat="false" ht="15" hidden="false" customHeight="false" outlineLevel="0" collapsed="false">
      <c r="A42" s="3" t="s">
        <v>432</v>
      </c>
      <c r="B42" s="10" t="s">
        <v>376</v>
      </c>
      <c r="D42" s="43" t="n">
        <f aca="false">D40+D41</f>
        <v>6225</v>
      </c>
      <c r="E42" s="43" t="n">
        <f aca="false">E40+E41</f>
        <v>6474</v>
      </c>
      <c r="F42" s="43" t="n">
        <f aca="false">F40+F41</f>
        <v>6732.96</v>
      </c>
      <c r="G42" s="43" t="n">
        <f aca="false">G40+G41</f>
        <v>7002.2784</v>
      </c>
      <c r="H42" s="43" t="n">
        <f aca="false">H40+H41</f>
        <v>7282.369536</v>
      </c>
      <c r="I42" s="43" t="n">
        <f aca="false">I40+I41</f>
        <v>7573.66431744</v>
      </c>
      <c r="J42" s="43" t="n">
        <f aca="false">J40+J41</f>
        <v>7876.6108901376</v>
      </c>
      <c r="K42" s="43" t="n">
        <f aca="false">K40+K41</f>
        <v>8191.67532574311</v>
      </c>
      <c r="L42" s="43" t="n">
        <f aca="false">L40+L41</f>
        <v>8519.34233877283</v>
      </c>
      <c r="M42" s="43" t="n">
        <f aca="false">M40+M41</f>
        <v>8860.11603232374</v>
      </c>
    </row>
    <row r="44" customFormat="false" ht="15" hidden="false" customHeight="false" outlineLevel="0" collapsed="false">
      <c r="A44" s="8" t="s">
        <v>433</v>
      </c>
      <c r="B44" s="10" t="s">
        <v>376</v>
      </c>
      <c r="D44" s="31" t="n">
        <f aca="false">D14+D22+D27+D37+D42</f>
        <v>80671.656</v>
      </c>
      <c r="E44" s="31" t="n">
        <f aca="false">E14+E22+E27+E37+E42</f>
        <v>87477.45248</v>
      </c>
      <c r="F44" s="31" t="n">
        <f aca="false">F14+F22+F27+F37+F42</f>
        <v>75256.9959384</v>
      </c>
      <c r="G44" s="31" t="n">
        <f aca="false">G14+G22+G27+G37+G42</f>
        <v>78152.107817832</v>
      </c>
      <c r="H44" s="31" t="n">
        <f aca="false">H14+H22+H27+H37+H42</f>
        <v>81162.4525416982</v>
      </c>
      <c r="I44" s="31" t="n">
        <f aca="false">I14+I22+I27+I37+I42</f>
        <v>84292.6222748536</v>
      </c>
      <c r="J44" s="31" t="n">
        <f aca="false">J14+J22+J27+J37+J42</f>
        <v>87547.3923542798</v>
      </c>
      <c r="K44" s="31" t="n">
        <f aca="false">K14+K22+K27+K37+K42</f>
        <v>90931.7286005361</v>
      </c>
      <c r="L44" s="31" t="n">
        <f aca="false">L14+L22+L27+L37+L42</f>
        <v>94450.7949212051</v>
      </c>
      <c r="M44" s="31" t="n">
        <f aca="false">M14+M22+M27+M37+M42</f>
        <v>98109.9612180003</v>
      </c>
    </row>
    <row r="45" customFormat="false" ht="15" hidden="false" customHeight="false" outlineLevel="0" collapsed="false">
      <c r="A45" s="8" t="s">
        <v>303</v>
      </c>
      <c r="B45" s="10" t="s">
        <v>376</v>
      </c>
      <c r="D45" s="31" t="n">
        <f aca="false">Assumptions!$F$96*D44</f>
        <v>4033.5828</v>
      </c>
      <c r="E45" s="31" t="n">
        <f aca="false">Assumptions!$F$96*E44</f>
        <v>4373.872624</v>
      </c>
      <c r="F45" s="31" t="n">
        <f aca="false">Assumptions!$F$96*F44</f>
        <v>3762.84979692</v>
      </c>
      <c r="G45" s="31" t="n">
        <f aca="false">Assumptions!$F$96*G44</f>
        <v>3907.6053908916</v>
      </c>
      <c r="H45" s="31" t="n">
        <f aca="false">Assumptions!$F$96*H44</f>
        <v>4058.12262708491</v>
      </c>
      <c r="I45" s="31" t="n">
        <f aca="false">Assumptions!$F$96*I44</f>
        <v>4214.63111374268</v>
      </c>
      <c r="J45" s="31" t="n">
        <f aca="false">Assumptions!$F$96*J44</f>
        <v>4377.36961771399</v>
      </c>
      <c r="K45" s="31" t="n">
        <f aca="false">Assumptions!$F$96*K44</f>
        <v>4546.5864300268</v>
      </c>
      <c r="L45" s="31" t="n">
        <f aca="false">Assumptions!$F$96*L44</f>
        <v>4722.53974606026</v>
      </c>
      <c r="M45" s="31" t="n">
        <f aca="false">Assumptions!$F$96*M44</f>
        <v>4905.49806090002</v>
      </c>
    </row>
    <row r="46" customFormat="false" ht="15" hidden="false" customHeight="false" outlineLevel="0" collapsed="false">
      <c r="A46" s="3" t="s">
        <v>434</v>
      </c>
      <c r="B46" s="10" t="s">
        <v>376</v>
      </c>
      <c r="D46" s="43" t="n">
        <f aca="false">D44+D45</f>
        <v>84705.2388</v>
      </c>
      <c r="E46" s="43" t="n">
        <f aca="false">E44+E45</f>
        <v>91851.325104</v>
      </c>
      <c r="F46" s="43" t="n">
        <f aca="false">F44+F45</f>
        <v>79019.84573532</v>
      </c>
      <c r="G46" s="43" t="n">
        <f aca="false">G44+G45</f>
        <v>82059.7132087236</v>
      </c>
      <c r="H46" s="43" t="n">
        <f aca="false">H44+H45</f>
        <v>85220.5751687831</v>
      </c>
      <c r="I46" s="43" t="n">
        <f aca="false">I44+I45</f>
        <v>88507.2533885962</v>
      </c>
      <c r="J46" s="43" t="n">
        <f aca="false">J44+J45</f>
        <v>91924.7619719938</v>
      </c>
      <c r="K46" s="43" t="n">
        <f aca="false">K44+K45</f>
        <v>95478.3150305629</v>
      </c>
      <c r="L46" s="43" t="n">
        <f aca="false">L44+L45</f>
        <v>99173.3346672654</v>
      </c>
      <c r="M46" s="43" t="n">
        <f aca="false">M44+M45</f>
        <v>103015.4592789</v>
      </c>
    </row>
    <row r="47" customFormat="false" ht="15" hidden="false" customHeight="false" outlineLevel="0" collapsed="false">
      <c r="A47" s="8" t="s">
        <v>435</v>
      </c>
      <c r="B47" s="10" t="s">
        <v>376</v>
      </c>
      <c r="D47" s="31" t="n">
        <f aca="false">IF((Herd!D14+Herd!D41)=0,0,D46/(Herd!D14+Herd!D41))</f>
        <v>1210.07484</v>
      </c>
      <c r="E47" s="31" t="n">
        <f aca="false">IF((Herd!E14+Herd!E41)=0,0,E46/(Herd!E14+Herd!E41))</f>
        <v>1312.1617872</v>
      </c>
      <c r="F47" s="31" t="n">
        <f aca="false">IF((Herd!F14+Herd!F41)=0,0,F46/(Herd!F14+Herd!F41))</f>
        <v>1128.854939076</v>
      </c>
      <c r="G47" s="31" t="n">
        <f aca="false">IF((Herd!G14+Herd!G41)=0,0,G46/(Herd!G14+Herd!G41))</f>
        <v>1172.28161726748</v>
      </c>
      <c r="H47" s="31" t="n">
        <f aca="false">IF((Herd!H14+Herd!H41)=0,0,H46/(Herd!H14+Herd!H41))</f>
        <v>1217.43678812547</v>
      </c>
      <c r="I47" s="31" t="n">
        <f aca="false">IF((Herd!I14+Herd!I41)=0,0,I46/(Herd!I14+Herd!I41))</f>
        <v>1264.3893341228</v>
      </c>
      <c r="J47" s="31" t="n">
        <f aca="false">IF((Herd!J14+Herd!J41)=0,0,J46/(Herd!J14+Herd!J41))</f>
        <v>1313.2108853142</v>
      </c>
      <c r="K47" s="31" t="n">
        <f aca="false">IF((Herd!K14+Herd!K41)=0,0,K46/(Herd!K14+Herd!K41))</f>
        <v>1363.97592900804</v>
      </c>
      <c r="L47" s="31" t="n">
        <f aca="false">IF((Herd!L14+Herd!L41)=0,0,L46/(Herd!L14+Herd!L41))</f>
        <v>1416.76192381808</v>
      </c>
      <c r="M47" s="31" t="n">
        <f aca="false">IF((Herd!M14+Herd!M41)=0,0,M46/(Herd!M14+Herd!M41))</f>
        <v>1471.64941827001</v>
      </c>
    </row>
    <row r="48" customFormat="false" ht="15" hidden="false" customHeight="false" outlineLevel="0" collapsed="false">
      <c r="A48" s="8" t="s">
        <v>436</v>
      </c>
      <c r="B48" s="10" t="s">
        <v>75</v>
      </c>
      <c r="D48" s="22" t="n">
        <f aca="false">IF(Revenue!D28=0,0,D46/Revenue!D28)</f>
        <v>1.01822888177255</v>
      </c>
      <c r="E48" s="22" t="n">
        <f aca="false">IF(Revenue!E28=0,0,E46/Revenue!E28)</f>
        <v>1.07197175329241</v>
      </c>
      <c r="F48" s="22" t="n">
        <f aca="false">IF(Revenue!F28=0,0,F46/Revenue!F28)</f>
        <v>0.829414932836092</v>
      </c>
      <c r="G48" s="22" t="n">
        <f aca="false">IF(Revenue!G28=0,0,G46/Revenue!G28)</f>
        <v>0.836235196584914</v>
      </c>
      <c r="H48" s="22" t="n">
        <f aca="false">IF(Revenue!H28=0,0,H46/Revenue!H28)</f>
        <v>0.843151630610506</v>
      </c>
      <c r="I48" s="22" t="n">
        <f aca="false">IF(Revenue!I28=0,0,I46/Revenue!I28)</f>
        <v>0.850164296154665</v>
      </c>
      <c r="J48" s="22" t="n">
        <f aca="false">IF(Revenue!J28=0,0,J46/Revenue!J28)</f>
        <v>0.857273280464942</v>
      </c>
      <c r="K48" s="22" t="n">
        <f aca="false">IF(Revenue!K28=0,0,K46/Revenue!K28)</f>
        <v>0.864478696306988</v>
      </c>
      <c r="L48" s="22" t="n">
        <f aca="false">IF(Revenue!L28=0,0,L46/Revenue!L28)</f>
        <v>0.871780681493735</v>
      </c>
      <c r="M48" s="22" t="n">
        <f aca="false">IF(Revenue!M28=0,0,M46/Revenue!M28)</f>
        <v>0.879179398430926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13" min="3" style="0" width="11.5"/>
  </cols>
  <sheetData>
    <row r="1" customFormat="false" ht="17.35" hidden="false" customHeight="false" outlineLevel="0" collapsed="false">
      <c r="A1" s="1" t="s">
        <v>437</v>
      </c>
    </row>
    <row r="2" customFormat="false" ht="15" hidden="false" customHeight="false" outlineLevel="0" collapsed="false">
      <c r="A2" s="2" t="s">
        <v>438</v>
      </c>
    </row>
    <row r="3" customFormat="false" ht="15" hidden="false" customHeight="false" outlineLevel="0" collapsed="false">
      <c r="A3" s="38" t="s">
        <v>313</v>
      </c>
      <c r="B3" s="38" t="s">
        <v>36</v>
      </c>
      <c r="C3" s="39" t="s">
        <v>314</v>
      </c>
      <c r="D3" s="39" t="s">
        <v>315</v>
      </c>
      <c r="E3" s="39" t="s">
        <v>316</v>
      </c>
      <c r="F3" s="39" t="s">
        <v>317</v>
      </c>
      <c r="G3" s="39" t="s">
        <v>318</v>
      </c>
      <c r="H3" s="39" t="s">
        <v>319</v>
      </c>
      <c r="I3" s="39" t="s">
        <v>320</v>
      </c>
      <c r="J3" s="39" t="s">
        <v>321</v>
      </c>
      <c r="K3" s="39" t="s">
        <v>322</v>
      </c>
      <c r="L3" s="39" t="s">
        <v>323</v>
      </c>
      <c r="M3" s="39" t="s">
        <v>324</v>
      </c>
    </row>
    <row r="4" customFormat="false" ht="15" hidden="false" customHeight="false" outlineLevel="0" collapsed="false">
      <c r="A4" s="40" t="s">
        <v>325</v>
      </c>
      <c r="C4" s="40" t="n">
        <v>0</v>
      </c>
      <c r="D4" s="40" t="n">
        <v>1</v>
      </c>
      <c r="E4" s="40" t="n">
        <v>2</v>
      </c>
      <c r="F4" s="40" t="n">
        <v>3</v>
      </c>
      <c r="G4" s="40" t="n">
        <v>4</v>
      </c>
      <c r="H4" s="40" t="n">
        <v>5</v>
      </c>
      <c r="I4" s="40" t="n">
        <v>6</v>
      </c>
      <c r="J4" s="40" t="n">
        <v>7</v>
      </c>
      <c r="K4" s="40" t="n">
        <v>8</v>
      </c>
      <c r="L4" s="40" t="n">
        <v>9</v>
      </c>
      <c r="M4" s="40" t="n">
        <v>10</v>
      </c>
    </row>
    <row r="6" customFormat="false" ht="15" hidden="false" customHeight="false" outlineLevel="0" collapsed="false">
      <c r="A6" s="6" t="s">
        <v>439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Format="false" ht="15" hidden="false" customHeight="false" outlineLevel="0" collapsed="false">
      <c r="A7" s="8" t="s">
        <v>15</v>
      </c>
      <c r="B7" s="10" t="s">
        <v>376</v>
      </c>
      <c r="D7" s="28" t="n">
        <f aca="false">Revenue!D28</f>
        <v>83188.8</v>
      </c>
      <c r="E7" s="28" t="n">
        <f aca="false">Revenue!E28</f>
        <v>85684.464</v>
      </c>
      <c r="F7" s="28" t="n">
        <f aca="false">Revenue!F28</f>
        <v>95271.79052</v>
      </c>
      <c r="G7" s="28" t="n">
        <f aca="false">Revenue!G28</f>
        <v>98129.9442356</v>
      </c>
      <c r="H7" s="28" t="n">
        <f aca="false">Revenue!H28</f>
        <v>101073.842562668</v>
      </c>
      <c r="I7" s="28" t="n">
        <f aca="false">Revenue!I28</f>
        <v>104106.057839548</v>
      </c>
      <c r="J7" s="28" t="n">
        <f aca="false">Revenue!J28</f>
        <v>107229.239574734</v>
      </c>
      <c r="K7" s="28" t="n">
        <f aca="false">Revenue!K28</f>
        <v>110446.116761977</v>
      </c>
      <c r="L7" s="28" t="n">
        <f aca="false">Revenue!L28</f>
        <v>113759.500264836</v>
      </c>
      <c r="M7" s="28" t="n">
        <f aca="false">Revenue!M28</f>
        <v>117172.285272781</v>
      </c>
    </row>
    <row r="8" customFormat="false" ht="15" hidden="false" customHeight="false" outlineLevel="0" collapsed="false">
      <c r="A8" s="8" t="s">
        <v>440</v>
      </c>
      <c r="B8" s="10" t="s">
        <v>376</v>
      </c>
      <c r="D8" s="28" t="n">
        <f aca="false">Opex!D46</f>
        <v>84705.2388</v>
      </c>
      <c r="E8" s="28" t="n">
        <f aca="false">Opex!E46</f>
        <v>91851.325104</v>
      </c>
      <c r="F8" s="28" t="n">
        <f aca="false">Opex!F46</f>
        <v>79019.84573532</v>
      </c>
      <c r="G8" s="28" t="n">
        <f aca="false">Opex!G46</f>
        <v>82059.7132087236</v>
      </c>
      <c r="H8" s="28" t="n">
        <f aca="false">Opex!H46</f>
        <v>85220.5751687831</v>
      </c>
      <c r="I8" s="28" t="n">
        <f aca="false">Opex!I46</f>
        <v>88507.2533885962</v>
      </c>
      <c r="J8" s="28" t="n">
        <f aca="false">Opex!J46</f>
        <v>91924.7619719938</v>
      </c>
      <c r="K8" s="28" t="n">
        <f aca="false">Opex!K46</f>
        <v>95478.3150305629</v>
      </c>
      <c r="L8" s="28" t="n">
        <f aca="false">Opex!L46</f>
        <v>99173.3346672654</v>
      </c>
      <c r="M8" s="28" t="n">
        <f aca="false">Opex!M46</f>
        <v>103015.4592789</v>
      </c>
    </row>
    <row r="9" customFormat="false" ht="15" hidden="false" customHeight="false" outlineLevel="0" collapsed="false">
      <c r="A9" s="3" t="s">
        <v>441</v>
      </c>
      <c r="B9" s="10" t="s">
        <v>376</v>
      </c>
      <c r="D9" s="43" t="n">
        <f aca="false">D7-D8</f>
        <v>-1516.4388</v>
      </c>
      <c r="E9" s="43" t="n">
        <f aca="false">E7-E8</f>
        <v>-6166.861104</v>
      </c>
      <c r="F9" s="43" t="n">
        <f aca="false">F7-F8</f>
        <v>16251.94478468</v>
      </c>
      <c r="G9" s="43" t="n">
        <f aca="false">G7-G8</f>
        <v>16070.2310268764</v>
      </c>
      <c r="H9" s="43" t="n">
        <f aca="false">H7-H8</f>
        <v>15853.2673938849</v>
      </c>
      <c r="I9" s="43" t="n">
        <f aca="false">I7-I8</f>
        <v>15598.8044509518</v>
      </c>
      <c r="J9" s="43" t="n">
        <f aca="false">J7-J8</f>
        <v>15304.4776027407</v>
      </c>
      <c r="K9" s="43" t="n">
        <f aca="false">K7-K8</f>
        <v>14967.8017314137</v>
      </c>
      <c r="L9" s="43" t="n">
        <f aca="false">L7-L8</f>
        <v>14586.1655975705</v>
      </c>
      <c r="M9" s="43" t="n">
        <f aca="false">M7-M8</f>
        <v>14156.8259938806</v>
      </c>
    </row>
    <row r="10" customFormat="false" ht="15" hidden="false" customHeight="false" outlineLevel="0" collapsed="false">
      <c r="A10" s="8" t="s">
        <v>442</v>
      </c>
      <c r="B10" s="10" t="s">
        <v>75</v>
      </c>
      <c r="D10" s="22" t="n">
        <f aca="false">IF(D7=0,0,D9/D7)</f>
        <v>-0.0182288817725463</v>
      </c>
      <c r="E10" s="22" t="n">
        <f aca="false">IF(E7=0,0,E9/E7)</f>
        <v>-0.0719717532924055</v>
      </c>
      <c r="F10" s="22" t="n">
        <f aca="false">IF(F7=0,0,F9/F7)</f>
        <v>0.170585067163908</v>
      </c>
      <c r="G10" s="22" t="n">
        <f aca="false">IF(G7=0,0,G9/G7)</f>
        <v>0.163764803415087</v>
      </c>
      <c r="H10" s="22" t="n">
        <f aca="false">IF(H7=0,0,H9/H7)</f>
        <v>0.156848369389494</v>
      </c>
      <c r="I10" s="22" t="n">
        <f aca="false">IF(I7=0,0,I9/I7)</f>
        <v>0.149835703845335</v>
      </c>
      <c r="J10" s="22" t="n">
        <f aca="false">IF(J7=0,0,J9/J7)</f>
        <v>0.142726719535058</v>
      </c>
      <c r="K10" s="22" t="n">
        <f aca="false">IF(K7=0,0,K9/K7)</f>
        <v>0.135521303693012</v>
      </c>
      <c r="L10" s="22" t="n">
        <f aca="false">IF(L7=0,0,L9/L7)</f>
        <v>0.128219318506265</v>
      </c>
      <c r="M10" s="22" t="n">
        <f aca="false">IF(M7=0,0,M9/M7)</f>
        <v>0.120820601569074</v>
      </c>
    </row>
    <row r="11" customFormat="false" ht="15" hidden="false" customHeight="false" outlineLevel="0" collapsed="false">
      <c r="A11" s="8" t="s">
        <v>443</v>
      </c>
      <c r="B11" s="10" t="s">
        <v>376</v>
      </c>
      <c r="D11" s="31" t="n">
        <f aca="false">SUMPRODUCT((Capex!$I$6:$I$41&gt;=D$4)*Capex!$J$6:$J$41)</f>
        <v>15823.4</v>
      </c>
      <c r="E11" s="31" t="n">
        <f aca="false">SUMPRODUCT((Capex!$I$6:$I$41&gt;=E$4)*Capex!$J$6:$J$41)</f>
        <v>15823.4</v>
      </c>
      <c r="F11" s="31" t="n">
        <f aca="false">SUMPRODUCT((Capex!$I$6:$I$41&gt;=F$4)*Capex!$J$6:$J$41)</f>
        <v>15823.4</v>
      </c>
      <c r="G11" s="31" t="n">
        <f aca="false">SUMPRODUCT((Capex!$I$6:$I$41&gt;=G$4)*Capex!$J$6:$J$41)</f>
        <v>15823.4</v>
      </c>
      <c r="H11" s="31" t="n">
        <f aca="false">SUMPRODUCT((Capex!$I$6:$I$41&gt;=H$4)*Capex!$J$6:$J$41)</f>
        <v>15823.4</v>
      </c>
      <c r="I11" s="31" t="n">
        <f aca="false">SUMPRODUCT((Capex!$I$6:$I$41&gt;=I$4)*Capex!$J$6:$J$41)</f>
        <v>14203.4</v>
      </c>
      <c r="J11" s="31" t="n">
        <f aca="false">SUMPRODUCT((Capex!$I$6:$I$41&gt;=J$4)*Capex!$J$6:$J$41)</f>
        <v>14203.4</v>
      </c>
      <c r="K11" s="31" t="n">
        <f aca="false">SUMPRODUCT((Capex!$I$6:$I$41&gt;=K$4)*Capex!$J$6:$J$41)</f>
        <v>14203.4</v>
      </c>
      <c r="L11" s="31" t="n">
        <f aca="false">SUMPRODUCT((Capex!$I$6:$I$41&gt;=L$4)*Capex!$J$6:$J$41)</f>
        <v>12078.4</v>
      </c>
      <c r="M11" s="31" t="n">
        <f aca="false">SUMPRODUCT((Capex!$I$6:$I$41&gt;=M$4)*Capex!$J$6:$J$41)</f>
        <v>12078.4</v>
      </c>
    </row>
    <row r="12" customFormat="false" ht="15" hidden="false" customHeight="false" outlineLevel="0" collapsed="false">
      <c r="A12" s="3" t="s">
        <v>444</v>
      </c>
      <c r="B12" s="10" t="s">
        <v>376</v>
      </c>
      <c r="D12" s="43" t="n">
        <f aca="false">D9-D11</f>
        <v>-17339.8388</v>
      </c>
      <c r="E12" s="43" t="n">
        <f aca="false">E9-E11</f>
        <v>-21990.261104</v>
      </c>
      <c r="F12" s="43" t="n">
        <f aca="false">F9-F11</f>
        <v>428.544784680003</v>
      </c>
      <c r="G12" s="43" t="n">
        <f aca="false">G9-G11</f>
        <v>246.831026876442</v>
      </c>
      <c r="H12" s="43" t="n">
        <f aca="false">H9-H11</f>
        <v>29.8673938849479</v>
      </c>
      <c r="I12" s="43" t="n">
        <f aca="false">I9-I11</f>
        <v>1395.40445095181</v>
      </c>
      <c r="J12" s="43" t="n">
        <f aca="false">J9-J11</f>
        <v>1101.07760274069</v>
      </c>
      <c r="K12" s="43" t="n">
        <f aca="false">K9-K11</f>
        <v>764.401731413711</v>
      </c>
      <c r="L12" s="43" t="n">
        <f aca="false">L9-L11</f>
        <v>2507.76559757048</v>
      </c>
      <c r="M12" s="43" t="n">
        <f aca="false">M9-M11</f>
        <v>2078.42599388056</v>
      </c>
    </row>
    <row r="13" customFormat="false" ht="15" hidden="false" customHeight="false" outlineLevel="0" collapsed="false">
      <c r="A13" s="8" t="s">
        <v>445</v>
      </c>
      <c r="B13" s="10" t="s">
        <v>376</v>
      </c>
      <c r="D13" s="31" t="n">
        <f aca="false">D36</f>
        <v>11533.632</v>
      </c>
      <c r="E13" s="31" t="n">
        <f aca="false">E36</f>
        <v>11533.632</v>
      </c>
      <c r="F13" s="31" t="n">
        <f aca="false">F36</f>
        <v>9885.97028571429</v>
      </c>
      <c r="G13" s="31" t="n">
        <f aca="false">G36</f>
        <v>8238.30857142857</v>
      </c>
      <c r="H13" s="31" t="n">
        <f aca="false">H36</f>
        <v>6590.64685714286</v>
      </c>
      <c r="I13" s="31" t="n">
        <f aca="false">I36</f>
        <v>4942.98514285714</v>
      </c>
      <c r="J13" s="31" t="n">
        <f aca="false">J36</f>
        <v>3295.32342857143</v>
      </c>
      <c r="K13" s="31" t="n">
        <f aca="false">K36</f>
        <v>1647.66171428571</v>
      </c>
      <c r="L13" s="31" t="n">
        <f aca="false">L36</f>
        <v>0</v>
      </c>
      <c r="M13" s="31" t="n">
        <f aca="false">M36</f>
        <v>0</v>
      </c>
    </row>
    <row r="14" customFormat="false" ht="15" hidden="false" customHeight="false" outlineLevel="0" collapsed="false">
      <c r="A14" s="3" t="s">
        <v>446</v>
      </c>
      <c r="B14" s="10" t="s">
        <v>376</v>
      </c>
      <c r="D14" s="43" t="n">
        <f aca="false">D12-D13</f>
        <v>-28873.4708</v>
      </c>
      <c r="E14" s="43" t="n">
        <f aca="false">E12-E13</f>
        <v>-33523.893104</v>
      </c>
      <c r="F14" s="43" t="n">
        <f aca="false">F12-F13</f>
        <v>-9457.42550103428</v>
      </c>
      <c r="G14" s="43" t="n">
        <f aca="false">G12-G13</f>
        <v>-7991.47754455213</v>
      </c>
      <c r="H14" s="43" t="n">
        <f aca="false">H12-H13</f>
        <v>-6560.77946325791</v>
      </c>
      <c r="I14" s="43" t="n">
        <f aca="false">I12-I13</f>
        <v>-3547.58069190533</v>
      </c>
      <c r="J14" s="43" t="n">
        <f aca="false">J12-J13</f>
        <v>-2194.24582583074</v>
      </c>
      <c r="K14" s="43" t="n">
        <f aca="false">K12-K13</f>
        <v>-883.259982872002</v>
      </c>
      <c r="L14" s="43" t="n">
        <f aca="false">L12-L13</f>
        <v>2507.76559757048</v>
      </c>
      <c r="M14" s="43" t="n">
        <f aca="false">M12-M13</f>
        <v>2078.42599388056</v>
      </c>
    </row>
    <row r="15" customFormat="false" ht="15" hidden="false" customHeight="false" outlineLevel="0" collapsed="false">
      <c r="A15" s="8" t="s">
        <v>447</v>
      </c>
      <c r="B15" s="10" t="s">
        <v>376</v>
      </c>
      <c r="D15" s="31" t="n">
        <f aca="false">0</f>
        <v>0</v>
      </c>
      <c r="E15" s="31" t="n">
        <f aca="false">D18</f>
        <v>28873.4708</v>
      </c>
      <c r="F15" s="31" t="n">
        <f aca="false">E18</f>
        <v>62397.363904</v>
      </c>
      <c r="G15" s="31" t="n">
        <f aca="false">F18</f>
        <v>71854.7894050343</v>
      </c>
      <c r="H15" s="31" t="n">
        <f aca="false">G18</f>
        <v>79846.2669495864</v>
      </c>
      <c r="I15" s="31" t="n">
        <f aca="false">H18</f>
        <v>86407.0464128443</v>
      </c>
      <c r="J15" s="31" t="n">
        <f aca="false">I18</f>
        <v>89954.6271047496</v>
      </c>
      <c r="K15" s="31" t="n">
        <f aca="false">J18</f>
        <v>92148.8729305804</v>
      </c>
      <c r="L15" s="31" t="n">
        <f aca="false">K18</f>
        <v>93032.1329134524</v>
      </c>
      <c r="M15" s="31" t="n">
        <f aca="false">L18</f>
        <v>90524.3673158819</v>
      </c>
    </row>
    <row r="16" customFormat="false" ht="15" hidden="false" customHeight="false" outlineLevel="0" collapsed="false">
      <c r="A16" s="8" t="s">
        <v>448</v>
      </c>
      <c r="B16" s="10" t="s">
        <v>376</v>
      </c>
      <c r="D16" s="31" t="n">
        <f aca="false">MIN(D15,MAX(D14,0))</f>
        <v>0</v>
      </c>
      <c r="E16" s="31" t="n">
        <f aca="false">MIN(E15,MAX(E14,0))</f>
        <v>0</v>
      </c>
      <c r="F16" s="31" t="n">
        <f aca="false">MIN(F15,MAX(F14,0))</f>
        <v>0</v>
      </c>
      <c r="G16" s="31" t="n">
        <f aca="false">MIN(G15,MAX(G14,0))</f>
        <v>0</v>
      </c>
      <c r="H16" s="31" t="n">
        <f aca="false">MIN(H15,MAX(H14,0))</f>
        <v>0</v>
      </c>
      <c r="I16" s="31" t="n">
        <f aca="false">MIN(I15,MAX(I14,0))</f>
        <v>0</v>
      </c>
      <c r="J16" s="31" t="n">
        <f aca="false">MIN(J15,MAX(J14,0))</f>
        <v>0</v>
      </c>
      <c r="K16" s="31" t="n">
        <f aca="false">MIN(K15,MAX(K14,0))</f>
        <v>0</v>
      </c>
      <c r="L16" s="31" t="n">
        <f aca="false">MIN(L15,MAX(L14,0))</f>
        <v>2507.76559757048</v>
      </c>
      <c r="M16" s="31" t="n">
        <f aca="false">MIN(M15,MAX(M14,0))</f>
        <v>2078.42599388056</v>
      </c>
    </row>
    <row r="17" customFormat="false" ht="15" hidden="false" customHeight="false" outlineLevel="0" collapsed="false">
      <c r="A17" s="8" t="s">
        <v>449</v>
      </c>
      <c r="B17" s="10" t="s">
        <v>376</v>
      </c>
      <c r="D17" s="31" t="n">
        <f aca="false">MAX(-D14,0)</f>
        <v>28873.4708</v>
      </c>
      <c r="E17" s="31" t="n">
        <f aca="false">MAX(-E14,0)</f>
        <v>33523.893104</v>
      </c>
      <c r="F17" s="31" t="n">
        <f aca="false">MAX(-F14,0)</f>
        <v>9457.42550103428</v>
      </c>
      <c r="G17" s="31" t="n">
        <f aca="false">MAX(-G14,0)</f>
        <v>7991.47754455213</v>
      </c>
      <c r="H17" s="31" t="n">
        <f aca="false">MAX(-H14,0)</f>
        <v>6560.77946325791</v>
      </c>
      <c r="I17" s="31" t="n">
        <f aca="false">MAX(-I14,0)</f>
        <v>3547.58069190533</v>
      </c>
      <c r="J17" s="31" t="n">
        <f aca="false">MAX(-J14,0)</f>
        <v>2194.24582583074</v>
      </c>
      <c r="K17" s="31" t="n">
        <f aca="false">MAX(-K14,0)</f>
        <v>883.259982872002</v>
      </c>
      <c r="L17" s="31" t="n">
        <f aca="false">MAX(-L14,0)</f>
        <v>0</v>
      </c>
      <c r="M17" s="31" t="n">
        <f aca="false">MAX(-M14,0)</f>
        <v>0</v>
      </c>
    </row>
    <row r="18" customFormat="false" ht="15" hidden="false" customHeight="false" outlineLevel="0" collapsed="false">
      <c r="A18" s="8" t="s">
        <v>450</v>
      </c>
      <c r="B18" s="10" t="s">
        <v>376</v>
      </c>
      <c r="D18" s="31" t="n">
        <f aca="false">D15-D16+D17</f>
        <v>28873.4708</v>
      </c>
      <c r="E18" s="31" t="n">
        <f aca="false">E15-E16+E17</f>
        <v>62397.363904</v>
      </c>
      <c r="F18" s="31" t="n">
        <f aca="false">F15-F16+F17</f>
        <v>71854.7894050343</v>
      </c>
      <c r="G18" s="31" t="n">
        <f aca="false">G15-G16+G17</f>
        <v>79846.2669495864</v>
      </c>
      <c r="H18" s="31" t="n">
        <f aca="false">H15-H16+H17</f>
        <v>86407.0464128443</v>
      </c>
      <c r="I18" s="31" t="n">
        <f aca="false">I15-I16+I17</f>
        <v>89954.6271047496</v>
      </c>
      <c r="J18" s="31" t="n">
        <f aca="false">J15-J16+J17</f>
        <v>92148.8729305804</v>
      </c>
      <c r="K18" s="31" t="n">
        <f aca="false">K15-K16+K17</f>
        <v>93032.1329134524</v>
      </c>
      <c r="L18" s="31" t="n">
        <f aca="false">L15-L16+L17</f>
        <v>90524.3673158819</v>
      </c>
      <c r="M18" s="31" t="n">
        <f aca="false">M15-M16+M17</f>
        <v>88445.9413220013</v>
      </c>
    </row>
    <row r="19" customFormat="false" ht="15" hidden="false" customHeight="false" outlineLevel="0" collapsed="false">
      <c r="A19" s="8" t="s">
        <v>451</v>
      </c>
      <c r="B19" s="10" t="s">
        <v>376</v>
      </c>
      <c r="D19" s="31" t="n">
        <f aca="false">MAX(D14,0)-D16</f>
        <v>0</v>
      </c>
      <c r="E19" s="31" t="n">
        <f aca="false">MAX(E14,0)-E16</f>
        <v>0</v>
      </c>
      <c r="F19" s="31" t="n">
        <f aca="false">MAX(F14,0)-F16</f>
        <v>0</v>
      </c>
      <c r="G19" s="31" t="n">
        <f aca="false">MAX(G14,0)-G16</f>
        <v>0</v>
      </c>
      <c r="H19" s="31" t="n">
        <f aca="false">MAX(H14,0)-H16</f>
        <v>0</v>
      </c>
      <c r="I19" s="31" t="n">
        <f aca="false">MAX(I14,0)-I16</f>
        <v>0</v>
      </c>
      <c r="J19" s="31" t="n">
        <f aca="false">MAX(J14,0)-J16</f>
        <v>0</v>
      </c>
      <c r="K19" s="31" t="n">
        <f aca="false">MAX(K14,0)-K16</f>
        <v>0</v>
      </c>
      <c r="L19" s="31" t="n">
        <f aca="false">MAX(L14,0)-L16</f>
        <v>0</v>
      </c>
      <c r="M19" s="31" t="n">
        <f aca="false">MAX(M14,0)-M16</f>
        <v>0</v>
      </c>
    </row>
    <row r="20" customFormat="false" ht="15" hidden="false" customHeight="false" outlineLevel="0" collapsed="false">
      <c r="A20" s="8" t="s">
        <v>452</v>
      </c>
      <c r="B20" s="10" t="s">
        <v>376</v>
      </c>
      <c r="D20" s="31" t="n">
        <f aca="false">D19*Assumptions!$F$17</f>
        <v>0</v>
      </c>
      <c r="E20" s="31" t="n">
        <f aca="false">E19*Assumptions!$F$17</f>
        <v>0</v>
      </c>
      <c r="F20" s="31" t="n">
        <f aca="false">F19*Assumptions!$F$17</f>
        <v>0</v>
      </c>
      <c r="G20" s="31" t="n">
        <f aca="false">G19*Assumptions!$F$17</f>
        <v>0</v>
      </c>
      <c r="H20" s="31" t="n">
        <f aca="false">H19*Assumptions!$F$17</f>
        <v>0</v>
      </c>
      <c r="I20" s="31" t="n">
        <f aca="false">I19*Assumptions!$F$17</f>
        <v>0</v>
      </c>
      <c r="J20" s="31" t="n">
        <f aca="false">J19*Assumptions!$F$17</f>
        <v>0</v>
      </c>
      <c r="K20" s="31" t="n">
        <f aca="false">K19*Assumptions!$F$17</f>
        <v>0</v>
      </c>
      <c r="L20" s="31" t="n">
        <f aca="false">L19*Assumptions!$F$17</f>
        <v>0</v>
      </c>
      <c r="M20" s="31" t="n">
        <f aca="false">M19*Assumptions!$F$17</f>
        <v>0</v>
      </c>
    </row>
    <row r="21" customFormat="false" ht="15" hidden="false" customHeight="false" outlineLevel="0" collapsed="false">
      <c r="A21" s="3" t="s">
        <v>453</v>
      </c>
      <c r="B21" s="10" t="s">
        <v>376</v>
      </c>
      <c r="D21" s="43" t="n">
        <f aca="false">D14-D20</f>
        <v>-28873.4708</v>
      </c>
      <c r="E21" s="43" t="n">
        <f aca="false">E14-E20</f>
        <v>-33523.893104</v>
      </c>
      <c r="F21" s="43" t="n">
        <f aca="false">F14-F20</f>
        <v>-9457.42550103428</v>
      </c>
      <c r="G21" s="43" t="n">
        <f aca="false">G14-G20</f>
        <v>-7991.47754455213</v>
      </c>
      <c r="H21" s="43" t="n">
        <f aca="false">H14-H20</f>
        <v>-6560.77946325791</v>
      </c>
      <c r="I21" s="43" t="n">
        <f aca="false">I14-I20</f>
        <v>-3547.58069190533</v>
      </c>
      <c r="J21" s="43" t="n">
        <f aca="false">J14-J20</f>
        <v>-2194.24582583074</v>
      </c>
      <c r="K21" s="43" t="n">
        <f aca="false">K14-K20</f>
        <v>-883.259982872002</v>
      </c>
      <c r="L21" s="43" t="n">
        <f aca="false">L14-L20</f>
        <v>2507.76559757048</v>
      </c>
      <c r="M21" s="43" t="n">
        <f aca="false">M14-M20</f>
        <v>2078.42599388056</v>
      </c>
    </row>
    <row r="23" customFormat="false" ht="15" hidden="false" customHeight="false" outlineLevel="0" collapsed="false">
      <c r="A23" s="6" t="s">
        <v>454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customFormat="false" ht="15" hidden="false" customHeight="false" outlineLevel="0" collapsed="false">
      <c r="A24" s="8" t="s">
        <v>455</v>
      </c>
      <c r="B24" s="10" t="s">
        <v>376</v>
      </c>
      <c r="D24" s="28" t="n">
        <f aca="false">Revenue!D38</f>
        <v>73284.8</v>
      </c>
      <c r="E24" s="28" t="n">
        <f aca="false">Revenue!E38</f>
        <v>75483.344</v>
      </c>
      <c r="F24" s="28" t="n">
        <f aca="false">Revenue!F38</f>
        <v>81995.68792</v>
      </c>
      <c r="G24" s="28" t="n">
        <f aca="false">Revenue!G38</f>
        <v>84455.5585576</v>
      </c>
      <c r="H24" s="28" t="n">
        <f aca="false">Revenue!H38</f>
        <v>86989.225314328</v>
      </c>
      <c r="I24" s="28" t="n">
        <f aca="false">Revenue!I38</f>
        <v>89598.9020737578</v>
      </c>
      <c r="J24" s="28" t="n">
        <f aca="false">Revenue!J38</f>
        <v>92286.8691359706</v>
      </c>
      <c r="K24" s="28" t="n">
        <f aca="false">Revenue!K38</f>
        <v>95055.4752100497</v>
      </c>
      <c r="L24" s="28" t="n">
        <f aca="false">Revenue!L38</f>
        <v>97907.1394663512</v>
      </c>
      <c r="M24" s="28" t="n">
        <f aca="false">Revenue!M38</f>
        <v>100844.353650342</v>
      </c>
    </row>
    <row r="25" customFormat="false" ht="15" hidden="false" customHeight="false" outlineLevel="0" collapsed="false">
      <c r="A25" s="8" t="s">
        <v>456</v>
      </c>
      <c r="B25" s="10" t="s">
        <v>376</v>
      </c>
      <c r="D25" s="31" t="n">
        <f aca="false">Opex!D8+Opex!D9+Opex!D18+Opex!D30+Opex!D20</f>
        <v>34068</v>
      </c>
      <c r="E25" s="31" t="n">
        <f aca="false">Opex!E8+Opex!E9+Opex!E18+Opex!E30+Opex!E20</f>
        <v>37628.04</v>
      </c>
      <c r="F25" s="31" t="n">
        <f aca="false">Opex!F8+Opex!F9+Opex!F18+Opex!F30+Opex!F20</f>
        <v>28528.2816</v>
      </c>
      <c r="G25" s="31" t="n">
        <f aca="false">Opex!G8+Opex!G9+Opex!G18+Opex!G30+Opex!G20</f>
        <v>29669.412864</v>
      </c>
      <c r="H25" s="31" t="n">
        <f aca="false">Opex!H8+Opex!H9+Opex!H18+Opex!H30+Opex!H20</f>
        <v>30856.18937856</v>
      </c>
      <c r="I25" s="31" t="n">
        <f aca="false">Opex!I8+Opex!I9+Opex!I18+Opex!I30+Opex!I20</f>
        <v>32090.4369537024</v>
      </c>
      <c r="J25" s="31" t="n">
        <f aca="false">Opex!J8+Opex!J9+Opex!J18+Opex!J30+Opex!J20</f>
        <v>33374.0544318505</v>
      </c>
      <c r="K25" s="31" t="n">
        <f aca="false">Opex!K8+Opex!K9+Opex!K18+Opex!K30+Opex!K20</f>
        <v>34709.0166091245</v>
      </c>
      <c r="L25" s="31" t="n">
        <f aca="false">Opex!L8+Opex!L9+Opex!L18+Opex!L30+Opex!L20</f>
        <v>36097.3772734895</v>
      </c>
      <c r="M25" s="31" t="n">
        <f aca="false">Opex!M8+Opex!M9+Opex!M18+Opex!M30+Opex!M20</f>
        <v>37541.2723644291</v>
      </c>
    </row>
    <row r="26" customFormat="false" ht="15" hidden="false" customHeight="false" outlineLevel="0" collapsed="false">
      <c r="A26" s="3" t="s">
        <v>457</v>
      </c>
      <c r="B26" s="10" t="s">
        <v>376</v>
      </c>
      <c r="D26" s="43" t="n">
        <f aca="false">D24-D25</f>
        <v>39216.8</v>
      </c>
      <c r="E26" s="43" t="n">
        <f aca="false">E24-E25</f>
        <v>37855.304</v>
      </c>
      <c r="F26" s="43" t="n">
        <f aca="false">F24-F25</f>
        <v>53467.40632</v>
      </c>
      <c r="G26" s="43" t="n">
        <f aca="false">G24-G25</f>
        <v>54786.1456936</v>
      </c>
      <c r="H26" s="43" t="n">
        <f aca="false">H24-H25</f>
        <v>56133.035935768</v>
      </c>
      <c r="I26" s="43" t="n">
        <f aca="false">I24-I25</f>
        <v>57508.4651200554</v>
      </c>
      <c r="J26" s="43" t="n">
        <f aca="false">J24-J25</f>
        <v>58912.8147041201</v>
      </c>
      <c r="K26" s="43" t="n">
        <f aca="false">K24-K25</f>
        <v>60346.4586009252</v>
      </c>
      <c r="L26" s="43" t="n">
        <f aca="false">L24-L25</f>
        <v>61809.7621928617</v>
      </c>
      <c r="M26" s="43" t="n">
        <f aca="false">M24-M25</f>
        <v>63303.0812859127</v>
      </c>
    </row>
    <row r="27" customFormat="false" ht="15" hidden="false" customHeight="false" outlineLevel="0" collapsed="false">
      <c r="A27" s="8" t="s">
        <v>458</v>
      </c>
      <c r="B27" s="10" t="s">
        <v>75</v>
      </c>
      <c r="D27" s="22" t="n">
        <f aca="false">IF(D24=0,0,D26/D24)</f>
        <v>0.535128703360042</v>
      </c>
      <c r="E27" s="22" t="n">
        <f aca="false">IF(E24=0,0,E26/E24)</f>
        <v>0.501505391706017</v>
      </c>
      <c r="F27" s="22" t="n">
        <f aca="false">IF(F24=0,0,F26/F24)</f>
        <v>0.652075830770102</v>
      </c>
      <c r="G27" s="22" t="n">
        <f aca="false">IF(G24=0,0,G26/G24)</f>
        <v>0.648697926214472</v>
      </c>
      <c r="H27" s="22" t="n">
        <f aca="false">IF(H24=0,0,H26/H24)</f>
        <v>0.645287226468981</v>
      </c>
      <c r="I27" s="22" t="n">
        <f aca="false">IF(I24=0,0,I26/I24)</f>
        <v>0.641843413133729</v>
      </c>
      <c r="J27" s="22" t="n">
        <f aca="false">IF(J24=0,0,J26/J24)</f>
        <v>0.638366164717551</v>
      </c>
      <c r="K27" s="22" t="n">
        <f aca="false">IF(K24=0,0,K26/K24)</f>
        <v>0.634855156608013</v>
      </c>
      <c r="L27" s="22" t="n">
        <f aca="false">IF(L24=0,0,L26/L24)</f>
        <v>0.6313100610411</v>
      </c>
      <c r="M27" s="22" t="n">
        <f aca="false">IF(M24=0,0,M26/M24)</f>
        <v>0.627730547070626</v>
      </c>
    </row>
    <row r="28" customFormat="false" ht="15" hidden="false" customHeight="false" outlineLevel="0" collapsed="false">
      <c r="A28" s="8" t="s">
        <v>459</v>
      </c>
      <c r="B28" s="10" t="s">
        <v>376</v>
      </c>
      <c r="D28" s="31" t="n">
        <f aca="false">Revenue!D39+Revenue!D25</f>
        <v>8154</v>
      </c>
      <c r="E28" s="31" t="n">
        <f aca="false">Revenue!E39+Revenue!E25</f>
        <v>8398.62</v>
      </c>
      <c r="F28" s="31" t="n">
        <f aca="false">Revenue!F39+Revenue!F25</f>
        <v>11419.5276</v>
      </c>
      <c r="G28" s="31" t="n">
        <f aca="false">Revenue!G39+Revenue!G25</f>
        <v>11762.113428</v>
      </c>
      <c r="H28" s="31" t="n">
        <f aca="false">Revenue!H39+Revenue!H25</f>
        <v>12114.97683084</v>
      </c>
      <c r="I28" s="31" t="n">
        <f aca="false">Revenue!I39+Revenue!I25</f>
        <v>12478.4261357652</v>
      </c>
      <c r="J28" s="31" t="n">
        <f aca="false">Revenue!J39+Revenue!J25</f>
        <v>12852.7789198382</v>
      </c>
      <c r="K28" s="31" t="n">
        <f aca="false">Revenue!K39+Revenue!K25</f>
        <v>13238.3622874333</v>
      </c>
      <c r="L28" s="31" t="n">
        <f aca="false">Revenue!L39+Revenue!L25</f>
        <v>13635.5131560563</v>
      </c>
      <c r="M28" s="31" t="n">
        <f aca="false">Revenue!M39+Revenue!M25</f>
        <v>14044.578550738</v>
      </c>
    </row>
    <row r="29" customFormat="false" ht="15" hidden="false" customHeight="false" outlineLevel="0" collapsed="false">
      <c r="A29" s="8" t="s">
        <v>460</v>
      </c>
      <c r="B29" s="10" t="s">
        <v>376</v>
      </c>
      <c r="D29" s="31" t="n">
        <f aca="false">Opex!D10+Opex!D11+Opex!D12+Opex!D19+Opex!D21</f>
        <v>9811.5</v>
      </c>
      <c r="E29" s="31" t="n">
        <f aca="false">Opex!E10+Opex!E11+Opex!E12+Opex!E19+Opex!E21</f>
        <v>11124.72</v>
      </c>
      <c r="F29" s="31" t="n">
        <f aca="false">Opex!F10+Opex!F11+Opex!F12+Opex!F19+Opex!F21</f>
        <v>6427.9488</v>
      </c>
      <c r="G29" s="31" t="n">
        <f aca="false">Opex!G10+Opex!G11+Opex!G12+Opex!G19+Opex!G21</f>
        <v>6685.066752</v>
      </c>
      <c r="H29" s="31" t="n">
        <f aca="false">Opex!H10+Opex!H11+Opex!H12+Opex!H19+Opex!H21</f>
        <v>6952.46942208</v>
      </c>
      <c r="I29" s="31" t="n">
        <f aca="false">Opex!I10+Opex!I11+Opex!I12+Opex!I19+Opex!I21</f>
        <v>7230.5681989632</v>
      </c>
      <c r="J29" s="31" t="n">
        <f aca="false">Opex!J10+Opex!J11+Opex!J12+Opex!J19+Opex!J21</f>
        <v>7519.79092692173</v>
      </c>
      <c r="K29" s="31" t="n">
        <f aca="false">Opex!K10+Opex!K11+Opex!K12+Opex!K19+Opex!K21</f>
        <v>7820.5825639986</v>
      </c>
      <c r="L29" s="31" t="n">
        <f aca="false">Opex!L10+Opex!L11+Opex!L12+Opex!L19+Opex!L21</f>
        <v>8133.40586655854</v>
      </c>
      <c r="M29" s="31" t="n">
        <f aca="false">Opex!M10+Opex!M11+Opex!M12+Opex!M19+Opex!M21</f>
        <v>8458.74210122089</v>
      </c>
    </row>
    <row r="30" customFormat="false" ht="15" hidden="false" customHeight="false" outlineLevel="0" collapsed="false">
      <c r="A30" s="3" t="s">
        <v>461</v>
      </c>
      <c r="B30" s="10" t="s">
        <v>376</v>
      </c>
      <c r="D30" s="43" t="n">
        <f aca="false">D28-D29</f>
        <v>-1657.5</v>
      </c>
      <c r="E30" s="43" t="n">
        <f aca="false">E28-E29</f>
        <v>-2726.1</v>
      </c>
      <c r="F30" s="43" t="n">
        <f aca="false">F28-F29</f>
        <v>4991.5788</v>
      </c>
      <c r="G30" s="43" t="n">
        <f aca="false">G28-G29</f>
        <v>5077.046676</v>
      </c>
      <c r="H30" s="43" t="n">
        <f aca="false">H28-H29</f>
        <v>5162.50740876</v>
      </c>
      <c r="I30" s="43" t="n">
        <f aca="false">I28-I29</f>
        <v>5247.857936802</v>
      </c>
      <c r="J30" s="43" t="n">
        <f aca="false">J28-J29</f>
        <v>5332.98799291643</v>
      </c>
      <c r="K30" s="43" t="n">
        <f aca="false">K28-K29</f>
        <v>5417.7797234347</v>
      </c>
      <c r="L30" s="43" t="n">
        <f aca="false">L28-L29</f>
        <v>5502.10728949776</v>
      </c>
      <c r="M30" s="43" t="n">
        <f aca="false">M28-M29</f>
        <v>5585.83644951711</v>
      </c>
    </row>
    <row r="31" customFormat="false" ht="15" hidden="false" customHeight="false" outlineLevel="0" collapsed="false">
      <c r="A31" s="8" t="s">
        <v>462</v>
      </c>
      <c r="B31" s="10" t="s">
        <v>75</v>
      </c>
      <c r="D31" s="22" t="n">
        <f aca="false">IF(D28=0,0,D30/D28)</f>
        <v>-0.2032744665195</v>
      </c>
      <c r="E31" s="22" t="n">
        <f aca="false">IF(E28=0,0,E30/E28)</f>
        <v>-0.324589039627939</v>
      </c>
      <c r="F31" s="22" t="n">
        <f aca="false">IF(F28=0,0,F30/F28)</f>
        <v>0.437109044685876</v>
      </c>
      <c r="G31" s="22" t="n">
        <f aca="false">IF(G28=0,0,G30/G28)</f>
        <v>0.431644083954671</v>
      </c>
      <c r="H31" s="22" t="n">
        <f aca="false">IF(H28=0,0,H30/H28)</f>
        <v>0.42612606535229</v>
      </c>
      <c r="I31" s="22" t="n">
        <f aca="false">IF(I28=0,0,I30/I28)</f>
        <v>0.420554473753768</v>
      </c>
      <c r="J31" s="22" t="n">
        <f aca="false">IF(J28=0,0,J30/J28)</f>
        <v>0.414928789032931</v>
      </c>
      <c r="K31" s="22" t="n">
        <f aca="false">IF(K28=0,0,K30/K28)</f>
        <v>0.409248486013833</v>
      </c>
      <c r="L31" s="22" t="n">
        <f aca="false">IF(L28=0,0,L30/L28)</f>
        <v>0.403513034421734</v>
      </c>
      <c r="M31" s="22" t="n">
        <f aca="false">IF(M28=0,0,M30/M28)</f>
        <v>0.397721898833596</v>
      </c>
    </row>
    <row r="33" customFormat="false" ht="15" hidden="false" customHeight="false" outlineLevel="0" collapsed="false">
      <c r="A33" s="6" t="s">
        <v>463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customFormat="false" ht="15" hidden="false" customHeight="false" outlineLevel="0" collapsed="false">
      <c r="A34" s="8" t="s">
        <v>464</v>
      </c>
      <c r="B34" s="10" t="s">
        <v>376</v>
      </c>
      <c r="C34" s="31" t="n">
        <f aca="false">Assumptions!$F$101*Capex!$H$47</f>
        <v>96113.6</v>
      </c>
    </row>
    <row r="35" customFormat="false" ht="15" hidden="false" customHeight="false" outlineLevel="0" collapsed="false">
      <c r="A35" s="8" t="s">
        <v>465</v>
      </c>
      <c r="B35" s="10" t="s">
        <v>376</v>
      </c>
      <c r="D35" s="31" t="n">
        <f aca="false">C38</f>
        <v>96113.6</v>
      </c>
      <c r="E35" s="31" t="n">
        <f aca="false">D38</f>
        <v>96113.6</v>
      </c>
      <c r="F35" s="31" t="n">
        <f aca="false">E38</f>
        <v>82383.0857142857</v>
      </c>
      <c r="G35" s="31" t="n">
        <f aca="false">F38</f>
        <v>68652.5714285714</v>
      </c>
      <c r="H35" s="31" t="n">
        <f aca="false">G38</f>
        <v>54922.0571428571</v>
      </c>
      <c r="I35" s="31" t="n">
        <f aca="false">H38</f>
        <v>41191.5428571429</v>
      </c>
      <c r="J35" s="31" t="n">
        <f aca="false">I38</f>
        <v>27461.0285714286</v>
      </c>
      <c r="K35" s="31" t="n">
        <f aca="false">J38</f>
        <v>13730.5142857143</v>
      </c>
      <c r="L35" s="31" t="n">
        <f aca="false">K38</f>
        <v>0</v>
      </c>
      <c r="M35" s="31" t="n">
        <f aca="false">L38</f>
        <v>0</v>
      </c>
    </row>
    <row r="36" customFormat="false" ht="15" hidden="false" customHeight="false" outlineLevel="0" collapsed="false">
      <c r="A36" s="8" t="s">
        <v>445</v>
      </c>
      <c r="B36" s="10" t="s">
        <v>376</v>
      </c>
      <c r="D36" s="31" t="n">
        <f aca="false">D35*Assumptions!$F$102</f>
        <v>11533.632</v>
      </c>
      <c r="E36" s="31" t="n">
        <f aca="false">E35*Assumptions!$F$102</f>
        <v>11533.632</v>
      </c>
      <c r="F36" s="31" t="n">
        <f aca="false">F35*Assumptions!$F$102</f>
        <v>9885.97028571429</v>
      </c>
      <c r="G36" s="31" t="n">
        <f aca="false">G35*Assumptions!$F$102</f>
        <v>8238.30857142857</v>
      </c>
      <c r="H36" s="31" t="n">
        <f aca="false">H35*Assumptions!$F$102</f>
        <v>6590.64685714286</v>
      </c>
      <c r="I36" s="31" t="n">
        <f aca="false">I35*Assumptions!$F$102</f>
        <v>4942.98514285714</v>
      </c>
      <c r="J36" s="31" t="n">
        <f aca="false">J35*Assumptions!$F$102</f>
        <v>3295.32342857143</v>
      </c>
      <c r="K36" s="31" t="n">
        <f aca="false">K35*Assumptions!$F$102</f>
        <v>1647.66171428571</v>
      </c>
      <c r="L36" s="31" t="n">
        <f aca="false">L35*Assumptions!$F$102</f>
        <v>0</v>
      </c>
      <c r="M36" s="31" t="n">
        <f aca="false">M35*Assumptions!$F$102</f>
        <v>0</v>
      </c>
    </row>
    <row r="37" customFormat="false" ht="15" hidden="false" customHeight="false" outlineLevel="0" collapsed="false">
      <c r="A37" s="8" t="s">
        <v>466</v>
      </c>
      <c r="B37" s="10" t="s">
        <v>376</v>
      </c>
      <c r="D37" s="31" t="n">
        <f aca="false">IF(D$4&lt;=Assumptions!$F$104,0,MIN(D35,$C$34/MAX(1,Assumptions!$F$103-Assumptions!$F$104)))</f>
        <v>0</v>
      </c>
      <c r="E37" s="31" t="n">
        <f aca="false">IF(E$4&lt;=Assumptions!$F$104,0,MIN(E35,$C$34/MAX(1,Assumptions!$F$103-Assumptions!$F$104)))</f>
        <v>13730.5142857143</v>
      </c>
      <c r="F37" s="31" t="n">
        <f aca="false">IF(F$4&lt;=Assumptions!$F$104,0,MIN(F35,$C$34/MAX(1,Assumptions!$F$103-Assumptions!$F$104)))</f>
        <v>13730.5142857143</v>
      </c>
      <c r="G37" s="31" t="n">
        <f aca="false">IF(G$4&lt;=Assumptions!$F$104,0,MIN(G35,$C$34/MAX(1,Assumptions!$F$103-Assumptions!$F$104)))</f>
        <v>13730.5142857143</v>
      </c>
      <c r="H37" s="31" t="n">
        <f aca="false">IF(H$4&lt;=Assumptions!$F$104,0,MIN(H35,$C$34/MAX(1,Assumptions!$F$103-Assumptions!$F$104)))</f>
        <v>13730.5142857143</v>
      </c>
      <c r="I37" s="31" t="n">
        <f aca="false">IF(I$4&lt;=Assumptions!$F$104,0,MIN(I35,$C$34/MAX(1,Assumptions!$F$103-Assumptions!$F$104)))</f>
        <v>13730.5142857143</v>
      </c>
      <c r="J37" s="31" t="n">
        <f aca="false">IF(J$4&lt;=Assumptions!$F$104,0,MIN(J35,$C$34/MAX(1,Assumptions!$F$103-Assumptions!$F$104)))</f>
        <v>13730.5142857143</v>
      </c>
      <c r="K37" s="31" t="n">
        <f aca="false">IF(K$4&lt;=Assumptions!$F$104,0,MIN(K35,$C$34/MAX(1,Assumptions!$F$103-Assumptions!$F$104)))</f>
        <v>13730.5142857143</v>
      </c>
      <c r="L37" s="31" t="n">
        <f aca="false">IF(L$4&lt;=Assumptions!$F$104,0,MIN(L35,$C$34/MAX(1,Assumptions!$F$103-Assumptions!$F$104)))</f>
        <v>0</v>
      </c>
      <c r="M37" s="31" t="n">
        <f aca="false">IF(M$4&lt;=Assumptions!$F$104,0,MIN(M35,$C$34/MAX(1,Assumptions!$F$103-Assumptions!$F$104)))</f>
        <v>0</v>
      </c>
    </row>
    <row r="38" customFormat="false" ht="15" hidden="false" customHeight="false" outlineLevel="0" collapsed="false">
      <c r="A38" s="3" t="s">
        <v>467</v>
      </c>
      <c r="B38" s="10" t="s">
        <v>376</v>
      </c>
      <c r="C38" s="36" t="n">
        <f aca="false">C34</f>
        <v>96113.6</v>
      </c>
      <c r="D38" s="43" t="n">
        <f aca="false">D35-D37</f>
        <v>96113.6</v>
      </c>
      <c r="E38" s="43" t="n">
        <f aca="false">E35-E37</f>
        <v>82383.0857142857</v>
      </c>
      <c r="F38" s="43" t="n">
        <f aca="false">F35-F37</f>
        <v>68652.5714285714</v>
      </c>
      <c r="G38" s="43" t="n">
        <f aca="false">G35-G37</f>
        <v>54922.0571428571</v>
      </c>
      <c r="H38" s="43" t="n">
        <f aca="false">H35-H37</f>
        <v>41191.5428571429</v>
      </c>
      <c r="I38" s="43" t="n">
        <f aca="false">I35-I37</f>
        <v>27461.0285714286</v>
      </c>
      <c r="J38" s="43" t="n">
        <f aca="false">J35-J37</f>
        <v>13730.5142857143</v>
      </c>
      <c r="K38" s="43" t="n">
        <f aca="false">K35-K37</f>
        <v>0</v>
      </c>
      <c r="L38" s="43" t="n">
        <f aca="false">L35-L37</f>
        <v>0</v>
      </c>
      <c r="M38" s="43" t="n">
        <f aca="false">M35-M37</f>
        <v>0</v>
      </c>
    </row>
    <row r="40" customFormat="false" ht="15" hidden="false" customHeight="false" outlineLevel="0" collapsed="false">
      <c r="A40" s="6" t="s">
        <v>468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customFormat="false" ht="15" hidden="false" customHeight="false" outlineLevel="0" collapsed="false">
      <c r="A41" s="8" t="s">
        <v>469</v>
      </c>
      <c r="B41" s="10" t="s">
        <v>376</v>
      </c>
      <c r="M41" s="31" t="n">
        <f aca="false">Herd!M14*Assumptions!$F$70*Assumptions!$F$25*Revenue!M6+Herd!M41*Assumptions!$F$71*Assumptions!$F$25*Revenue!M6</f>
        <v>88724.5765003887</v>
      </c>
    </row>
    <row r="42" customFormat="false" ht="15" hidden="false" customHeight="false" outlineLevel="0" collapsed="false">
      <c r="A42" s="8" t="s">
        <v>470</v>
      </c>
      <c r="B42" s="10" t="s">
        <v>376</v>
      </c>
      <c r="M42" s="31" t="n">
        <f aca="false">MAX(0,Capex!$H$47-Capex!$H$43-SUM(D11:M11))</f>
        <v>24000</v>
      </c>
    </row>
    <row r="43" customFormat="false" ht="15" hidden="false" customHeight="false" outlineLevel="0" collapsed="false">
      <c r="A43" s="3" t="s">
        <v>471</v>
      </c>
      <c r="B43" s="10" t="s">
        <v>376</v>
      </c>
      <c r="M43" s="36" t="n">
        <f aca="false">Assumptions!$F$19*(M41+M42)</f>
        <v>112724.576500389</v>
      </c>
    </row>
    <row r="45" customFormat="false" ht="15" hidden="false" customHeight="false" outlineLevel="0" collapsed="false">
      <c r="A45" s="6" t="s">
        <v>472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customFormat="false" ht="15" hidden="false" customHeight="false" outlineLevel="0" collapsed="false">
      <c r="A46" s="8" t="s">
        <v>473</v>
      </c>
      <c r="B46" s="10" t="s">
        <v>376</v>
      </c>
      <c r="C46" s="31" t="n">
        <f aca="false">C9</f>
        <v>0</v>
      </c>
      <c r="D46" s="31" t="n">
        <f aca="false">D9</f>
        <v>-1516.4388</v>
      </c>
      <c r="E46" s="31" t="n">
        <f aca="false">E9</f>
        <v>-6166.861104</v>
      </c>
      <c r="F46" s="31" t="n">
        <f aca="false">F9</f>
        <v>16251.94478468</v>
      </c>
      <c r="G46" s="31" t="n">
        <f aca="false">G9</f>
        <v>16070.2310268764</v>
      </c>
      <c r="H46" s="31" t="n">
        <f aca="false">H9</f>
        <v>15853.2673938849</v>
      </c>
      <c r="I46" s="31" t="n">
        <f aca="false">I9</f>
        <v>15598.8044509518</v>
      </c>
      <c r="J46" s="31" t="n">
        <f aca="false">J9</f>
        <v>15304.4776027407</v>
      </c>
      <c r="K46" s="31" t="n">
        <f aca="false">K9</f>
        <v>14967.8017314137</v>
      </c>
      <c r="L46" s="31" t="n">
        <f aca="false">L9</f>
        <v>14586.1655975705</v>
      </c>
      <c r="M46" s="31" t="n">
        <f aca="false">M9</f>
        <v>14156.8259938806</v>
      </c>
    </row>
    <row r="47" customFormat="false" ht="15" hidden="false" customHeight="false" outlineLevel="0" collapsed="false">
      <c r="A47" s="8" t="s">
        <v>474</v>
      </c>
      <c r="B47" s="10" t="s">
        <v>376</v>
      </c>
      <c r="C47" s="31" t="n">
        <f aca="false">-C20</f>
        <v>-0</v>
      </c>
      <c r="D47" s="31" t="n">
        <f aca="false">-D20</f>
        <v>-0</v>
      </c>
      <c r="E47" s="31" t="n">
        <f aca="false">-E20</f>
        <v>-0</v>
      </c>
      <c r="F47" s="31" t="n">
        <f aca="false">-F20</f>
        <v>-0</v>
      </c>
      <c r="G47" s="31" t="n">
        <f aca="false">-G20</f>
        <v>-0</v>
      </c>
      <c r="H47" s="31" t="n">
        <f aca="false">-H20</f>
        <v>-0</v>
      </c>
      <c r="I47" s="31" t="n">
        <f aca="false">-I20</f>
        <v>-0</v>
      </c>
      <c r="J47" s="31" t="n">
        <f aca="false">-J20</f>
        <v>-0</v>
      </c>
      <c r="K47" s="31" t="n">
        <f aca="false">-K20</f>
        <v>-0</v>
      </c>
      <c r="L47" s="31" t="n">
        <f aca="false">-L20</f>
        <v>-0</v>
      </c>
      <c r="M47" s="31" t="n">
        <f aca="false">-M20</f>
        <v>-0</v>
      </c>
    </row>
    <row r="48" customFormat="false" ht="15" hidden="false" customHeight="false" outlineLevel="0" collapsed="false">
      <c r="A48" s="8" t="s">
        <v>475</v>
      </c>
      <c r="B48" s="10" t="s">
        <v>376</v>
      </c>
      <c r="C48" s="31" t="n">
        <f aca="false">-C36</f>
        <v>-0</v>
      </c>
      <c r="D48" s="31" t="n">
        <f aca="false">-D36</f>
        <v>-11533.632</v>
      </c>
      <c r="E48" s="31" t="n">
        <f aca="false">-E36</f>
        <v>-11533.632</v>
      </c>
      <c r="F48" s="31" t="n">
        <f aca="false">-F36</f>
        <v>-9885.97028571429</v>
      </c>
      <c r="G48" s="31" t="n">
        <f aca="false">-G36</f>
        <v>-8238.30857142857</v>
      </c>
      <c r="H48" s="31" t="n">
        <f aca="false">-H36</f>
        <v>-6590.64685714286</v>
      </c>
      <c r="I48" s="31" t="n">
        <f aca="false">-I36</f>
        <v>-4942.98514285714</v>
      </c>
      <c r="J48" s="31" t="n">
        <f aca="false">-J36</f>
        <v>-3295.32342857143</v>
      </c>
      <c r="K48" s="31" t="n">
        <f aca="false">-K36</f>
        <v>-1647.66171428571</v>
      </c>
      <c r="L48" s="31" t="n">
        <f aca="false">-L36</f>
        <v>-0</v>
      </c>
      <c r="M48" s="31" t="n">
        <f aca="false">-M36</f>
        <v>-0</v>
      </c>
    </row>
    <row r="49" customFormat="false" ht="15" hidden="false" customHeight="false" outlineLevel="0" collapsed="false">
      <c r="A49" s="8" t="s">
        <v>476</v>
      </c>
      <c r="B49" s="10" t="s">
        <v>376</v>
      </c>
      <c r="C49" s="31" t="n">
        <f aca="false">-C37</f>
        <v>-0</v>
      </c>
      <c r="D49" s="31" t="n">
        <f aca="false">-D37</f>
        <v>-0</v>
      </c>
      <c r="E49" s="31" t="n">
        <f aca="false">-E37</f>
        <v>-13730.5142857143</v>
      </c>
      <c r="F49" s="31" t="n">
        <f aca="false">-F37</f>
        <v>-13730.5142857143</v>
      </c>
      <c r="G49" s="31" t="n">
        <f aca="false">-G37</f>
        <v>-13730.5142857143</v>
      </c>
      <c r="H49" s="31" t="n">
        <f aca="false">-H37</f>
        <v>-13730.5142857143</v>
      </c>
      <c r="I49" s="31" t="n">
        <f aca="false">-I37</f>
        <v>-13730.5142857143</v>
      </c>
      <c r="J49" s="31" t="n">
        <f aca="false">-J37</f>
        <v>-13730.5142857143</v>
      </c>
      <c r="K49" s="31" t="n">
        <f aca="false">-K37</f>
        <v>-13730.5142857143</v>
      </c>
      <c r="L49" s="31" t="n">
        <f aca="false">-L37</f>
        <v>-0</v>
      </c>
      <c r="M49" s="31" t="n">
        <f aca="false">-M37</f>
        <v>-0</v>
      </c>
    </row>
    <row r="50" customFormat="false" ht="15" hidden="false" customHeight="false" outlineLevel="0" collapsed="false">
      <c r="A50" s="8" t="s">
        <v>477</v>
      </c>
      <c r="B50" s="10" t="s">
        <v>376</v>
      </c>
      <c r="C50" s="31" t="n">
        <f aca="false">-Capex!$H$47</f>
        <v>-240284</v>
      </c>
      <c r="D50" s="31" t="n">
        <f aca="false">-Assumptions!$F$100*Capex!$H$44*Revenue!D6</f>
        <v>-2359.5</v>
      </c>
      <c r="E50" s="31" t="n">
        <f aca="false">-Assumptions!$F$100*Capex!$H$44*Revenue!E6</f>
        <v>-2430.285</v>
      </c>
      <c r="F50" s="31" t="n">
        <f aca="false">-Assumptions!$F$100*Capex!$H$44*Revenue!F6</f>
        <v>-2503.19355</v>
      </c>
      <c r="G50" s="31" t="n">
        <f aca="false">-Assumptions!$F$100*Capex!$H$44*Revenue!G6</f>
        <v>-2578.2893565</v>
      </c>
      <c r="H50" s="31" t="n">
        <f aca="false">-Assumptions!$F$100*Capex!$H$44*Revenue!H6</f>
        <v>-2655.638037195</v>
      </c>
      <c r="I50" s="31" t="n">
        <f aca="false">-Assumptions!$F$100*Capex!$H$44*Revenue!I6</f>
        <v>-2735.30717831085</v>
      </c>
      <c r="J50" s="31" t="n">
        <f aca="false">-Assumptions!$F$100*Capex!$H$44*Revenue!J6</f>
        <v>-2817.36639366018</v>
      </c>
      <c r="K50" s="31" t="n">
        <f aca="false">-Assumptions!$F$100*Capex!$H$44*Revenue!K6</f>
        <v>-2901.88738546998</v>
      </c>
      <c r="L50" s="31" t="n">
        <f aca="false">-Assumptions!$F$100*Capex!$H$44*Revenue!L6</f>
        <v>-2988.94400703408</v>
      </c>
      <c r="M50" s="31" t="n">
        <f aca="false">-Assumptions!$F$100*Capex!$H$44*Revenue!M6</f>
        <v>-3078.6123272451</v>
      </c>
    </row>
    <row r="51" customFormat="false" ht="15" hidden="false" customHeight="false" outlineLevel="0" collapsed="false">
      <c r="A51" s="8" t="s">
        <v>478</v>
      </c>
      <c r="B51" s="10" t="s">
        <v>376</v>
      </c>
      <c r="C51" s="31" t="n">
        <f aca="false">IF(C$4=0,-Assumptions!$F$20/12*Opex!$D$46,IF(C$4=10,Assumptions!$F$20/12*Opex!$D$46,0))</f>
        <v>-21176.3097</v>
      </c>
      <c r="D51" s="31" t="n">
        <f aca="false">IF(D$4=0,-Assumptions!$F$20/12*Opex!$D$46,IF(D$4=10,Assumptions!$F$20/12*Opex!$D$46,0))</f>
        <v>0</v>
      </c>
      <c r="E51" s="31" t="n">
        <f aca="false">IF(E$4=0,-Assumptions!$F$20/12*Opex!$D$46,IF(E$4=10,Assumptions!$F$20/12*Opex!$D$46,0))</f>
        <v>0</v>
      </c>
      <c r="F51" s="31" t="n">
        <f aca="false">IF(F$4=0,-Assumptions!$F$20/12*Opex!$D$46,IF(F$4=10,Assumptions!$F$20/12*Opex!$D$46,0))</f>
        <v>0</v>
      </c>
      <c r="G51" s="31" t="n">
        <f aca="false">IF(G$4=0,-Assumptions!$F$20/12*Opex!$D$46,IF(G$4=10,Assumptions!$F$20/12*Opex!$D$46,0))</f>
        <v>0</v>
      </c>
      <c r="H51" s="31" t="n">
        <f aca="false">IF(H$4=0,-Assumptions!$F$20/12*Opex!$D$46,IF(H$4=10,Assumptions!$F$20/12*Opex!$D$46,0))</f>
        <v>0</v>
      </c>
      <c r="I51" s="31" t="n">
        <f aca="false">IF(I$4=0,-Assumptions!$F$20/12*Opex!$D$46,IF(I$4=10,Assumptions!$F$20/12*Opex!$D$46,0))</f>
        <v>0</v>
      </c>
      <c r="J51" s="31" t="n">
        <f aca="false">IF(J$4=0,-Assumptions!$F$20/12*Opex!$D$46,IF(J$4=10,Assumptions!$F$20/12*Opex!$D$46,0))</f>
        <v>0</v>
      </c>
      <c r="K51" s="31" t="n">
        <f aca="false">IF(K$4=0,-Assumptions!$F$20/12*Opex!$D$46,IF(K$4=10,Assumptions!$F$20/12*Opex!$D$46,0))</f>
        <v>0</v>
      </c>
      <c r="L51" s="31" t="n">
        <f aca="false">IF(L$4=0,-Assumptions!$F$20/12*Opex!$D$46,IF(L$4=10,Assumptions!$F$20/12*Opex!$D$46,0))</f>
        <v>0</v>
      </c>
      <c r="M51" s="31" t="n">
        <f aca="false">IF(M$4=0,-Assumptions!$F$20/12*Opex!$D$46,IF(M$4=10,Assumptions!$F$20/12*Opex!$D$46,0))</f>
        <v>21176.3097</v>
      </c>
    </row>
    <row r="52" customFormat="false" ht="15" hidden="false" customHeight="false" outlineLevel="0" collapsed="false">
      <c r="A52" s="8" t="s">
        <v>464</v>
      </c>
      <c r="B52" s="10" t="s">
        <v>376</v>
      </c>
      <c r="C52" s="31" t="n">
        <f aca="false">C34</f>
        <v>96113.6</v>
      </c>
      <c r="D52" s="31" t="n">
        <f aca="false">D34</f>
        <v>0</v>
      </c>
      <c r="E52" s="31" t="n">
        <f aca="false">E34</f>
        <v>0</v>
      </c>
      <c r="F52" s="31" t="n">
        <f aca="false">F34</f>
        <v>0</v>
      </c>
      <c r="G52" s="31" t="n">
        <f aca="false">G34</f>
        <v>0</v>
      </c>
      <c r="H52" s="31" t="n">
        <f aca="false">H34</f>
        <v>0</v>
      </c>
      <c r="I52" s="31" t="n">
        <f aca="false">I34</f>
        <v>0</v>
      </c>
      <c r="J52" s="31" t="n">
        <f aca="false">J34</f>
        <v>0</v>
      </c>
      <c r="K52" s="31" t="n">
        <f aca="false">K34</f>
        <v>0</v>
      </c>
      <c r="L52" s="31" t="n">
        <f aca="false">L34</f>
        <v>0</v>
      </c>
      <c r="M52" s="31" t="n">
        <f aca="false">M34</f>
        <v>0</v>
      </c>
    </row>
    <row r="53" customFormat="false" ht="15" hidden="false" customHeight="false" outlineLevel="0" collapsed="false">
      <c r="A53" s="8" t="s">
        <v>479</v>
      </c>
      <c r="B53" s="10" t="s">
        <v>376</v>
      </c>
      <c r="C53" s="31" t="n">
        <f aca="false">IF(C$4=10,$M$43,0)</f>
        <v>0</v>
      </c>
      <c r="D53" s="31" t="n">
        <f aca="false">IF(D$4=10,$M$43,0)</f>
        <v>0</v>
      </c>
      <c r="E53" s="31" t="n">
        <f aca="false">IF(E$4=10,$M$43,0)</f>
        <v>0</v>
      </c>
      <c r="F53" s="31" t="n">
        <f aca="false">IF(F$4=10,$M$43,0)</f>
        <v>0</v>
      </c>
      <c r="G53" s="31" t="n">
        <f aca="false">IF(G$4=10,$M$43,0)</f>
        <v>0</v>
      </c>
      <c r="H53" s="31" t="n">
        <f aca="false">IF(H$4=10,$M$43,0)</f>
        <v>0</v>
      </c>
      <c r="I53" s="31" t="n">
        <f aca="false">IF(I$4=10,$M$43,0)</f>
        <v>0</v>
      </c>
      <c r="J53" s="31" t="n">
        <f aca="false">IF(J$4=10,$M$43,0)</f>
        <v>0</v>
      </c>
      <c r="K53" s="31" t="n">
        <f aca="false">IF(K$4=10,$M$43,0)</f>
        <v>0</v>
      </c>
      <c r="L53" s="31" t="n">
        <f aca="false">IF(L$4=10,$M$43,0)</f>
        <v>0</v>
      </c>
      <c r="M53" s="31" t="n">
        <f aca="false">IF(M$4=10,$M$43,0)</f>
        <v>112724.576500389</v>
      </c>
    </row>
    <row r="54" customFormat="false" ht="15" hidden="false" customHeight="false" outlineLevel="0" collapsed="false">
      <c r="A54" s="8" t="s">
        <v>480</v>
      </c>
      <c r="B54" s="10" t="s">
        <v>376</v>
      </c>
      <c r="C54" s="31" t="n">
        <f aca="false">-IF(C$4=10,C38,0)</f>
        <v>-0</v>
      </c>
      <c r="D54" s="31" t="n">
        <f aca="false">-IF(D$4=10,D38,0)</f>
        <v>-0</v>
      </c>
      <c r="E54" s="31" t="n">
        <f aca="false">-IF(E$4=10,E38,0)</f>
        <v>-0</v>
      </c>
      <c r="F54" s="31" t="n">
        <f aca="false">-IF(F$4=10,F38,0)</f>
        <v>-0</v>
      </c>
      <c r="G54" s="31" t="n">
        <f aca="false">-IF(G$4=10,G38,0)</f>
        <v>-0</v>
      </c>
      <c r="H54" s="31" t="n">
        <f aca="false">-IF(H$4=10,H38,0)</f>
        <v>-0</v>
      </c>
      <c r="I54" s="31" t="n">
        <f aca="false">-IF(I$4=10,I38,0)</f>
        <v>-0</v>
      </c>
      <c r="J54" s="31" t="n">
        <f aca="false">-IF(J$4=10,J38,0)</f>
        <v>-0</v>
      </c>
      <c r="K54" s="31" t="n">
        <f aca="false">-IF(K$4=10,K38,0)</f>
        <v>-0</v>
      </c>
      <c r="L54" s="31" t="n">
        <f aca="false">-IF(L$4=10,L38,0)</f>
        <v>-0</v>
      </c>
      <c r="M54" s="31" t="n">
        <f aca="false">-IF(M$4=10,M38,0)</f>
        <v>-0</v>
      </c>
    </row>
    <row r="55" customFormat="false" ht="15" hidden="false" customHeight="false" outlineLevel="0" collapsed="false">
      <c r="A55" s="8" t="s">
        <v>481</v>
      </c>
      <c r="B55" s="10" t="s">
        <v>376</v>
      </c>
      <c r="C55" s="31" t="n">
        <f aca="false">-MAX(0,C12)*Assumptions!$F$17</f>
        <v>-0</v>
      </c>
      <c r="D55" s="31" t="n">
        <f aca="false">-MAX(0,D12)*Assumptions!$F$17</f>
        <v>-0</v>
      </c>
      <c r="E55" s="31" t="n">
        <f aca="false">-MAX(0,E12)*Assumptions!$F$17</f>
        <v>-0</v>
      </c>
      <c r="F55" s="31" t="n">
        <f aca="false">-MAX(0,F12)*Assumptions!$F$17</f>
        <v>-107.136196170001</v>
      </c>
      <c r="G55" s="31" t="n">
        <f aca="false">-MAX(0,G12)*Assumptions!$F$17</f>
        <v>-61.7077567191104</v>
      </c>
      <c r="H55" s="31" t="n">
        <f aca="false">-MAX(0,H12)*Assumptions!$F$17</f>
        <v>-7.46684847123697</v>
      </c>
      <c r="I55" s="31" t="n">
        <f aca="false">-MAX(0,I12)*Assumptions!$F$17</f>
        <v>-348.851112737952</v>
      </c>
      <c r="J55" s="31" t="n">
        <f aca="false">-MAX(0,J12)*Assumptions!$F$17</f>
        <v>-275.269400685173</v>
      </c>
      <c r="K55" s="31" t="n">
        <f aca="false">-MAX(0,K12)*Assumptions!$F$17</f>
        <v>-191.100432853428</v>
      </c>
      <c r="L55" s="31" t="n">
        <f aca="false">-MAX(0,L12)*Assumptions!$F$17</f>
        <v>-626.94139939262</v>
      </c>
      <c r="M55" s="31" t="n">
        <f aca="false">-MAX(0,M12)*Assumptions!$F$17</f>
        <v>-519.606498470139</v>
      </c>
    </row>
    <row r="57" customFormat="false" ht="15" hidden="false" customHeight="false" outlineLevel="0" collapsed="false">
      <c r="A57" s="3" t="s">
        <v>482</v>
      </c>
      <c r="B57" s="10" t="s">
        <v>376</v>
      </c>
      <c r="C57" s="43" t="n">
        <f aca="false">C46+C55+C50+C51</f>
        <v>-261460.3097</v>
      </c>
      <c r="D57" s="43" t="n">
        <f aca="false">D46+D55+D50+D51</f>
        <v>-3875.9388</v>
      </c>
      <c r="E57" s="43" t="n">
        <f aca="false">E46+E55+E50+E51</f>
        <v>-8597.146104</v>
      </c>
      <c r="F57" s="43" t="n">
        <f aca="false">F46+F55+F50+F51</f>
        <v>13641.61503851</v>
      </c>
      <c r="G57" s="43" t="n">
        <f aca="false">G46+G55+G50+G51</f>
        <v>13430.2339136573</v>
      </c>
      <c r="H57" s="43" t="n">
        <f aca="false">H46+H55+H50+H51</f>
        <v>13190.1625082187</v>
      </c>
      <c r="I57" s="43" t="n">
        <f aca="false">I46+I55+I50+I51</f>
        <v>12514.646159903</v>
      </c>
      <c r="J57" s="43" t="n">
        <f aca="false">J46+J55+J50+J51</f>
        <v>12211.8418083953</v>
      </c>
      <c r="K57" s="43" t="n">
        <f aca="false">K46+K55+K50+K51</f>
        <v>11874.8139130903</v>
      </c>
      <c r="L57" s="43" t="n">
        <f aca="false">L46+L55+L50+L51</f>
        <v>10970.2801911438</v>
      </c>
      <c r="M57" s="43" t="n">
        <f aca="false">M46+M55+M50+M51</f>
        <v>31734.9168681653</v>
      </c>
    </row>
    <row r="58" customFormat="false" ht="15" hidden="false" customHeight="false" outlineLevel="0" collapsed="false">
      <c r="A58" s="3" t="s">
        <v>483</v>
      </c>
      <c r="B58" s="10" t="s">
        <v>376</v>
      </c>
      <c r="C58" s="36" t="n">
        <f aca="false">C57+C53</f>
        <v>-261460.3097</v>
      </c>
      <c r="D58" s="36" t="n">
        <f aca="false">D57+D53</f>
        <v>-3875.9388</v>
      </c>
      <c r="E58" s="36" t="n">
        <f aca="false">E57+E53</f>
        <v>-8597.146104</v>
      </c>
      <c r="F58" s="36" t="n">
        <f aca="false">F57+F53</f>
        <v>13641.61503851</v>
      </c>
      <c r="G58" s="36" t="n">
        <f aca="false">G57+G53</f>
        <v>13430.2339136573</v>
      </c>
      <c r="H58" s="36" t="n">
        <f aca="false">H57+H53</f>
        <v>13190.1625082187</v>
      </c>
      <c r="I58" s="36" t="n">
        <f aca="false">I57+I53</f>
        <v>12514.646159903</v>
      </c>
      <c r="J58" s="36" t="n">
        <f aca="false">J57+J53</f>
        <v>12211.8418083953</v>
      </c>
      <c r="K58" s="36" t="n">
        <f aca="false">K57+K53</f>
        <v>11874.8139130903</v>
      </c>
      <c r="L58" s="36" t="n">
        <f aca="false">L57+L53</f>
        <v>10970.2801911438</v>
      </c>
      <c r="M58" s="36" t="n">
        <f aca="false">M57+M53</f>
        <v>144459.493368554</v>
      </c>
    </row>
    <row r="59" customFormat="false" ht="15" hidden="false" customHeight="false" outlineLevel="0" collapsed="false">
      <c r="A59" s="3" t="s">
        <v>484</v>
      </c>
      <c r="B59" s="10" t="s">
        <v>376</v>
      </c>
      <c r="C59" s="36" t="n">
        <f aca="false">C46+C47+C48+C49+C50+C51+C52+C53+C54</f>
        <v>-165346.7097</v>
      </c>
      <c r="D59" s="36" t="n">
        <f aca="false">D46+D47+D48+D49+D50+D51+D52+D53+D54</f>
        <v>-15409.5708</v>
      </c>
      <c r="E59" s="36" t="n">
        <f aca="false">E46+E47+E48+E49+E50+E51+E52+E53+E54</f>
        <v>-33861.2923897143</v>
      </c>
      <c r="F59" s="36" t="n">
        <f aca="false">F46+F47+F48+F49+F50+F51+F52+F53+F54</f>
        <v>-9867.73333674857</v>
      </c>
      <c r="G59" s="36" t="n">
        <f aca="false">G46+G47+G48+G49+G50+G51+G52+G53+G54</f>
        <v>-8476.88118676642</v>
      </c>
      <c r="H59" s="36" t="n">
        <f aca="false">H46+H47+H48+H49+H50+H51+H52+H53+H54</f>
        <v>-7123.5317861672</v>
      </c>
      <c r="I59" s="36" t="n">
        <f aca="false">I46+I47+I48+I49+I50+I51+I52+I53+I54</f>
        <v>-5810.00215593047</v>
      </c>
      <c r="J59" s="36" t="n">
        <f aca="false">J46+J47+J48+J49+J50+J51+J52+J53+J54</f>
        <v>-4538.7265052052</v>
      </c>
      <c r="K59" s="36" t="n">
        <f aca="false">K46+K47+K48+K49+K50+K51+K52+K53+K54</f>
        <v>-3312.26165405626</v>
      </c>
      <c r="L59" s="36" t="n">
        <f aca="false">L46+L47+L48+L49+L50+L51+L52+L53+L54</f>
        <v>11597.2215905364</v>
      </c>
      <c r="M59" s="36" t="n">
        <f aca="false">M46+M47+M48+M49+M50+M51+M52+M53+M54</f>
        <v>144979.099867024</v>
      </c>
    </row>
    <row r="60" customFormat="false" ht="15" hidden="false" customHeight="false" outlineLevel="0" collapsed="false">
      <c r="A60" s="8" t="s">
        <v>485</v>
      </c>
      <c r="B60" s="10" t="s">
        <v>376</v>
      </c>
      <c r="C60" s="31" t="n">
        <f aca="false">C57</f>
        <v>-261460.3097</v>
      </c>
      <c r="D60" s="31" t="n">
        <f aca="false">C60+D57</f>
        <v>-265336.2485</v>
      </c>
      <c r="E60" s="31" t="n">
        <f aca="false">D60+E57</f>
        <v>-273933.394604</v>
      </c>
      <c r="F60" s="31" t="n">
        <f aca="false">E60+F57</f>
        <v>-260291.77956549</v>
      </c>
      <c r="G60" s="31" t="n">
        <f aca="false">F60+G57</f>
        <v>-246861.545651833</v>
      </c>
      <c r="H60" s="31" t="n">
        <f aca="false">G60+H57</f>
        <v>-233671.383143614</v>
      </c>
      <c r="I60" s="31" t="n">
        <f aca="false">H60+I57</f>
        <v>-221156.736983711</v>
      </c>
      <c r="J60" s="31" t="n">
        <f aca="false">I60+J57</f>
        <v>-208944.895175316</v>
      </c>
      <c r="K60" s="31" t="n">
        <f aca="false">J60+K57</f>
        <v>-197070.081262225</v>
      </c>
      <c r="L60" s="31" t="n">
        <f aca="false">K60+L57</f>
        <v>-186099.801071081</v>
      </c>
      <c r="M60" s="31" t="n">
        <f aca="false">L60+M57</f>
        <v>-154364.884202916</v>
      </c>
    </row>
    <row r="61" customFormat="false" ht="15" hidden="false" customHeight="false" outlineLevel="0" collapsed="false">
      <c r="A61" s="8" t="s">
        <v>486</v>
      </c>
      <c r="B61" s="10" t="s">
        <v>376</v>
      </c>
      <c r="C61" s="31" t="n">
        <f aca="false">C58</f>
        <v>-261460.3097</v>
      </c>
      <c r="D61" s="31" t="n">
        <f aca="false">C61+D58</f>
        <v>-265336.2485</v>
      </c>
      <c r="E61" s="31" t="n">
        <f aca="false">D61+E58</f>
        <v>-273933.394604</v>
      </c>
      <c r="F61" s="31" t="n">
        <f aca="false">E61+F58</f>
        <v>-260291.77956549</v>
      </c>
      <c r="G61" s="31" t="n">
        <f aca="false">F61+G58</f>
        <v>-246861.545651833</v>
      </c>
      <c r="H61" s="31" t="n">
        <f aca="false">G61+H58</f>
        <v>-233671.383143614</v>
      </c>
      <c r="I61" s="31" t="n">
        <f aca="false">H61+I58</f>
        <v>-221156.736983711</v>
      </c>
      <c r="J61" s="31" t="n">
        <f aca="false">I61+J58</f>
        <v>-208944.895175316</v>
      </c>
      <c r="K61" s="31" t="n">
        <f aca="false">J61+K58</f>
        <v>-197070.081262225</v>
      </c>
      <c r="L61" s="31" t="n">
        <f aca="false">K61+L58</f>
        <v>-186099.801071081</v>
      </c>
      <c r="M61" s="31" t="n">
        <f aca="false">L61+M58</f>
        <v>-41640.3077025275</v>
      </c>
    </row>
    <row r="62" customFormat="false" ht="15" hidden="false" customHeight="false" outlineLevel="0" collapsed="false">
      <c r="A62" s="8" t="s">
        <v>487</v>
      </c>
      <c r="B62" s="10" t="s">
        <v>376</v>
      </c>
      <c r="C62" s="31" t="n">
        <f aca="false">C59</f>
        <v>-165346.7097</v>
      </c>
      <c r="D62" s="31" t="n">
        <f aca="false">C62+D59</f>
        <v>-180756.2805</v>
      </c>
      <c r="E62" s="31" t="n">
        <f aca="false">D62+E59</f>
        <v>-214617.572889714</v>
      </c>
      <c r="F62" s="31" t="n">
        <f aca="false">E62+F59</f>
        <v>-224485.306226463</v>
      </c>
      <c r="G62" s="31" t="n">
        <f aca="false">F62+G59</f>
        <v>-232962.187413229</v>
      </c>
      <c r="H62" s="31" t="n">
        <f aca="false">G62+H59</f>
        <v>-240085.719199397</v>
      </c>
      <c r="I62" s="31" t="n">
        <f aca="false">H62+I59</f>
        <v>-245895.721355327</v>
      </c>
      <c r="J62" s="31" t="n">
        <f aca="false">I62+J59</f>
        <v>-250434.447860532</v>
      </c>
      <c r="K62" s="31" t="n">
        <f aca="false">J62+K59</f>
        <v>-253746.709514588</v>
      </c>
      <c r="L62" s="31" t="n">
        <f aca="false">K62+L59</f>
        <v>-242149.487924052</v>
      </c>
      <c r="M62" s="31" t="n">
        <f aca="false">L62+M59</f>
        <v>-97170.3880570279</v>
      </c>
    </row>
    <row r="63" customFormat="false" ht="15" hidden="false" customHeight="false" outlineLevel="0" collapsed="false">
      <c r="A63" s="8" t="s">
        <v>488</v>
      </c>
      <c r="B63" s="10" t="s">
        <v>489</v>
      </c>
      <c r="D63" s="33" t="str">
        <f aca="false">IF(AND(D60&gt;=0,C60&lt;0),(D$4-1)+(-C60)/D57,"")</f>
        <v/>
      </c>
      <c r="E63" s="33" t="str">
        <f aca="false">IF(AND(E60&gt;=0,D60&lt;0),(E$4-1)+(-D60)/E57,"")</f>
        <v/>
      </c>
      <c r="F63" s="33" t="str">
        <f aca="false">IF(AND(F60&gt;=0,E60&lt;0),(F$4-1)+(-E60)/F57,"")</f>
        <v/>
      </c>
      <c r="G63" s="33" t="str">
        <f aca="false">IF(AND(G60&gt;=0,F60&lt;0),(G$4-1)+(-F60)/G57,"")</f>
        <v/>
      </c>
      <c r="H63" s="33" t="str">
        <f aca="false">IF(AND(H60&gt;=0,G60&lt;0),(H$4-1)+(-G60)/H57,"")</f>
        <v/>
      </c>
      <c r="I63" s="33" t="str">
        <f aca="false">IF(AND(I60&gt;=0,H60&lt;0),(I$4-1)+(-H60)/I57,"")</f>
        <v/>
      </c>
      <c r="J63" s="33" t="str">
        <f aca="false">IF(AND(J60&gt;=0,I60&lt;0),(J$4-1)+(-I60)/J57,"")</f>
        <v/>
      </c>
      <c r="K63" s="33" t="str">
        <f aca="false">IF(AND(K60&gt;=0,J60&lt;0),(K$4-1)+(-J60)/K57,"")</f>
        <v/>
      </c>
      <c r="L63" s="33" t="str">
        <f aca="false">IF(AND(L60&gt;=0,K60&lt;0),(L$4-1)+(-K60)/L57,"")</f>
        <v/>
      </c>
      <c r="M63" s="33" t="str">
        <f aca="false">IF(AND(M60&gt;=0,L60&lt;0),(M$4-1)+(-L60)/M57,"")</f>
        <v/>
      </c>
    </row>
    <row r="65" customFormat="false" ht="15" hidden="false" customHeight="false" outlineLevel="0" collapsed="false">
      <c r="A65" s="6" t="s">
        <v>490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customFormat="false" ht="15" hidden="false" customHeight="false" outlineLevel="0" collapsed="false">
      <c r="A66" s="8" t="s">
        <v>491</v>
      </c>
      <c r="B66" s="10" t="s">
        <v>376</v>
      </c>
      <c r="D66" s="31" t="n">
        <f aca="false">D46+D47+D48+D49+D50</f>
        <v>-15409.5708</v>
      </c>
      <c r="E66" s="31" t="n">
        <f aca="false">E46+E47+E48+E49+E50</f>
        <v>-33861.2923897143</v>
      </c>
      <c r="F66" s="31" t="n">
        <f aca="false">F46+F47+F48+F49+F50</f>
        <v>-9867.73333674857</v>
      </c>
      <c r="G66" s="31" t="n">
        <f aca="false">G46+G47+G48+G49+G50</f>
        <v>-8476.88118676642</v>
      </c>
      <c r="H66" s="31" t="n">
        <f aca="false">H46+H47+H48+H49+H50</f>
        <v>-7123.5317861672</v>
      </c>
      <c r="I66" s="31" t="n">
        <f aca="false">I46+I47+I48+I49+I50</f>
        <v>-5810.00215593047</v>
      </c>
      <c r="J66" s="31" t="n">
        <f aca="false">J46+J47+J48+J49+J50</f>
        <v>-4538.7265052052</v>
      </c>
      <c r="K66" s="31" t="n">
        <f aca="false">K46+K47+K48+K49+K50</f>
        <v>-3312.26165405626</v>
      </c>
      <c r="L66" s="31" t="n">
        <f aca="false">L46+L47+L48+L49+L50</f>
        <v>11597.2215905364</v>
      </c>
      <c r="M66" s="31" t="n">
        <f aca="false">M46+M47+M48+M49+M50</f>
        <v>11078.2136666355</v>
      </c>
    </row>
    <row r="67" customFormat="false" ht="15" hidden="false" customHeight="false" outlineLevel="0" collapsed="false">
      <c r="A67" s="8" t="s">
        <v>492</v>
      </c>
      <c r="B67" s="10" t="s">
        <v>92</v>
      </c>
      <c r="D67" s="44" t="n">
        <f aca="false">IF((D36+D37)=0,"",(D9-D20)/(D36+D37))</f>
        <v>-0.131479728155017</v>
      </c>
      <c r="E67" s="44" t="n">
        <f aca="false">IF((E36+E37)=0,"",(E9-E20)/(E36+E37))</f>
        <v>-0.244095368759287</v>
      </c>
      <c r="F67" s="44" t="n">
        <f aca="false">IF((F36+F37)=0,"",(F9-F20)/(F36+F37))</f>
        <v>0.688161048505151</v>
      </c>
      <c r="G67" s="44" t="n">
        <f aca="false">IF((G36+G37)=0,"",(G9-G20)/(G36+G37))</f>
        <v>0.731501689069855</v>
      </c>
      <c r="H67" s="44" t="n">
        <f aca="false">IF((H36+H37)=0,"",(H9-H20)/(H36+H37))</f>
        <v>0.780135902788082</v>
      </c>
      <c r="I67" s="44" t="n">
        <f aca="false">IF((I36+I37)=0,"",(I9-I20)/(I36+I37))</f>
        <v>0.835344468272766</v>
      </c>
      <c r="J67" s="44" t="n">
        <f aca="false">IF((J36+J37)=0,"",(J9-J20)/(J36+J37))</f>
        <v>0.898897185534625</v>
      </c>
      <c r="K67" s="44" t="n">
        <f aca="false">IF((K36+K37)=0,"",(K9-K20)/(K36+K37))</f>
        <v>0.973314503060293</v>
      </c>
      <c r="L67" s="44" t="str">
        <f aca="false">IF((L36+L37)=0,"",(L9-L20)/(L36+L37))</f>
        <v/>
      </c>
      <c r="M67" s="44" t="str">
        <f aca="false">IF((M36+M37)=0,"",(M9-M20)/(M36+M37))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16" min="4" style="0" width="11"/>
  </cols>
  <sheetData>
    <row r="1" customFormat="false" ht="17.35" hidden="false" customHeight="false" outlineLevel="0" collapsed="false">
      <c r="A1" s="1" t="s">
        <v>493</v>
      </c>
    </row>
    <row r="2" customFormat="false" ht="15" hidden="false" customHeight="false" outlineLevel="0" collapsed="false">
      <c r="A2" s="2" t="s">
        <v>494</v>
      </c>
    </row>
    <row r="4" customFormat="false" ht="15" hidden="false" customHeight="false" outlineLevel="0" collapsed="false">
      <c r="A4" s="6" t="s">
        <v>495</v>
      </c>
      <c r="B4" s="7"/>
      <c r="C4" s="7"/>
    </row>
    <row r="5" customFormat="false" ht="15" hidden="false" customHeight="false" outlineLevel="0" collapsed="false">
      <c r="A5" s="8" t="s">
        <v>496</v>
      </c>
      <c r="B5" s="8" t="str">
        <f aca="false">CHOOSE(Assumptions!$F$6,"Base","Downside","Upside")</f>
        <v>Base</v>
      </c>
      <c r="C5" s="10"/>
    </row>
    <row r="7" customFormat="false" ht="15" hidden="false" customHeight="false" outlineLevel="0" collapsed="false">
      <c r="A7" s="6" t="s">
        <v>497</v>
      </c>
      <c r="B7" s="7"/>
      <c r="C7" s="7"/>
    </row>
    <row r="8" customFormat="false" ht="15" hidden="false" customHeight="false" outlineLevel="0" collapsed="false">
      <c r="A8" s="8" t="s">
        <v>498</v>
      </c>
      <c r="B8" s="28" t="n">
        <f aca="false">Capex!$H$47</f>
        <v>240284</v>
      </c>
      <c r="C8" s="10"/>
    </row>
    <row r="9" customFormat="false" ht="15" hidden="false" customHeight="false" outlineLevel="0" collapsed="false">
      <c r="A9" s="8" t="s">
        <v>81</v>
      </c>
      <c r="B9" s="31" t="n">
        <f aca="false">-Financials!C51</f>
        <v>21176.3097</v>
      </c>
      <c r="C9" s="10"/>
    </row>
    <row r="10" customFormat="false" ht="15" hidden="false" customHeight="false" outlineLevel="0" collapsed="false">
      <c r="A10" s="3" t="s">
        <v>499</v>
      </c>
      <c r="B10" s="36" t="n">
        <f aca="false">B8+B9</f>
        <v>261460.3097</v>
      </c>
      <c r="C10" s="10"/>
    </row>
    <row r="11" customFormat="false" ht="15" hidden="false" customHeight="false" outlineLevel="0" collapsed="false">
      <c r="A11" s="8" t="s">
        <v>500</v>
      </c>
      <c r="B11" s="31" t="n">
        <f aca="false">IF((Assumptions!$F$31*Assumptions!$F$8+Assumptions!$F$33*Assumptions!$F$9)=0,0,B10/(Assumptions!$F$31*Assumptions!$F$8+Assumptions!$F$33*Assumptions!$F$9))</f>
        <v>3735.14728142857</v>
      </c>
      <c r="C11" s="10"/>
    </row>
    <row r="12" customFormat="false" ht="15" hidden="false" customHeight="false" outlineLevel="0" collapsed="false">
      <c r="A12" s="8" t="s">
        <v>501</v>
      </c>
      <c r="B12" s="28" t="n">
        <f aca="false">Financials!C34</f>
        <v>96113.6</v>
      </c>
      <c r="C12" s="10"/>
    </row>
    <row r="13" customFormat="false" ht="15" hidden="false" customHeight="false" outlineLevel="0" collapsed="false">
      <c r="A13" s="8" t="s">
        <v>502</v>
      </c>
      <c r="B13" s="31" t="n">
        <f aca="false">B10-B12</f>
        <v>165346.7097</v>
      </c>
      <c r="C13" s="10"/>
    </row>
    <row r="15" customFormat="false" ht="15" hidden="false" customHeight="false" outlineLevel="0" collapsed="false">
      <c r="A15" s="6" t="s">
        <v>503</v>
      </c>
      <c r="B15" s="7"/>
      <c r="C15" s="7"/>
    </row>
    <row r="16" customFormat="false" ht="15" hidden="false" customHeight="false" outlineLevel="0" collapsed="false">
      <c r="A16" s="8" t="s">
        <v>504</v>
      </c>
      <c r="B16" s="28" t="n">
        <f aca="false">Financials!H7</f>
        <v>101073.842562668</v>
      </c>
      <c r="C16" s="10"/>
    </row>
    <row r="17" customFormat="false" ht="15" hidden="false" customHeight="false" outlineLevel="0" collapsed="false">
      <c r="A17" s="8" t="s">
        <v>505</v>
      </c>
      <c r="B17" s="28" t="n">
        <f aca="false">Financials!H9</f>
        <v>15853.2673938849</v>
      </c>
      <c r="C17" s="10"/>
    </row>
    <row r="18" customFormat="false" ht="15" hidden="false" customHeight="false" outlineLevel="0" collapsed="false">
      <c r="A18" s="8" t="s">
        <v>506</v>
      </c>
      <c r="B18" s="45" t="n">
        <f aca="false">Financials!H10</f>
        <v>0.156848369389494</v>
      </c>
      <c r="C18" s="10"/>
    </row>
    <row r="19" customFormat="false" ht="15" hidden="false" customHeight="false" outlineLevel="0" collapsed="false">
      <c r="A19" s="8" t="s">
        <v>507</v>
      </c>
      <c r="B19" s="28" t="n">
        <f aca="false">Financials!H21</f>
        <v>-6560.77946325791</v>
      </c>
      <c r="C19" s="10"/>
    </row>
    <row r="20" customFormat="false" ht="15" hidden="false" customHeight="false" outlineLevel="0" collapsed="false">
      <c r="A20" s="8" t="s">
        <v>508</v>
      </c>
      <c r="B20" s="45" t="n">
        <f aca="false">Revenue!H41</f>
        <v>0.230870306939205</v>
      </c>
      <c r="C20" s="10"/>
    </row>
    <row r="22" customFormat="false" ht="15" hidden="false" customHeight="false" outlineLevel="0" collapsed="false">
      <c r="A22" s="6" t="s">
        <v>509</v>
      </c>
      <c r="B22" s="7"/>
      <c r="C22" s="7"/>
    </row>
    <row r="23" customFormat="false" ht="15" hidden="false" customHeight="false" outlineLevel="0" collapsed="false">
      <c r="A23" s="3" t="s">
        <v>510</v>
      </c>
      <c r="B23" s="46" t="n">
        <f aca="false">IFERROR(IRR(Financials!C58:M58),IFERROR(IRR(Financials!C58:M58,-0.2),"n/a"))</f>
        <v>-0.0194142215385678</v>
      </c>
      <c r="C23" s="10" t="s">
        <v>511</v>
      </c>
    </row>
    <row r="24" customFormat="false" ht="15" hidden="false" customHeight="false" outlineLevel="0" collapsed="false">
      <c r="A24" s="8" t="s">
        <v>512</v>
      </c>
      <c r="B24" s="22" t="n">
        <f aca="false">IFERROR(IRR(Financials!C57:M57),IFERROR(IRR(Financials!C57:M57,-0.2),"n/a"))</f>
        <v>-0.108413207802586</v>
      </c>
      <c r="C24" s="10" t="s">
        <v>513</v>
      </c>
    </row>
    <row r="25" customFormat="false" ht="15" hidden="false" customHeight="false" outlineLevel="0" collapsed="false">
      <c r="A25" s="8" t="s">
        <v>514</v>
      </c>
      <c r="B25" s="22" t="n">
        <f aca="false">IFERROR(IRR(Financials!C59:M59),IFERROR(IRR(Financials!C59:M59,-0.2),"n/a"))</f>
        <v>-0.0537536896444727</v>
      </c>
      <c r="C25" s="10"/>
    </row>
    <row r="26" customFormat="false" ht="15" hidden="false" customHeight="false" outlineLevel="0" collapsed="false">
      <c r="A26" s="8" t="s">
        <v>515</v>
      </c>
      <c r="B26" s="45" t="n">
        <f aca="false">Assumptions!$F$18</f>
        <v>0.12</v>
      </c>
      <c r="C26" s="10"/>
    </row>
    <row r="27" customFormat="false" ht="15" hidden="false" customHeight="false" outlineLevel="0" collapsed="false">
      <c r="A27" s="3" t="s">
        <v>516</v>
      </c>
      <c r="B27" s="36" t="n">
        <f aca="false">Financials!C58+NPV(Assumptions!$F$18,Financials!D58:M58)</f>
        <v>-178916.672461144</v>
      </c>
      <c r="C27" s="10" t="s">
        <v>517</v>
      </c>
    </row>
    <row r="28" customFormat="false" ht="15" hidden="false" customHeight="false" outlineLevel="0" collapsed="false">
      <c r="A28" s="8" t="s">
        <v>518</v>
      </c>
      <c r="B28" s="33" t="str">
        <f aca="false">IF(COUNT(Financials!D63:M63)=0,"&gt; 10 yrs",MIN(Financials!D63:M63))</f>
        <v>&gt; 10 yrs</v>
      </c>
      <c r="C28" s="10"/>
    </row>
    <row r="29" customFormat="false" ht="15" hidden="false" customHeight="false" outlineLevel="0" collapsed="false">
      <c r="A29" s="8" t="s">
        <v>519</v>
      </c>
      <c r="B29" s="44" t="n">
        <f aca="false">IF(COUNT(Financials!D67:M67)=0,"n/a",MIN(Financials!D67:M67))</f>
        <v>-0.244095368759287</v>
      </c>
      <c r="C29" s="10" t="s">
        <v>520</v>
      </c>
    </row>
    <row r="30" customFormat="false" ht="15" hidden="false" customHeight="false" outlineLevel="0" collapsed="false">
      <c r="A30" s="8" t="s">
        <v>521</v>
      </c>
      <c r="B30" s="31" t="n">
        <f aca="false">MIN(Financials!C62:M62)</f>
        <v>-253746.709514588</v>
      </c>
      <c r="C30" s="10" t="s">
        <v>522</v>
      </c>
    </row>
    <row r="32" customFormat="false" ht="15" hidden="false" customHeight="false" outlineLevel="0" collapsed="false">
      <c r="A32" s="6" t="s">
        <v>523</v>
      </c>
      <c r="B32" s="7"/>
      <c r="C32" s="7"/>
    </row>
    <row r="33" customFormat="false" ht="15" hidden="false" customHeight="false" outlineLevel="0" collapsed="false">
      <c r="A33" s="8" t="s">
        <v>524</v>
      </c>
      <c r="B33" s="47" t="n">
        <f aca="false">IF(Herd!H31*Revenue!H6=0,"n/a",Assumptions!$F$22-Financials!H9/(Herd!H31*Revenue!H6))</f>
        <v>0.446564022368073</v>
      </c>
      <c r="C33" s="10" t="s">
        <v>525</v>
      </c>
    </row>
    <row r="34" customFormat="false" ht="15" hidden="false" customHeight="false" outlineLevel="0" collapsed="false">
      <c r="A34" s="8" t="s">
        <v>526</v>
      </c>
      <c r="B34" s="47" t="n">
        <f aca="false">IF(Herd!H31*Revenue!H6=0,"n/a",Assumptions!$F$22-(Financials!H9-Financials!H11-Financials!H13)/(Herd!H31*Revenue!H6))</f>
        <v>0.663498557487319</v>
      </c>
      <c r="C34" s="10"/>
    </row>
    <row r="36" customFormat="false" ht="15" hidden="false" customHeight="false" outlineLevel="0" collapsed="false">
      <c r="A36" s="6" t="s">
        <v>527</v>
      </c>
      <c r="B36" s="7"/>
      <c r="C36" s="7"/>
    </row>
    <row r="37" customFormat="false" ht="15" hidden="false" customHeight="false" outlineLevel="0" collapsed="false">
      <c r="A37" s="8" t="s">
        <v>528</v>
      </c>
      <c r="B37" s="8" t="str">
        <f aca="false">IF(COUNTIF(Herd!D60:M60,"WARNING")&gt;0,"WARNING: herd exceeds land in some year","OK")</f>
        <v>OK</v>
      </c>
      <c r="C37" s="10"/>
    </row>
    <row r="38" customFormat="false" ht="15" hidden="false" customHeight="false" outlineLevel="0" collapsed="false">
      <c r="A38" s="8" t="s">
        <v>529</v>
      </c>
      <c r="B38" s="8" t="str">
        <f aca="false">Monthly_Y1!B22</f>
        <v>OK - reserve covers Year 1</v>
      </c>
      <c r="C38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2" style="0" width="22"/>
  </cols>
  <sheetData>
    <row r="1" customFormat="false" ht="17.35" hidden="false" customHeight="false" outlineLevel="0" collapsed="false">
      <c r="A1" s="1" t="s">
        <v>530</v>
      </c>
    </row>
    <row r="2" customFormat="false" ht="15" hidden="false" customHeight="false" outlineLevel="0" collapsed="false">
      <c r="A2" s="2" t="s">
        <v>531</v>
      </c>
    </row>
    <row r="4" customFormat="false" ht="15" hidden="false" customHeight="false" outlineLevel="0" collapsed="false">
      <c r="A4" s="6" t="s">
        <v>532</v>
      </c>
      <c r="B4" s="7"/>
      <c r="C4" s="7"/>
      <c r="D4" s="7"/>
      <c r="E4" s="7"/>
    </row>
    <row r="5" customFormat="false" ht="30" hidden="false" customHeight="true" outlineLevel="0" collapsed="false">
      <c r="A5" s="5" t="s">
        <v>533</v>
      </c>
      <c r="B5" s="48" t="s">
        <v>534</v>
      </c>
      <c r="C5" s="48" t="s">
        <v>535</v>
      </c>
      <c r="D5" s="48" t="s">
        <v>536</v>
      </c>
      <c r="E5" s="48" t="s">
        <v>537</v>
      </c>
    </row>
    <row r="6" customFormat="false" ht="15" hidden="false" customHeight="false" outlineLevel="0" collapsed="false">
      <c r="A6" s="8" t="s">
        <v>538</v>
      </c>
      <c r="B6" s="15" t="n">
        <v>0</v>
      </c>
      <c r="C6" s="15" t="n">
        <v>0</v>
      </c>
      <c r="D6" s="15" t="n">
        <v>1</v>
      </c>
      <c r="E6" s="15" t="n">
        <v>0.7</v>
      </c>
    </row>
    <row r="7" customFormat="false" ht="15" hidden="false" customHeight="false" outlineLevel="0" collapsed="false">
      <c r="A7" s="8" t="s">
        <v>539</v>
      </c>
      <c r="B7" s="15" t="n">
        <v>0</v>
      </c>
      <c r="C7" s="15" t="n">
        <v>1</v>
      </c>
      <c r="D7" s="15" t="n">
        <v>0</v>
      </c>
      <c r="E7" s="15" t="n">
        <v>0.3</v>
      </c>
    </row>
    <row r="8" customFormat="false" ht="15" hidden="false" customHeight="false" outlineLevel="0" collapsed="false">
      <c r="A8" s="8" t="s">
        <v>540</v>
      </c>
      <c r="B8" s="30" t="n">
        <f aca="false">Assumptions!$F$26*(1-Assumptions!$F$29)</f>
        <v>0.736</v>
      </c>
      <c r="C8" s="30" t="n">
        <f aca="false">Assumptions!$F$26*(1-Assumptions!$F$29)</f>
        <v>0.736</v>
      </c>
      <c r="D8" s="30" t="n">
        <f aca="false">Assumptions!$F$26*(1-Assumptions!$F$29)</f>
        <v>0.736</v>
      </c>
      <c r="E8" s="30" t="n">
        <f aca="false">Assumptions!$F$26*(1-Assumptions!$F$29)</f>
        <v>0.736</v>
      </c>
    </row>
    <row r="9" customFormat="false" ht="15" hidden="false" customHeight="false" outlineLevel="0" collapsed="false">
      <c r="A9" s="8" t="s">
        <v>541</v>
      </c>
      <c r="B9" s="30" t="n">
        <f aca="false">B8*(B7*Assumptions!$F$39+(1-B6-B7)*Assumptions!$F$37)</f>
        <v>0.368</v>
      </c>
      <c r="C9" s="30" t="n">
        <f aca="false">C8*(C7*Assumptions!$F$39+(1-C6-C7)*Assumptions!$F$37)</f>
        <v>0.6624</v>
      </c>
      <c r="D9" s="30" t="n">
        <f aca="false">D8*(D7*Assumptions!$F$39+(1-D6-D7)*Assumptions!$F$37)</f>
        <v>0</v>
      </c>
      <c r="E9" s="30" t="n">
        <f aca="false">E8*(E7*Assumptions!$F$39+(1-E6-E7)*Assumptions!$F$37)</f>
        <v>0.19872</v>
      </c>
    </row>
    <row r="10" customFormat="false" ht="15" hidden="false" customHeight="false" outlineLevel="0" collapsed="false">
      <c r="A10" s="8" t="s">
        <v>542</v>
      </c>
      <c r="B10" s="30" t="n">
        <f aca="false">B8*(B7*(1-Assumptions!$F$39)+(1-B6-B7)*(1-Assumptions!$F$37))</f>
        <v>0.368</v>
      </c>
      <c r="C10" s="30" t="n">
        <f aca="false">C8*(C7*(1-Assumptions!$F$39)+(1-C6-C7)*(1-Assumptions!$F$37))</f>
        <v>0.0736</v>
      </c>
      <c r="D10" s="30" t="n">
        <f aca="false">D8*(D7*(1-Assumptions!$F$39)+(1-D6-D7)*(1-Assumptions!$F$37))</f>
        <v>0</v>
      </c>
      <c r="E10" s="30" t="n">
        <f aca="false">E8*(E7*(1-Assumptions!$F$39)+(1-E6-E7)*(1-Assumptions!$F$37))</f>
        <v>0.02208</v>
      </c>
    </row>
    <row r="11" customFormat="false" ht="15" hidden="false" customHeight="false" outlineLevel="0" collapsed="false">
      <c r="A11" s="8" t="s">
        <v>543</v>
      </c>
      <c r="B11" s="30" t="n">
        <f aca="false">B8*B6</f>
        <v>0</v>
      </c>
      <c r="C11" s="30" t="n">
        <f aca="false">C8*C6</f>
        <v>0</v>
      </c>
      <c r="D11" s="30" t="n">
        <f aca="false">D8*D6</f>
        <v>0.736</v>
      </c>
      <c r="E11" s="30" t="n">
        <f aca="false">E8*E6</f>
        <v>0.5152</v>
      </c>
    </row>
    <row r="12" customFormat="false" ht="15" hidden="false" customHeight="false" outlineLevel="0" collapsed="false">
      <c r="A12" s="8" t="s">
        <v>544</v>
      </c>
      <c r="B12" s="30" t="n">
        <f aca="false">Assumptions!$F$35+Assumptions!$F$28</f>
        <v>0.23</v>
      </c>
      <c r="C12" s="30" t="n">
        <f aca="false">Assumptions!$F$35+Assumptions!$F$28</f>
        <v>0.23</v>
      </c>
      <c r="D12" s="30" t="n">
        <f aca="false">Assumptions!$F$35+Assumptions!$F$28</f>
        <v>0.23</v>
      </c>
      <c r="E12" s="30" t="n">
        <f aca="false">Assumptions!$F$35+Assumptions!$F$28</f>
        <v>0.23</v>
      </c>
    </row>
    <row r="13" customFormat="false" ht="15" hidden="false" customHeight="false" outlineLevel="0" collapsed="false">
      <c r="A13" s="8" t="s">
        <v>545</v>
      </c>
      <c r="B13" s="30" t="n">
        <f aca="false">B9-B12</f>
        <v>0.138</v>
      </c>
      <c r="C13" s="30" t="n">
        <f aca="false">C9-C12</f>
        <v>0.4324</v>
      </c>
      <c r="D13" s="30" t="n">
        <f aca="false">D9-D12</f>
        <v>-0.23</v>
      </c>
      <c r="E13" s="30" t="n">
        <f aca="false">E9-E12</f>
        <v>-0.03128</v>
      </c>
    </row>
    <row r="15" customFormat="false" ht="15" hidden="false" customHeight="false" outlineLevel="0" collapsed="false">
      <c r="A15" s="8" t="s">
        <v>546</v>
      </c>
      <c r="B15" s="47" t="n">
        <f aca="false">B10*Assumptions!$F$55*Assumptions!$F$25</f>
        <v>14.72</v>
      </c>
      <c r="C15" s="47" t="n">
        <f aca="false">C10*Assumptions!$F$55*Assumptions!$F$25</f>
        <v>2.944</v>
      </c>
      <c r="D15" s="47" t="n">
        <f aca="false">D10*Assumptions!$F$55*Assumptions!$F$25</f>
        <v>0</v>
      </c>
      <c r="E15" s="47" t="n">
        <f aca="false">E10*Assumptions!$F$55*Assumptions!$F$25</f>
        <v>0.8832</v>
      </c>
    </row>
    <row r="16" customFormat="false" ht="15" hidden="false" customHeight="false" outlineLevel="0" collapsed="false">
      <c r="A16" s="8" t="s">
        <v>547</v>
      </c>
      <c r="B16" s="47" t="n">
        <f aca="false">B11*Assumptions!$F$56*Assumptions!$F$25</f>
        <v>0</v>
      </c>
      <c r="C16" s="47" t="n">
        <f aca="false">C11*Assumptions!$F$56*Assumptions!$F$25</f>
        <v>0</v>
      </c>
      <c r="D16" s="47" t="n">
        <f aca="false">D11*Assumptions!$F$56*Assumptions!$F$25</f>
        <v>117.76</v>
      </c>
      <c r="E16" s="47" t="n">
        <f aca="false">E11*Assumptions!$F$56*Assumptions!$F$25</f>
        <v>82.432</v>
      </c>
    </row>
    <row r="17" customFormat="false" ht="15" hidden="false" customHeight="false" outlineLevel="0" collapsed="false">
      <c r="A17" s="8" t="s">
        <v>548</v>
      </c>
      <c r="B17" s="47" t="n">
        <f aca="false">B13*Assumptions!$F$57*Assumptions!$F$25</f>
        <v>96.6</v>
      </c>
      <c r="C17" s="47" t="n">
        <f aca="false">C13*Assumptions!$F$57*Assumptions!$F$25</f>
        <v>302.68</v>
      </c>
      <c r="D17" s="47" t="n">
        <f aca="false">D13*Assumptions!$F$57*Assumptions!$F$25</f>
        <v>-161</v>
      </c>
      <c r="E17" s="47" t="n">
        <f aca="false">E13*Assumptions!$F$57*Assumptions!$F$25</f>
        <v>-21.896</v>
      </c>
    </row>
    <row r="18" customFormat="false" ht="15" hidden="false" customHeight="false" outlineLevel="0" collapsed="false">
      <c r="A18" s="8" t="s">
        <v>549</v>
      </c>
      <c r="B18" s="47" t="n">
        <f aca="false">-B9*2*(Assumptions!$F$77*Assumptions!$F$24+Assumptions!$F$82)</f>
        <v>-126.592</v>
      </c>
      <c r="C18" s="47" t="n">
        <f aca="false">-C9*2*(Assumptions!$F$77*Assumptions!$F$24+Assumptions!$F$82)</f>
        <v>-227.8656</v>
      </c>
      <c r="D18" s="47" t="n">
        <f aca="false">-D9*2*(Assumptions!$F$77*Assumptions!$F$24+Assumptions!$F$82)</f>
        <v>-0</v>
      </c>
      <c r="E18" s="47" t="n">
        <f aca="false">-E9*2*(Assumptions!$F$77*Assumptions!$F$24+Assumptions!$F$82)</f>
        <v>-68.35968</v>
      </c>
    </row>
    <row r="19" customFormat="false" ht="15" hidden="false" customHeight="false" outlineLevel="0" collapsed="false">
      <c r="A19" s="8" t="s">
        <v>550</v>
      </c>
      <c r="B19" s="47" t="n">
        <f aca="false">-B11*Assumptions!$F$72</f>
        <v>-0</v>
      </c>
      <c r="C19" s="47" t="n">
        <f aca="false">-C11*Assumptions!$F$72</f>
        <v>-0</v>
      </c>
      <c r="D19" s="47" t="n">
        <f aca="false">-D11*Assumptions!$F$72</f>
        <v>-29.44</v>
      </c>
      <c r="E19" s="47" t="n">
        <f aca="false">-E11*Assumptions!$F$72</f>
        <v>-20.608</v>
      </c>
    </row>
    <row r="20" customFormat="false" ht="15" hidden="false" customHeight="false" outlineLevel="0" collapsed="false">
      <c r="A20" s="8" t="s">
        <v>551</v>
      </c>
      <c r="B20" s="47" t="n">
        <f aca="false">-B7*Assumptions!$F$84</f>
        <v>-0</v>
      </c>
      <c r="C20" s="47" t="n">
        <f aca="false">-C7*Assumptions!$F$84</f>
        <v>-25</v>
      </c>
      <c r="D20" s="47" t="n">
        <f aca="false">-D7*Assumptions!$F$84</f>
        <v>-0</v>
      </c>
      <c r="E20" s="47" t="n">
        <f aca="false">-E7*Assumptions!$F$84</f>
        <v>-7.5</v>
      </c>
    </row>
    <row r="21" customFormat="false" ht="15" hidden="false" customHeight="false" outlineLevel="0" collapsed="false">
      <c r="A21" s="3" t="s">
        <v>552</v>
      </c>
      <c r="B21" s="49" t="n">
        <f aca="false">SUM(B15:B20)</f>
        <v>-15.272</v>
      </c>
      <c r="C21" s="49" t="n">
        <f aca="false">SUM(C15:C20)</f>
        <v>52.7584</v>
      </c>
      <c r="D21" s="49" t="n">
        <f aca="false">SUM(D15:D20)</f>
        <v>-72.68</v>
      </c>
      <c r="E21" s="49" t="n">
        <f aca="false">SUM(E15:E20)</f>
        <v>-35.04848</v>
      </c>
    </row>
    <row r="23" customFormat="false" ht="15" hidden="false" customHeight="false" outlineLevel="0" collapsed="false">
      <c r="A23" s="6" t="s">
        <v>553</v>
      </c>
      <c r="B23" s="7"/>
      <c r="C23" s="7"/>
      <c r="D23" s="7"/>
      <c r="E23" s="7"/>
    </row>
    <row r="24" customFormat="false" ht="15" hidden="false" customHeight="false" outlineLevel="0" collapsed="false">
      <c r="A24" s="8" t="s">
        <v>554</v>
      </c>
      <c r="B24" s="50" t="n">
        <f aca="false">Assumptions!$F$50*Assumptions!$F$23*Assumptions!$F$49</f>
        <v>2550</v>
      </c>
      <c r="C24" s="50" t="n">
        <f aca="false">Assumptions!$F$50*Assumptions!$F$23*Assumptions!$F$49</f>
        <v>2550</v>
      </c>
      <c r="D24" s="50" t="n">
        <f aca="false">Assumptions!$F$50*Assumptions!$F$23*Assumptions!$F$49</f>
        <v>2550</v>
      </c>
      <c r="E24" s="50" t="n">
        <f aca="false">Assumptions!$F$50*Assumptions!$F$23*Assumptions!$F$49</f>
        <v>2550</v>
      </c>
    </row>
    <row r="25" customFormat="false" ht="15" hidden="false" customHeight="false" outlineLevel="0" collapsed="false">
      <c r="A25" s="8" t="s">
        <v>555</v>
      </c>
      <c r="B25" s="47" t="n">
        <f aca="false">B24*(Assumptions!$F$22*(1-Assumptions!$F$51)+Assumptions!$F$22*Assumptions!$F$52*Assumptions!$F$51-Assumptions!$F$53*Assumptions!$F$51)</f>
        <v>1632</v>
      </c>
      <c r="C25" s="47" t="n">
        <f aca="false">C24*(Assumptions!$F$22*(1-Assumptions!$F$51)+Assumptions!$F$22*Assumptions!$F$52*Assumptions!$F$51-Assumptions!$F$53*Assumptions!$F$51)</f>
        <v>1632</v>
      </c>
      <c r="D25" s="47" t="n">
        <f aca="false">D24*(Assumptions!$F$22*(1-Assumptions!$F$51)+Assumptions!$F$22*Assumptions!$F$52*Assumptions!$F$51-Assumptions!$F$53*Assumptions!$F$51)</f>
        <v>1632</v>
      </c>
      <c r="E25" s="47" t="n">
        <f aca="false">E24*(Assumptions!$F$22*(1-Assumptions!$F$51)+Assumptions!$F$22*Assumptions!$F$52*Assumptions!$F$51-Assumptions!$F$53*Assumptions!$F$51)</f>
        <v>1632</v>
      </c>
    </row>
    <row r="26" customFormat="false" ht="15" hidden="false" customHeight="false" outlineLevel="0" collapsed="false">
      <c r="A26" s="8" t="s">
        <v>556</v>
      </c>
      <c r="B26" s="47" t="n">
        <f aca="false">Assumptions!$F$35*Assumptions!$F$63*Assumptions!$F$65*Assumptions!$F$25</f>
        <v>134.4</v>
      </c>
      <c r="C26" s="47" t="n">
        <f aca="false">Assumptions!$F$35*Assumptions!$F$63*Assumptions!$F$65*Assumptions!$F$25</f>
        <v>134.4</v>
      </c>
      <c r="D26" s="47" t="n">
        <f aca="false">Assumptions!$F$35*Assumptions!$F$63*Assumptions!$F$65*Assumptions!$F$25</f>
        <v>134.4</v>
      </c>
      <c r="E26" s="47" t="n">
        <f aca="false">Assumptions!$F$35*Assumptions!$F$63*Assumptions!$F$65*Assumptions!$F$25</f>
        <v>134.4</v>
      </c>
    </row>
    <row r="27" customFormat="false" ht="15" hidden="false" customHeight="false" outlineLevel="0" collapsed="false">
      <c r="A27" s="8" t="s">
        <v>557</v>
      </c>
      <c r="B27" s="47" t="n">
        <f aca="false">B21</f>
        <v>-15.272</v>
      </c>
      <c r="C27" s="47" t="n">
        <f aca="false">C21</f>
        <v>52.7584</v>
      </c>
      <c r="D27" s="47" t="n">
        <f aca="false">D21</f>
        <v>-72.68</v>
      </c>
      <c r="E27" s="47" t="n">
        <f aca="false">E21</f>
        <v>-35.04848</v>
      </c>
    </row>
    <row r="28" customFormat="false" ht="15" hidden="false" customHeight="false" outlineLevel="0" collapsed="false">
      <c r="A28" s="8" t="s">
        <v>558</v>
      </c>
      <c r="B28" s="47" t="n">
        <f aca="false">-Assumptions!$F$76*Assumptions!$F$24</f>
        <v>-480</v>
      </c>
      <c r="C28" s="47" t="n">
        <f aca="false">-Assumptions!$F$76*Assumptions!$F$24</f>
        <v>-480</v>
      </c>
      <c r="D28" s="47" t="n">
        <f aca="false">-Assumptions!$F$76*Assumptions!$F$24</f>
        <v>-480</v>
      </c>
      <c r="E28" s="47" t="n">
        <f aca="false">-Assumptions!$F$76*Assumptions!$F$24</f>
        <v>-480</v>
      </c>
    </row>
    <row r="29" customFormat="false" ht="15" hidden="false" customHeight="false" outlineLevel="0" collapsed="false">
      <c r="A29" s="8" t="s">
        <v>559</v>
      </c>
      <c r="B29" s="47" t="n">
        <f aca="false">-(Assumptions!$F$82+Assumptions!$F$83+Assumptions!$F$89)</f>
        <v>-75</v>
      </c>
      <c r="C29" s="47" t="n">
        <f aca="false">-(Assumptions!$F$82+Assumptions!$F$83+Assumptions!$F$89)</f>
        <v>-75</v>
      </c>
      <c r="D29" s="47" t="n">
        <f aca="false">-(Assumptions!$F$82+Assumptions!$F$83+Assumptions!$F$89)</f>
        <v>-75</v>
      </c>
      <c r="E29" s="47" t="n">
        <f aca="false">-(Assumptions!$F$82+Assumptions!$F$83+Assumptions!$F$89)</f>
        <v>-75</v>
      </c>
    </row>
    <row r="30" customFormat="false" ht="15" hidden="false" customHeight="false" outlineLevel="0" collapsed="false">
      <c r="A30" s="8" t="s">
        <v>560</v>
      </c>
      <c r="B30" s="47" t="n">
        <f aca="false">-Assumptions!$F$86/Assumptions!$F$87</f>
        <v>-96</v>
      </c>
      <c r="C30" s="47" t="n">
        <f aca="false">-Assumptions!$F$86/Assumptions!$F$87</f>
        <v>-96</v>
      </c>
      <c r="D30" s="47" t="n">
        <f aca="false">-Assumptions!$F$86/Assumptions!$F$87</f>
        <v>-96</v>
      </c>
      <c r="E30" s="47" t="n">
        <f aca="false">-Assumptions!$F$86/Assumptions!$F$87</f>
        <v>-96</v>
      </c>
    </row>
    <row r="31" customFormat="false" ht="15" hidden="false" customHeight="false" outlineLevel="0" collapsed="false">
      <c r="A31" s="3" t="s">
        <v>561</v>
      </c>
      <c r="B31" s="49" t="n">
        <f aca="false">SUM(B25:B30)</f>
        <v>1100.128</v>
      </c>
      <c r="C31" s="49" t="n">
        <f aca="false">SUM(C25:C30)</f>
        <v>1168.1584</v>
      </c>
      <c r="D31" s="49" t="n">
        <f aca="false">SUM(D25:D30)</f>
        <v>1042.72</v>
      </c>
      <c r="E31" s="49" t="n">
        <f aca="false">SUM(E25:E30)</f>
        <v>1080.35152</v>
      </c>
    </row>
    <row r="32" customFormat="false" ht="15" hidden="false" customHeight="false" outlineLevel="0" collapsed="false">
      <c r="A32" s="8" t="s">
        <v>562</v>
      </c>
      <c r="B32" s="22" t="n">
        <f aca="false">IF((B25+B26+B15+B16+B17)=0,0,(B15+B16+B17)/(B25+B26+B15+B16+B17))</f>
        <v>0.0592846643802058</v>
      </c>
      <c r="C32" s="22" t="n">
        <f aca="false">IF((C25+C26+C15+C16+C17)=0,0,(C15+C16+C17)/(C25+C26+C15+C16+C17))</f>
        <v>0.147500222005151</v>
      </c>
      <c r="D32" s="22" t="n">
        <f aca="false">IF((D25+D26+D15+D16+D17)=0,0,(D15+D16+D17)/(D25+D26+D15+D16+D17))</f>
        <v>-0.0250934329951949</v>
      </c>
      <c r="E32" s="22" t="n">
        <f aca="false">IF((E25+E26+E15+E16+E17)=0,0,(E15+E16+E17)/(E25+E26+E15+E16+E17))</f>
        <v>0.0336024482071312</v>
      </c>
    </row>
    <row r="34" customFormat="false" ht="15" hidden="false" customHeight="false" outlineLevel="0" collapsed="false">
      <c r="A34" s="6" t="s">
        <v>563</v>
      </c>
      <c r="B34" s="7"/>
      <c r="C34" s="7"/>
      <c r="D34" s="7"/>
      <c r="E34" s="7"/>
    </row>
    <row r="35" customFormat="false" ht="15" hidden="false" customHeight="false" outlineLevel="0" collapsed="false">
      <c r="A35" s="8" t="s">
        <v>564</v>
      </c>
      <c r="B35" s="31" t="n">
        <f aca="false">Opex!$D$25+Opex!$D$32+Opex!$D$33+Opex!$D$34+Opex!$D$36+Opex!$D$40+Opex!$D$41+Opex!$D$13</f>
        <v>26896.84</v>
      </c>
      <c r="C35" s="31" t="n">
        <f aca="false">Opex!$D$25+Opex!$D$32+Opex!$D$33+Opex!$D$34+Opex!$D$36+Opex!$D$40+Opex!$D$41+Opex!$D$13</f>
        <v>26896.84</v>
      </c>
      <c r="D35" s="31" t="n">
        <f aca="false">Opex!$D$25+Opex!$D$32+Opex!$D$33+Opex!$D$34+Opex!$D$36+Opex!$D$40+Opex!$D$41+Opex!$D$13</f>
        <v>26896.84</v>
      </c>
      <c r="E35" s="31" t="n">
        <f aca="false">Opex!$D$25+Opex!$D$32+Opex!$D$33+Opex!$D$34+Opex!$D$36+Opex!$D$40+Opex!$D$41+Opex!$D$13</f>
        <v>26896.84</v>
      </c>
    </row>
    <row r="36" customFormat="false" ht="15" hidden="false" customHeight="false" outlineLevel="0" collapsed="false">
      <c r="A36" s="8" t="s">
        <v>565</v>
      </c>
      <c r="B36" s="31" t="n">
        <f aca="false">Opex!$D$25+Opex!$D$32+Opex!$D$33+Opex!$D$34+Opex!$D$36+Opex!$D$40+Opex!$D$41+Opex!$D$13+Financials!$D$11+Financials!$D$36</f>
        <v>54253.872</v>
      </c>
      <c r="C36" s="31" t="n">
        <f aca="false">Opex!$D$25+Opex!$D$32+Opex!$D$33+Opex!$D$34+Opex!$D$36+Opex!$D$40+Opex!$D$41+Opex!$D$13+Financials!$D$11+Financials!$D$36</f>
        <v>54253.872</v>
      </c>
      <c r="D36" s="31" t="n">
        <f aca="false">Opex!$D$25+Opex!$D$32+Opex!$D$33+Opex!$D$34+Opex!$D$36+Opex!$D$40+Opex!$D$41+Opex!$D$13+Financials!$D$11+Financials!$D$36</f>
        <v>54253.872</v>
      </c>
      <c r="E36" s="31" t="n">
        <f aca="false">Opex!$D$25+Opex!$D$32+Opex!$D$33+Opex!$D$34+Opex!$D$36+Opex!$D$40+Opex!$D$41+Opex!$D$13+Financials!$D$11+Financials!$D$36</f>
        <v>54253.872</v>
      </c>
    </row>
    <row r="37" customFormat="false" ht="15" hidden="false" customHeight="false" outlineLevel="0" collapsed="false">
      <c r="A37" s="8" t="s">
        <v>566</v>
      </c>
      <c r="B37" s="50" t="n">
        <f aca="false">IF(B31&lt;=0,"never",B35/B31)</f>
        <v>24.4488277727683</v>
      </c>
      <c r="C37" s="50" t="n">
        <f aca="false">IF(C31&lt;=0,"never",C35/C31)</f>
        <v>23.0249938706943</v>
      </c>
      <c r="D37" s="50" t="n">
        <f aca="false">IF(D31&lt;=0,"never",D35/D31)</f>
        <v>25.7948826147</v>
      </c>
      <c r="E37" s="50" t="n">
        <f aca="false">IF(E31&lt;=0,"never",E35/E31)</f>
        <v>24.8963781714307</v>
      </c>
    </row>
    <row r="38" customFormat="false" ht="15" hidden="false" customHeight="false" outlineLevel="0" collapsed="false">
      <c r="A38" s="3" t="s">
        <v>567</v>
      </c>
      <c r="B38" s="51" t="n">
        <f aca="false">IF(B31&lt;=0,"never",B36/B31)</f>
        <v>49.3159632333692</v>
      </c>
      <c r="C38" s="51" t="n">
        <f aca="false">IF(C31&lt;=0,"never",C36/C31)</f>
        <v>46.4439343157572</v>
      </c>
      <c r="D38" s="51" t="n">
        <f aca="false">IF(D31&lt;=0,"never",D36/D31)</f>
        <v>52.031103268375</v>
      </c>
      <c r="E38" s="51" t="n">
        <f aca="false">IF(E31&lt;=0,"never",E36/E31)</f>
        <v>50.2187214028264</v>
      </c>
    </row>
    <row r="39" customFormat="false" ht="15" hidden="false" customHeight="false" outlineLevel="0" collapsed="false">
      <c r="A39" s="37" t="s">
        <v>568</v>
      </c>
    </row>
    <row r="41" customFormat="false" ht="15" hidden="false" customHeight="false" outlineLevel="0" collapsed="false">
      <c r="A41" s="6" t="s">
        <v>569</v>
      </c>
      <c r="B41" s="7"/>
      <c r="C41" s="7"/>
      <c r="D41" s="7"/>
      <c r="E41" s="7"/>
    </row>
    <row r="42" customFormat="false" ht="30" hidden="false" customHeight="true" outlineLevel="0" collapsed="false">
      <c r="A42" s="5" t="s">
        <v>570</v>
      </c>
      <c r="B42" s="48" t="s">
        <v>571</v>
      </c>
      <c r="C42" s="48" t="s">
        <v>572</v>
      </c>
      <c r="D42" s="48" t="s">
        <v>573</v>
      </c>
      <c r="E42" s="48" t="s">
        <v>574</v>
      </c>
    </row>
    <row r="43" customFormat="false" ht="15" hidden="false" customHeight="false" outlineLevel="0" collapsed="false">
      <c r="A43" s="8" t="s">
        <v>575</v>
      </c>
      <c r="B43" s="15" t="n">
        <v>0</v>
      </c>
      <c r="C43" s="15" t="n">
        <v>0.5</v>
      </c>
      <c r="D43" s="15" t="n">
        <v>0</v>
      </c>
      <c r="E43" s="15" t="n">
        <v>0.5</v>
      </c>
    </row>
    <row r="44" customFormat="false" ht="15" hidden="false" customHeight="false" outlineLevel="0" collapsed="false">
      <c r="A44" s="8" t="s">
        <v>576</v>
      </c>
      <c r="B44" s="15" t="n">
        <v>0</v>
      </c>
      <c r="C44" s="15" t="n">
        <v>0</v>
      </c>
      <c r="D44" s="15" t="n">
        <v>0.5</v>
      </c>
      <c r="E44" s="15" t="n">
        <v>0.5</v>
      </c>
    </row>
    <row r="45" customFormat="false" ht="15" hidden="false" customHeight="false" outlineLevel="0" collapsed="false">
      <c r="A45" s="8" t="s">
        <v>540</v>
      </c>
      <c r="B45" s="30" t="n">
        <f aca="false">Assumptions!$F$27*(1-Assumptions!$F$29)</f>
        <v>0.69</v>
      </c>
      <c r="C45" s="30" t="n">
        <f aca="false">Assumptions!$F$27*(1-Assumptions!$F$29)</f>
        <v>0.69</v>
      </c>
      <c r="D45" s="30" t="n">
        <f aca="false">Assumptions!$F$27*(1-Assumptions!$F$29)</f>
        <v>0.69</v>
      </c>
      <c r="E45" s="30" t="n">
        <f aca="false">Assumptions!$F$27*(1-Assumptions!$F$29)</f>
        <v>0.69</v>
      </c>
    </row>
    <row r="46" customFormat="false" ht="15" hidden="false" customHeight="false" outlineLevel="0" collapsed="false">
      <c r="A46" s="8" t="s">
        <v>577</v>
      </c>
      <c r="B46" s="30" t="n">
        <f aca="false">B45*(1-Assumptions!$F$37)</f>
        <v>0.345</v>
      </c>
      <c r="C46" s="30" t="n">
        <f aca="false">C45*(1-Assumptions!$F$37)</f>
        <v>0.345</v>
      </c>
      <c r="D46" s="30" t="n">
        <f aca="false">D45*(1-Assumptions!$F$37)</f>
        <v>0.345</v>
      </c>
      <c r="E46" s="30" t="n">
        <f aca="false">E45*(1-Assumptions!$F$37)</f>
        <v>0.345</v>
      </c>
    </row>
    <row r="47" customFormat="false" ht="15" hidden="false" customHeight="false" outlineLevel="0" collapsed="false">
      <c r="A47" s="8" t="s">
        <v>578</v>
      </c>
      <c r="B47" s="30" t="n">
        <f aca="false">B45*Assumptions!$F$37</f>
        <v>0.345</v>
      </c>
      <c r="C47" s="30" t="n">
        <f aca="false">C45*Assumptions!$F$37</f>
        <v>0.345</v>
      </c>
      <c r="D47" s="30" t="n">
        <f aca="false">D45*Assumptions!$F$37</f>
        <v>0.345</v>
      </c>
      <c r="E47" s="30" t="n">
        <f aca="false">E45*Assumptions!$F$37</f>
        <v>0.345</v>
      </c>
    </row>
    <row r="48" customFormat="false" ht="15" hidden="false" customHeight="false" outlineLevel="0" collapsed="false">
      <c r="A48" s="8" t="s">
        <v>579</v>
      </c>
      <c r="B48" s="30" t="n">
        <f aca="false">Assumptions!$F$36+Assumptions!$F$28</f>
        <v>0.18</v>
      </c>
      <c r="C48" s="30" t="n">
        <f aca="false">Assumptions!$F$36+Assumptions!$F$28</f>
        <v>0.18</v>
      </c>
      <c r="D48" s="30" t="n">
        <f aca="false">Assumptions!$F$36+Assumptions!$F$28</f>
        <v>0.18</v>
      </c>
      <c r="E48" s="30" t="n">
        <f aca="false">Assumptions!$F$36+Assumptions!$F$28</f>
        <v>0.18</v>
      </c>
    </row>
    <row r="49" customFormat="false" ht="15" hidden="false" customHeight="false" outlineLevel="0" collapsed="false">
      <c r="A49" s="8" t="s">
        <v>580</v>
      </c>
      <c r="B49" s="47" t="n">
        <f aca="false">B46*(1-B43)*Assumptions!$F$59*Assumptions!$F$60*Assumptions!$F$25</f>
        <v>151.8</v>
      </c>
      <c r="C49" s="47" t="n">
        <f aca="false">C46*(1-C43)*Assumptions!$F$59*Assumptions!$F$60*Assumptions!$F$25</f>
        <v>75.9</v>
      </c>
      <c r="D49" s="47" t="n">
        <f aca="false">D46*(1-D43)*Assumptions!$F$59*Assumptions!$F$60*Assumptions!$F$25</f>
        <v>151.8</v>
      </c>
      <c r="E49" s="47" t="n">
        <f aca="false">E46*(1-E43)*Assumptions!$F$59*Assumptions!$F$60*Assumptions!$F$25</f>
        <v>75.9</v>
      </c>
    </row>
    <row r="50" customFormat="false" ht="15" hidden="false" customHeight="false" outlineLevel="0" collapsed="false">
      <c r="A50" s="8" t="s">
        <v>581</v>
      </c>
      <c r="B50" s="47" t="n">
        <f aca="false">B46*B43*(Assumptions!$F$61*Assumptions!$F$62*Assumptions!$F$25-Assumptions!$F$80*Assumptions!$F$24)</f>
        <v>0</v>
      </c>
      <c r="C50" s="47" t="n">
        <f aca="false">C46*C43*(Assumptions!$F$61*Assumptions!$F$62*Assumptions!$F$25-Assumptions!$F$80*Assumptions!$F$24)</f>
        <v>81.42</v>
      </c>
      <c r="D50" s="47" t="n">
        <f aca="false">D46*D43*(Assumptions!$F$61*Assumptions!$F$62*Assumptions!$F$25-Assumptions!$F$80*Assumptions!$F$24)</f>
        <v>0</v>
      </c>
      <c r="E50" s="47" t="n">
        <f aca="false">E46*E43*(Assumptions!$F$61*Assumptions!$F$62*Assumptions!$F$25-Assumptions!$F$80*Assumptions!$F$24)</f>
        <v>81.42</v>
      </c>
    </row>
    <row r="51" customFormat="false" ht="15" hidden="false" customHeight="false" outlineLevel="0" collapsed="false">
      <c r="A51" s="8" t="s">
        <v>582</v>
      </c>
      <c r="B51" s="47" t="n">
        <f aca="false">(B47-B48)*Assumptions!$F$58*Assumptions!$F$25*(1+B44*(Assumptions!$F$44-1))</f>
        <v>99</v>
      </c>
      <c r="C51" s="47" t="n">
        <f aca="false">(C47-C48)*Assumptions!$F$58*Assumptions!$F$25*(1+C44*(Assumptions!$F$44-1))</f>
        <v>99</v>
      </c>
      <c r="D51" s="47" t="n">
        <f aca="false">(D47-D48)*Assumptions!$F$58*Assumptions!$F$25*(1+D44*(Assumptions!$F$44-1))</f>
        <v>128.7</v>
      </c>
      <c r="E51" s="47" t="n">
        <f aca="false">(E47-E48)*Assumptions!$F$58*Assumptions!$F$25*(1+E44*(Assumptions!$F$44-1))</f>
        <v>128.7</v>
      </c>
    </row>
    <row r="52" customFormat="false" ht="15" hidden="false" customHeight="false" outlineLevel="0" collapsed="false">
      <c r="A52" s="8" t="s">
        <v>583</v>
      </c>
      <c r="B52" s="47" t="n">
        <f aca="false">Assumptions!$F$36*Assumptions!$F$64*Assumptions!$F$65*Assumptions!$F$25</f>
        <v>108</v>
      </c>
      <c r="C52" s="47" t="n">
        <f aca="false">Assumptions!$F$36*Assumptions!$F$64*Assumptions!$F$65*Assumptions!$F$25</f>
        <v>108</v>
      </c>
      <c r="D52" s="47" t="n">
        <f aca="false">Assumptions!$F$36*Assumptions!$F$64*Assumptions!$F$65*Assumptions!$F$25</f>
        <v>108</v>
      </c>
      <c r="E52" s="47" t="n">
        <f aca="false">Assumptions!$F$36*Assumptions!$F$64*Assumptions!$F$65*Assumptions!$F$25</f>
        <v>108</v>
      </c>
    </row>
    <row r="53" customFormat="false" ht="15" hidden="false" customHeight="false" outlineLevel="0" collapsed="false">
      <c r="A53" s="8" t="s">
        <v>584</v>
      </c>
      <c r="B53" s="47" t="n">
        <f aca="false">-(Assumptions!$F$78+B47*2*Assumptions!$F$79)*Assumptions!$F$24</f>
        <v>-182.1</v>
      </c>
      <c r="C53" s="47" t="n">
        <f aca="false">-(Assumptions!$F$78+C47*2*Assumptions!$F$79)*Assumptions!$F$24</f>
        <v>-182.1</v>
      </c>
      <c r="D53" s="47" t="n">
        <f aca="false">-(Assumptions!$F$78+D47*2*Assumptions!$F$79)*Assumptions!$F$24</f>
        <v>-182.1</v>
      </c>
      <c r="E53" s="47" t="n">
        <f aca="false">-(Assumptions!$F$78+E47*2*Assumptions!$F$79)*Assumptions!$F$24</f>
        <v>-182.1</v>
      </c>
    </row>
    <row r="54" customFormat="false" ht="15" hidden="false" customHeight="false" outlineLevel="0" collapsed="false">
      <c r="A54" s="8" t="s">
        <v>585</v>
      </c>
      <c r="B54" s="47" t="n">
        <f aca="false">-(Assumptions!$F$82+Assumptions!$F$73/Assumptions!$F$74/Assumptions!$F$47)</f>
        <v>-31.6</v>
      </c>
      <c r="C54" s="47" t="n">
        <f aca="false">-(Assumptions!$F$82+Assumptions!$F$73/Assumptions!$F$74/Assumptions!$F$47)</f>
        <v>-31.6</v>
      </c>
      <c r="D54" s="47" t="n">
        <f aca="false">-(Assumptions!$F$82+Assumptions!$F$73/Assumptions!$F$74/Assumptions!$F$47)</f>
        <v>-31.6</v>
      </c>
      <c r="E54" s="47" t="n">
        <f aca="false">-(Assumptions!$F$82+Assumptions!$F$73/Assumptions!$F$74/Assumptions!$F$47)</f>
        <v>-31.6</v>
      </c>
    </row>
    <row r="55" customFormat="false" ht="15" hidden="false" customHeight="false" outlineLevel="0" collapsed="false">
      <c r="A55" s="8" t="s">
        <v>586</v>
      </c>
      <c r="B55" s="47" t="n">
        <f aca="false">-Assumptions!$F$86/Assumptions!$F$88</f>
        <v>-30</v>
      </c>
      <c r="C55" s="47" t="n">
        <f aca="false">-Assumptions!$F$86/Assumptions!$F$88</f>
        <v>-30</v>
      </c>
      <c r="D55" s="47" t="n">
        <f aca="false">-Assumptions!$F$86/Assumptions!$F$88</f>
        <v>-30</v>
      </c>
      <c r="E55" s="47" t="n">
        <f aca="false">-Assumptions!$F$86/Assumptions!$F$88</f>
        <v>-30</v>
      </c>
    </row>
    <row r="56" customFormat="false" ht="15" hidden="false" customHeight="false" outlineLevel="0" collapsed="false">
      <c r="A56" s="3" t="s">
        <v>587</v>
      </c>
      <c r="B56" s="49" t="n">
        <f aca="false">SUM(B49:B55)</f>
        <v>115.1</v>
      </c>
      <c r="C56" s="49" t="n">
        <f aca="false">SUM(C49:C55)</f>
        <v>120.62</v>
      </c>
      <c r="D56" s="49" t="n">
        <f aca="false">SUM(D49:D55)</f>
        <v>144.8</v>
      </c>
      <c r="E56" s="49" t="n">
        <f aca="false">SUM(E49:E55)</f>
        <v>150.32</v>
      </c>
    </row>
    <row r="57" customFormat="false" ht="15" hidden="false" customHeight="false" outlineLevel="0" collapsed="false">
      <c r="A57" s="8" t="s">
        <v>588</v>
      </c>
      <c r="B57" s="50" t="n">
        <f aca="false">IF(B56&lt;=0,"never",B35/B56)</f>
        <v>233.682363162467</v>
      </c>
      <c r="C57" s="50" t="n">
        <f aca="false">IF(C56&lt;=0,"never",C35/C56)</f>
        <v>222.988227491295</v>
      </c>
      <c r="D57" s="50" t="n">
        <f aca="false">IF(D56&lt;=0,"never",D35/D56)</f>
        <v>185.751657458564</v>
      </c>
      <c r="E57" s="50" t="n">
        <f aca="false">IF(E56&lt;=0,"never",E35/E56)</f>
        <v>178.930548163917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15" min="4" style="0" width="10"/>
  </cols>
  <sheetData>
    <row r="1" customFormat="false" ht="17.35" hidden="false" customHeight="false" outlineLevel="0" collapsed="false">
      <c r="A1" s="1" t="s">
        <v>589</v>
      </c>
    </row>
    <row r="2" customFormat="false" ht="15" hidden="false" customHeight="false" outlineLevel="0" collapsed="false">
      <c r="A2" s="2" t="s">
        <v>590</v>
      </c>
    </row>
    <row r="4" customFormat="false" ht="15" hidden="false" customHeight="false" outlineLevel="0" collapsed="false">
      <c r="A4" s="39" t="s">
        <v>313</v>
      </c>
      <c r="B4" s="39" t="s">
        <v>591</v>
      </c>
      <c r="C4" s="39" t="s">
        <v>592</v>
      </c>
      <c r="D4" s="39" t="n">
        <v>1</v>
      </c>
      <c r="E4" s="39" t="n">
        <v>2</v>
      </c>
      <c r="F4" s="39" t="n">
        <v>3</v>
      </c>
      <c r="G4" s="39" t="n">
        <v>4</v>
      </c>
      <c r="H4" s="39" t="n">
        <v>5</v>
      </c>
      <c r="I4" s="39" t="n">
        <v>6</v>
      </c>
      <c r="J4" s="39" t="n">
        <v>7</v>
      </c>
      <c r="K4" s="39" t="n">
        <v>8</v>
      </c>
      <c r="L4" s="39" t="n">
        <v>9</v>
      </c>
      <c r="M4" s="39" t="n">
        <v>10</v>
      </c>
      <c r="N4" s="39" t="n">
        <v>11</v>
      </c>
      <c r="O4" s="39" t="n">
        <v>12</v>
      </c>
    </row>
    <row r="6" customFormat="false" ht="15" hidden="false" customHeight="false" outlineLevel="0" collapsed="false">
      <c r="A6" s="8" t="s">
        <v>593</v>
      </c>
      <c r="D6" s="35" t="n">
        <f aca="false">IF(D$4&gt;=Assumptions!$F$106,1,0)</f>
        <v>0</v>
      </c>
      <c r="E6" s="35" t="n">
        <f aca="false">IF(E$4&gt;=Assumptions!$F$106,1,0)</f>
        <v>1</v>
      </c>
      <c r="F6" s="35" t="n">
        <f aca="false">IF(F$4&gt;=Assumptions!$F$106,1,0)</f>
        <v>1</v>
      </c>
      <c r="G6" s="35" t="n">
        <f aca="false">IF(G$4&gt;=Assumptions!$F$106,1,0)</f>
        <v>1</v>
      </c>
      <c r="H6" s="35" t="n">
        <f aca="false">IF(H$4&gt;=Assumptions!$F$106,1,0)</f>
        <v>1</v>
      </c>
      <c r="I6" s="35" t="n">
        <f aca="false">IF(I$4&gt;=Assumptions!$F$106,1,0)</f>
        <v>1</v>
      </c>
      <c r="J6" s="35" t="n">
        <f aca="false">IF(J$4&gt;=Assumptions!$F$106,1,0)</f>
        <v>1</v>
      </c>
      <c r="K6" s="35" t="n">
        <f aca="false">IF(K$4&gt;=Assumptions!$F$106,1,0)</f>
        <v>1</v>
      </c>
      <c r="L6" s="35" t="n">
        <f aca="false">IF(L$4&gt;=Assumptions!$F$106,1,0)</f>
        <v>1</v>
      </c>
      <c r="M6" s="35" t="n">
        <f aca="false">IF(M$4&gt;=Assumptions!$F$106,1,0)</f>
        <v>1</v>
      </c>
      <c r="N6" s="35" t="n">
        <f aca="false">IF(N$4&gt;=Assumptions!$F$106,1,0)</f>
        <v>1</v>
      </c>
      <c r="O6" s="35" t="n">
        <f aca="false">IF(O$4&gt;=Assumptions!$F$106,1,0)</f>
        <v>1</v>
      </c>
    </row>
    <row r="7" customFormat="false" ht="15" hidden="false" customHeight="false" outlineLevel="0" collapsed="false">
      <c r="A7" s="8" t="s">
        <v>594</v>
      </c>
      <c r="D7" s="35" t="n">
        <f aca="false">IF(D$4&gt;=Assumptions!$F$107,1,0)</f>
        <v>0</v>
      </c>
      <c r="E7" s="35" t="n">
        <f aca="false">IF(E$4&gt;=Assumptions!$F$107,1,0)</f>
        <v>0</v>
      </c>
      <c r="F7" s="35" t="n">
        <f aca="false">IF(F$4&gt;=Assumptions!$F$107,1,0)</f>
        <v>0</v>
      </c>
      <c r="G7" s="35" t="n">
        <f aca="false">IF(G$4&gt;=Assumptions!$F$107,1,0)</f>
        <v>1</v>
      </c>
      <c r="H7" s="35" t="n">
        <f aca="false">IF(H$4&gt;=Assumptions!$F$107,1,0)</f>
        <v>1</v>
      </c>
      <c r="I7" s="35" t="n">
        <f aca="false">IF(I$4&gt;=Assumptions!$F$107,1,0)</f>
        <v>1</v>
      </c>
      <c r="J7" s="35" t="n">
        <f aca="false">IF(J$4&gt;=Assumptions!$F$107,1,0)</f>
        <v>1</v>
      </c>
      <c r="K7" s="35" t="n">
        <f aca="false">IF(K$4&gt;=Assumptions!$F$107,1,0)</f>
        <v>1</v>
      </c>
      <c r="L7" s="35" t="n">
        <f aca="false">IF(L$4&gt;=Assumptions!$F$107,1,0)</f>
        <v>1</v>
      </c>
      <c r="M7" s="35" t="n">
        <f aca="false">IF(M$4&gt;=Assumptions!$F$107,1,0)</f>
        <v>1</v>
      </c>
      <c r="N7" s="35" t="n">
        <f aca="false">IF(N$4&gt;=Assumptions!$F$107,1,0)</f>
        <v>1</v>
      </c>
      <c r="O7" s="35" t="n">
        <f aca="false">IF(O$4&gt;=Assumptions!$F$107,1,0)</f>
        <v>1</v>
      </c>
    </row>
    <row r="8" customFormat="false" ht="15" hidden="false" customHeight="false" outlineLevel="0" collapsed="false">
      <c r="A8" s="8" t="s">
        <v>595</v>
      </c>
      <c r="B8" s="31" t="n">
        <f aca="false">SUM(D8:O8)</f>
        <v>67320</v>
      </c>
      <c r="D8" s="31" t="n">
        <f aca="false">IF(SUM($D$6:$O$6)=0,0,Revenue!D31*D6/SUM($D$6:$O$6))</f>
        <v>0</v>
      </c>
      <c r="E8" s="31" t="n">
        <f aca="false">IF(SUM($D$6:$O$6)=0,0,Revenue!D31*E6/SUM($D$6:$O$6))</f>
        <v>6120</v>
      </c>
      <c r="F8" s="31" t="n">
        <f aca="false">IF(SUM($D$6:$O$6)=0,0,Revenue!D31*F6/SUM($D$6:$O$6))</f>
        <v>6120</v>
      </c>
      <c r="G8" s="31" t="n">
        <f aca="false">IF(SUM($D$6:$O$6)=0,0,Revenue!D31*G6/SUM($D$6:$O$6))</f>
        <v>6120</v>
      </c>
      <c r="H8" s="31" t="n">
        <f aca="false">IF(SUM($D$6:$O$6)=0,0,Revenue!D31*H6/SUM($D$6:$O$6))</f>
        <v>6120</v>
      </c>
      <c r="I8" s="31" t="n">
        <f aca="false">IF(SUM($D$6:$O$6)=0,0,Revenue!D31*I6/SUM($D$6:$O$6))</f>
        <v>6120</v>
      </c>
      <c r="J8" s="31" t="n">
        <f aca="false">IF(SUM($D$6:$O$6)=0,0,Revenue!D31*J6/SUM($D$6:$O$6))</f>
        <v>6120</v>
      </c>
      <c r="K8" s="31" t="n">
        <f aca="false">IF(SUM($D$6:$O$6)=0,0,Revenue!D31*K6/SUM($D$6:$O$6))</f>
        <v>6120</v>
      </c>
      <c r="L8" s="31" t="n">
        <f aca="false">IF(SUM($D$6:$O$6)=0,0,Revenue!D31*L6/SUM($D$6:$O$6))</f>
        <v>6120</v>
      </c>
      <c r="M8" s="31" t="n">
        <f aca="false">IF(SUM($D$6:$O$6)=0,0,Revenue!D31*M6/SUM($D$6:$O$6))</f>
        <v>6120</v>
      </c>
      <c r="N8" s="31" t="n">
        <f aca="false">IF(SUM($D$6:$O$6)=0,0,Revenue!D31*N6/SUM($D$6:$O$6))</f>
        <v>6120</v>
      </c>
      <c r="O8" s="31" t="n">
        <f aca="false">IF(SUM($D$6:$O$6)=0,0,Revenue!D31*O6/SUM($D$6:$O$6))</f>
        <v>6120</v>
      </c>
    </row>
    <row r="9" customFormat="false" ht="15" hidden="false" customHeight="false" outlineLevel="0" collapsed="false">
      <c r="A9" s="8" t="s">
        <v>596</v>
      </c>
      <c r="B9" s="31" t="n">
        <f aca="false">SUM(D9:O9)</f>
        <v>15868.8</v>
      </c>
      <c r="D9" s="31" t="n">
        <f aca="false">IF(SUM($D$7:$O$7)=0,0,(Revenue!D28-Revenue!D31)*D7/SUM($D$7:$O$7))</f>
        <v>0</v>
      </c>
      <c r="E9" s="31" t="n">
        <f aca="false">IF(SUM($D$7:$O$7)=0,0,(Revenue!D28-Revenue!D31)*E7/SUM($D$7:$O$7))</f>
        <v>0</v>
      </c>
      <c r="F9" s="31" t="n">
        <f aca="false">IF(SUM($D$7:$O$7)=0,0,(Revenue!D28-Revenue!D31)*F7/SUM($D$7:$O$7))</f>
        <v>0</v>
      </c>
      <c r="G9" s="31" t="n">
        <f aca="false">IF(SUM($D$7:$O$7)=0,0,(Revenue!D28-Revenue!D31)*G7/SUM($D$7:$O$7))</f>
        <v>1763.2</v>
      </c>
      <c r="H9" s="31" t="n">
        <f aca="false">IF(SUM($D$7:$O$7)=0,0,(Revenue!D28-Revenue!D31)*H7/SUM($D$7:$O$7))</f>
        <v>1763.2</v>
      </c>
      <c r="I9" s="31" t="n">
        <f aca="false">IF(SUM($D$7:$O$7)=0,0,(Revenue!D28-Revenue!D31)*I7/SUM($D$7:$O$7))</f>
        <v>1763.2</v>
      </c>
      <c r="J9" s="31" t="n">
        <f aca="false">IF(SUM($D$7:$O$7)=0,0,(Revenue!D28-Revenue!D31)*J7/SUM($D$7:$O$7))</f>
        <v>1763.2</v>
      </c>
      <c r="K9" s="31" t="n">
        <f aca="false">IF(SUM($D$7:$O$7)=0,0,(Revenue!D28-Revenue!D31)*K7/SUM($D$7:$O$7))</f>
        <v>1763.2</v>
      </c>
      <c r="L9" s="31" t="n">
        <f aca="false">IF(SUM($D$7:$O$7)=0,0,(Revenue!D28-Revenue!D31)*L7/SUM($D$7:$O$7))</f>
        <v>1763.2</v>
      </c>
      <c r="M9" s="31" t="n">
        <f aca="false">IF(SUM($D$7:$O$7)=0,0,(Revenue!D28-Revenue!D31)*M7/SUM($D$7:$O$7))</f>
        <v>1763.2</v>
      </c>
      <c r="N9" s="31" t="n">
        <f aca="false">IF(SUM($D$7:$O$7)=0,0,(Revenue!D28-Revenue!D31)*N7/SUM($D$7:$O$7))</f>
        <v>1763.2</v>
      </c>
      <c r="O9" s="31" t="n">
        <f aca="false">IF(SUM($D$7:$O$7)=0,0,(Revenue!D28-Revenue!D31)*O7/SUM($D$7:$O$7))</f>
        <v>1763.2</v>
      </c>
    </row>
    <row r="10" customFormat="false" ht="15" hidden="false" customHeight="false" outlineLevel="0" collapsed="false">
      <c r="A10" s="3" t="s">
        <v>597</v>
      </c>
      <c r="B10" s="31" t="n">
        <f aca="false">SUM(D10:O10)</f>
        <v>83188.8</v>
      </c>
      <c r="D10" s="36" t="n">
        <f aca="false">D8+D9</f>
        <v>0</v>
      </c>
      <c r="E10" s="36" t="n">
        <f aca="false">E8+E9</f>
        <v>6120</v>
      </c>
      <c r="F10" s="36" t="n">
        <f aca="false">F8+F9</f>
        <v>6120</v>
      </c>
      <c r="G10" s="36" t="n">
        <f aca="false">G8+G9</f>
        <v>7883.2</v>
      </c>
      <c r="H10" s="36" t="n">
        <f aca="false">H8+H9</f>
        <v>7883.2</v>
      </c>
      <c r="I10" s="36" t="n">
        <f aca="false">I8+I9</f>
        <v>7883.2</v>
      </c>
      <c r="J10" s="36" t="n">
        <f aca="false">J8+J9</f>
        <v>7883.2</v>
      </c>
      <c r="K10" s="36" t="n">
        <f aca="false">K8+K9</f>
        <v>7883.2</v>
      </c>
      <c r="L10" s="36" t="n">
        <f aca="false">L8+L9</f>
        <v>7883.2</v>
      </c>
      <c r="M10" s="36" t="n">
        <f aca="false">M8+M9</f>
        <v>7883.2</v>
      </c>
      <c r="N10" s="36" t="n">
        <f aca="false">N8+N9</f>
        <v>7883.2</v>
      </c>
      <c r="O10" s="36" t="n">
        <f aca="false">O8+O9</f>
        <v>7883.2</v>
      </c>
    </row>
    <row r="11" customFormat="false" ht="15" hidden="false" customHeight="false" outlineLevel="0" collapsed="false">
      <c r="A11" s="8" t="s">
        <v>440</v>
      </c>
      <c r="B11" s="31" t="n">
        <f aca="false">SUM(D11:O11)</f>
        <v>-84705.2388</v>
      </c>
      <c r="D11" s="31" t="n">
        <f aca="false">-Opex!D46/12</f>
        <v>-7058.7699</v>
      </c>
      <c r="E11" s="31" t="n">
        <f aca="false">-Opex!D46/12</f>
        <v>-7058.7699</v>
      </c>
      <c r="F11" s="31" t="n">
        <f aca="false">-Opex!D46/12</f>
        <v>-7058.7699</v>
      </c>
      <c r="G11" s="31" t="n">
        <f aca="false">-Opex!D46/12</f>
        <v>-7058.7699</v>
      </c>
      <c r="H11" s="31" t="n">
        <f aca="false">-Opex!D46/12</f>
        <v>-7058.7699</v>
      </c>
      <c r="I11" s="31" t="n">
        <f aca="false">-Opex!D46/12</f>
        <v>-7058.7699</v>
      </c>
      <c r="J11" s="31" t="n">
        <f aca="false">-Opex!D46/12</f>
        <v>-7058.7699</v>
      </c>
      <c r="K11" s="31" t="n">
        <f aca="false">-Opex!D46/12</f>
        <v>-7058.7699</v>
      </c>
      <c r="L11" s="31" t="n">
        <f aca="false">-Opex!D46/12</f>
        <v>-7058.7699</v>
      </c>
      <c r="M11" s="31" t="n">
        <f aca="false">-Opex!D46/12</f>
        <v>-7058.7699</v>
      </c>
      <c r="N11" s="31" t="n">
        <f aca="false">-Opex!D46/12</f>
        <v>-7058.7699</v>
      </c>
      <c r="O11" s="31" t="n">
        <f aca="false">-Opex!D46/12</f>
        <v>-7058.7699</v>
      </c>
    </row>
    <row r="12" customFormat="false" ht="15" hidden="false" customHeight="false" outlineLevel="0" collapsed="false">
      <c r="A12" s="8" t="s">
        <v>445</v>
      </c>
      <c r="B12" s="31" t="n">
        <f aca="false">SUM(D12:O12)</f>
        <v>-11533.632</v>
      </c>
      <c r="D12" s="31" t="n">
        <f aca="false">-Financials!D36/12</f>
        <v>-961.136</v>
      </c>
      <c r="E12" s="31" t="n">
        <f aca="false">-Financials!D36/12</f>
        <v>-961.136</v>
      </c>
      <c r="F12" s="31" t="n">
        <f aca="false">-Financials!D36/12</f>
        <v>-961.136</v>
      </c>
      <c r="G12" s="31" t="n">
        <f aca="false">-Financials!D36/12</f>
        <v>-961.136</v>
      </c>
      <c r="H12" s="31" t="n">
        <f aca="false">-Financials!D36/12</f>
        <v>-961.136</v>
      </c>
      <c r="I12" s="31" t="n">
        <f aca="false">-Financials!D36/12</f>
        <v>-961.136</v>
      </c>
      <c r="J12" s="31" t="n">
        <f aca="false">-Financials!D36/12</f>
        <v>-961.136</v>
      </c>
      <c r="K12" s="31" t="n">
        <f aca="false">-Financials!D36/12</f>
        <v>-961.136</v>
      </c>
      <c r="L12" s="31" t="n">
        <f aca="false">-Financials!D36/12</f>
        <v>-961.136</v>
      </c>
      <c r="M12" s="31" t="n">
        <f aca="false">-Financials!D36/12</f>
        <v>-961.136</v>
      </c>
      <c r="N12" s="31" t="n">
        <f aca="false">-Financials!D36/12</f>
        <v>-961.136</v>
      </c>
      <c r="O12" s="31" t="n">
        <f aca="false">-Financials!D36/12</f>
        <v>-961.136</v>
      </c>
    </row>
    <row r="13" customFormat="false" ht="15" hidden="false" customHeight="false" outlineLevel="0" collapsed="false">
      <c r="A13" s="8" t="s">
        <v>598</v>
      </c>
      <c r="B13" s="31" t="n">
        <f aca="false">SUM(D13:O13)</f>
        <v>0</v>
      </c>
      <c r="D13" s="31" t="n">
        <f aca="false">-Financials!D37/12</f>
        <v>-0</v>
      </c>
      <c r="E13" s="31" t="n">
        <f aca="false">-Financials!D37/12</f>
        <v>-0</v>
      </c>
      <c r="F13" s="31" t="n">
        <f aca="false">-Financials!D37/12</f>
        <v>-0</v>
      </c>
      <c r="G13" s="31" t="n">
        <f aca="false">-Financials!D37/12</f>
        <v>-0</v>
      </c>
      <c r="H13" s="31" t="n">
        <f aca="false">-Financials!D37/12</f>
        <v>-0</v>
      </c>
      <c r="I13" s="31" t="n">
        <f aca="false">-Financials!D37/12</f>
        <v>-0</v>
      </c>
      <c r="J13" s="31" t="n">
        <f aca="false">-Financials!D37/12</f>
        <v>-0</v>
      </c>
      <c r="K13" s="31" t="n">
        <f aca="false">-Financials!D37/12</f>
        <v>-0</v>
      </c>
      <c r="L13" s="31" t="n">
        <f aca="false">-Financials!D37/12</f>
        <v>-0</v>
      </c>
      <c r="M13" s="31" t="n">
        <f aca="false">-Financials!D37/12</f>
        <v>-0</v>
      </c>
      <c r="N13" s="31" t="n">
        <f aca="false">-Financials!D37/12</f>
        <v>-0</v>
      </c>
      <c r="O13" s="31" t="n">
        <f aca="false">-Financials!D37/12</f>
        <v>-0</v>
      </c>
    </row>
    <row r="14" customFormat="false" ht="15" hidden="false" customHeight="false" outlineLevel="0" collapsed="false">
      <c r="A14" s="8" t="s">
        <v>599</v>
      </c>
      <c r="B14" s="31" t="n">
        <f aca="false">SUM(D14:O14)</f>
        <v>-2359.5</v>
      </c>
      <c r="D14" s="31" t="n">
        <f aca="false">Financials!D50/12</f>
        <v>-196.625</v>
      </c>
      <c r="E14" s="31" t="n">
        <f aca="false">Financials!D50/12</f>
        <v>-196.625</v>
      </c>
      <c r="F14" s="31" t="n">
        <f aca="false">Financials!D50/12</f>
        <v>-196.625</v>
      </c>
      <c r="G14" s="31" t="n">
        <f aca="false">Financials!D50/12</f>
        <v>-196.625</v>
      </c>
      <c r="H14" s="31" t="n">
        <f aca="false">Financials!D50/12</f>
        <v>-196.625</v>
      </c>
      <c r="I14" s="31" t="n">
        <f aca="false">Financials!D50/12</f>
        <v>-196.625</v>
      </c>
      <c r="J14" s="31" t="n">
        <f aca="false">Financials!D50/12</f>
        <v>-196.625</v>
      </c>
      <c r="K14" s="31" t="n">
        <f aca="false">Financials!D50/12</f>
        <v>-196.625</v>
      </c>
      <c r="L14" s="31" t="n">
        <f aca="false">Financials!D50/12</f>
        <v>-196.625</v>
      </c>
      <c r="M14" s="31" t="n">
        <f aca="false">Financials!D50/12</f>
        <v>-196.625</v>
      </c>
      <c r="N14" s="31" t="n">
        <f aca="false">Financials!D50/12</f>
        <v>-196.625</v>
      </c>
      <c r="O14" s="31" t="n">
        <f aca="false">Financials!D50/12</f>
        <v>-196.625</v>
      </c>
    </row>
    <row r="15" customFormat="false" ht="15" hidden="false" customHeight="false" outlineLevel="0" collapsed="false">
      <c r="A15" s="8" t="s">
        <v>600</v>
      </c>
      <c r="B15" s="31" t="n">
        <f aca="false">SUM(D15:O15)</f>
        <v>0</v>
      </c>
      <c r="D15" s="31" t="n">
        <f aca="false">IF(D$4=12,Financials!D47,0)</f>
        <v>0</v>
      </c>
      <c r="E15" s="31" t="n">
        <f aca="false">IF(E$4=12,Financials!D47,0)</f>
        <v>0</v>
      </c>
      <c r="F15" s="31" t="n">
        <f aca="false">IF(F$4=12,Financials!D47,0)</f>
        <v>0</v>
      </c>
      <c r="G15" s="31" t="n">
        <f aca="false">IF(G$4=12,Financials!D47,0)</f>
        <v>0</v>
      </c>
      <c r="H15" s="31" t="n">
        <f aca="false">IF(H$4=12,Financials!D47,0)</f>
        <v>0</v>
      </c>
      <c r="I15" s="31" t="n">
        <f aca="false">IF(I$4=12,Financials!D47,0)</f>
        <v>0</v>
      </c>
      <c r="J15" s="31" t="n">
        <f aca="false">IF(J$4=12,Financials!D47,0)</f>
        <v>0</v>
      </c>
      <c r="K15" s="31" t="n">
        <f aca="false">IF(K$4=12,Financials!D47,0)</f>
        <v>0</v>
      </c>
      <c r="L15" s="31" t="n">
        <f aca="false">IF(L$4=12,Financials!D47,0)</f>
        <v>0</v>
      </c>
      <c r="M15" s="31" t="n">
        <f aca="false">IF(M$4=12,Financials!D47,0)</f>
        <v>0</v>
      </c>
      <c r="N15" s="31" t="n">
        <f aca="false">IF(N$4=12,Financials!D47,0)</f>
        <v>0</v>
      </c>
      <c r="O15" s="31" t="n">
        <f aca="false">IF(O$4=12,Financials!D47,0)</f>
        <v>-0</v>
      </c>
    </row>
    <row r="16" customFormat="false" ht="15" hidden="false" customHeight="false" outlineLevel="0" collapsed="false">
      <c r="A16" s="3" t="s">
        <v>601</v>
      </c>
      <c r="B16" s="31" t="n">
        <f aca="false">SUM(D16:O16)</f>
        <v>-98598.3708</v>
      </c>
      <c r="D16" s="36" t="n">
        <f aca="false">SUM(D11:D15)</f>
        <v>-8216.5309</v>
      </c>
      <c r="E16" s="36" t="n">
        <f aca="false">SUM(E11:E15)</f>
        <v>-8216.5309</v>
      </c>
      <c r="F16" s="36" t="n">
        <f aca="false">SUM(F11:F15)</f>
        <v>-8216.5309</v>
      </c>
      <c r="G16" s="36" t="n">
        <f aca="false">SUM(G11:G15)</f>
        <v>-8216.5309</v>
      </c>
      <c r="H16" s="36" t="n">
        <f aca="false">SUM(H11:H15)</f>
        <v>-8216.5309</v>
      </c>
      <c r="I16" s="36" t="n">
        <f aca="false">SUM(I11:I15)</f>
        <v>-8216.5309</v>
      </c>
      <c r="J16" s="36" t="n">
        <f aca="false">SUM(J11:J15)</f>
        <v>-8216.5309</v>
      </c>
      <c r="K16" s="36" t="n">
        <f aca="false">SUM(K11:K15)</f>
        <v>-8216.5309</v>
      </c>
      <c r="L16" s="36" t="n">
        <f aca="false">SUM(L11:L15)</f>
        <v>-8216.5309</v>
      </c>
      <c r="M16" s="36" t="n">
        <f aca="false">SUM(M11:M15)</f>
        <v>-8216.5309</v>
      </c>
      <c r="N16" s="36" t="n">
        <f aca="false">SUM(N11:N15)</f>
        <v>-8216.5309</v>
      </c>
      <c r="O16" s="36" t="n">
        <f aca="false">SUM(O11:O15)</f>
        <v>-8216.5309</v>
      </c>
    </row>
    <row r="17" customFormat="false" ht="15" hidden="false" customHeight="false" outlineLevel="0" collapsed="false">
      <c r="A17" s="3" t="s">
        <v>602</v>
      </c>
      <c r="B17" s="31" t="n">
        <f aca="false">SUM(D17:O17)</f>
        <v>-15409.5708</v>
      </c>
      <c r="D17" s="36" t="n">
        <f aca="false">D10+D16</f>
        <v>-8216.5309</v>
      </c>
      <c r="E17" s="36" t="n">
        <f aca="false">E10+E16</f>
        <v>-2096.5309</v>
      </c>
      <c r="F17" s="36" t="n">
        <f aca="false">F10+F16</f>
        <v>-2096.5309</v>
      </c>
      <c r="G17" s="36" t="n">
        <f aca="false">G10+G16</f>
        <v>-333.330899999999</v>
      </c>
      <c r="H17" s="36" t="n">
        <f aca="false">H10+H16</f>
        <v>-333.330899999999</v>
      </c>
      <c r="I17" s="36" t="n">
        <f aca="false">I10+I16</f>
        <v>-333.330899999999</v>
      </c>
      <c r="J17" s="36" t="n">
        <f aca="false">J10+J16</f>
        <v>-333.330899999999</v>
      </c>
      <c r="K17" s="36" t="n">
        <f aca="false">K10+K16</f>
        <v>-333.330899999999</v>
      </c>
      <c r="L17" s="36" t="n">
        <f aca="false">L10+L16</f>
        <v>-333.330899999999</v>
      </c>
      <c r="M17" s="36" t="n">
        <f aca="false">M10+M16</f>
        <v>-333.330899999999</v>
      </c>
      <c r="N17" s="36" t="n">
        <f aca="false">N10+N16</f>
        <v>-333.330899999999</v>
      </c>
      <c r="O17" s="36" t="n">
        <f aca="false">O10+O16</f>
        <v>-333.330899999999</v>
      </c>
    </row>
    <row r="18" customFormat="false" ht="15" hidden="false" customHeight="false" outlineLevel="0" collapsed="false">
      <c r="A18" s="3" t="s">
        <v>603</v>
      </c>
      <c r="C18" s="36" t="n">
        <f aca="false">-Financials!C51</f>
        <v>21176.3097</v>
      </c>
      <c r="D18" s="36" t="n">
        <f aca="false">C18+D17</f>
        <v>12959.7788</v>
      </c>
      <c r="E18" s="36" t="n">
        <f aca="false">D18+E17</f>
        <v>10863.2479</v>
      </c>
      <c r="F18" s="36" t="n">
        <f aca="false">E18+F17</f>
        <v>8766.717</v>
      </c>
      <c r="G18" s="36" t="n">
        <f aca="false">F18+G17</f>
        <v>8433.3861</v>
      </c>
      <c r="H18" s="36" t="n">
        <f aca="false">G18+H17</f>
        <v>8100.0552</v>
      </c>
      <c r="I18" s="36" t="n">
        <f aca="false">H18+I17</f>
        <v>7766.72430000001</v>
      </c>
      <c r="J18" s="36" t="n">
        <f aca="false">I18+J17</f>
        <v>7433.39340000001</v>
      </c>
      <c r="K18" s="36" t="n">
        <f aca="false">J18+K17</f>
        <v>7100.06250000001</v>
      </c>
      <c r="L18" s="36" t="n">
        <f aca="false">K18+L17</f>
        <v>6766.73160000001</v>
      </c>
      <c r="M18" s="36" t="n">
        <f aca="false">L18+M17</f>
        <v>6433.40070000001</v>
      </c>
      <c r="N18" s="36" t="n">
        <f aca="false">M18+N17</f>
        <v>6100.06980000001</v>
      </c>
      <c r="O18" s="36" t="n">
        <f aca="false">N18+O17</f>
        <v>5766.73890000001</v>
      </c>
    </row>
    <row r="20" customFormat="false" ht="15" hidden="false" customHeight="false" outlineLevel="0" collapsed="false">
      <c r="A20" s="3" t="s">
        <v>604</v>
      </c>
      <c r="B20" s="36" t="n">
        <f aca="false">MIN(D18:O18)</f>
        <v>5766.73890000001</v>
      </c>
    </row>
    <row r="21" customFormat="false" ht="15" hidden="false" customHeight="false" outlineLevel="0" collapsed="false">
      <c r="A21" s="3" t="s">
        <v>605</v>
      </c>
      <c r="B21" s="36" t="n">
        <f aca="false">MAX(0,-B20)</f>
        <v>0</v>
      </c>
    </row>
    <row r="22" customFormat="false" ht="15" hidden="false" customHeight="false" outlineLevel="0" collapsed="false">
      <c r="A22" s="3" t="s">
        <v>606</v>
      </c>
      <c r="B22" s="52" t="str">
        <f aca="false">IF(B20&gt;=0,"OK - reserve covers Year 1","SHORTFALL - raise reserve")</f>
        <v>OK - reserve covers Year 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2"/>
    <col collapsed="false" customWidth="true" hidden="false" outlineLevel="0" max="13" min="3" style="0" width="14"/>
  </cols>
  <sheetData>
    <row r="1" customFormat="false" ht="17.35" hidden="false" customHeight="false" outlineLevel="0" collapsed="false">
      <c r="A1" s="1" t="s">
        <v>607</v>
      </c>
    </row>
    <row r="2" customFormat="false" ht="15" hidden="false" customHeight="false" outlineLevel="0" collapsed="false">
      <c r="A2" s="2" t="s">
        <v>608</v>
      </c>
    </row>
    <row r="4" customFormat="false" ht="45" hidden="false" customHeight="true" outlineLevel="0" collapsed="false">
      <c r="A4" s="53" t="s">
        <v>609</v>
      </c>
      <c r="B4" s="53" t="s">
        <v>610</v>
      </c>
      <c r="C4" s="53" t="s">
        <v>611</v>
      </c>
      <c r="D4" s="53" t="s">
        <v>500</v>
      </c>
      <c r="E4" s="53" t="s">
        <v>504</v>
      </c>
      <c r="F4" s="53" t="s">
        <v>505</v>
      </c>
      <c r="G4" s="53" t="s">
        <v>442</v>
      </c>
      <c r="H4" s="53" t="s">
        <v>612</v>
      </c>
      <c r="I4" s="53" t="s">
        <v>613</v>
      </c>
      <c r="J4" s="53" t="s">
        <v>614</v>
      </c>
      <c r="K4" s="53" t="s">
        <v>615</v>
      </c>
      <c r="L4" s="53" t="s">
        <v>616</v>
      </c>
      <c r="M4" s="53" t="s">
        <v>617</v>
      </c>
    </row>
    <row r="5" customFormat="false" ht="15" hidden="false" customHeight="false" outlineLevel="0" collapsed="false">
      <c r="A5" s="8" t="s">
        <v>618</v>
      </c>
      <c r="B5" s="4" t="s">
        <v>619</v>
      </c>
      <c r="C5" s="31" t="n">
        <v>261460.3097</v>
      </c>
      <c r="D5" s="31" t="n">
        <v>3735.14728142857</v>
      </c>
      <c r="E5" s="31" t="n">
        <v>101073.842562668</v>
      </c>
      <c r="F5" s="31" t="n">
        <v>15853.2673938849</v>
      </c>
      <c r="G5" s="22" t="n">
        <v>0.156848369389494</v>
      </c>
      <c r="H5" s="22" t="n">
        <v>-0.0194142215385678</v>
      </c>
      <c r="I5" s="22" t="n">
        <v>-0.108413207802586</v>
      </c>
      <c r="J5" s="31" t="n">
        <v>-178916.672461144</v>
      </c>
      <c r="K5" s="33" t="s">
        <v>620</v>
      </c>
      <c r="L5" s="47" t="n">
        <v>0.446564022368073</v>
      </c>
      <c r="M5" s="8" t="s">
        <v>621</v>
      </c>
    </row>
    <row r="6" customFormat="false" ht="15" hidden="false" customHeight="false" outlineLevel="0" collapsed="false">
      <c r="A6" s="8" t="s">
        <v>622</v>
      </c>
      <c r="B6" s="4" t="s">
        <v>623</v>
      </c>
      <c r="C6" s="31" t="n">
        <v>262016.9375375</v>
      </c>
      <c r="D6" s="31" t="n">
        <v>3743.09910767857</v>
      </c>
      <c r="E6" s="31" t="n">
        <v>67179.820054804</v>
      </c>
      <c r="F6" s="31" t="n">
        <v>-22038.8119012077</v>
      </c>
      <c r="G6" s="22" t="n">
        <v>-0.328057024910589</v>
      </c>
      <c r="H6" s="22" t="n">
        <v>-0.270698075598464</v>
      </c>
      <c r="I6" s="22" t="s">
        <v>624</v>
      </c>
      <c r="J6" s="31" t="n">
        <v>-385654.627487312</v>
      </c>
      <c r="K6" s="33" t="s">
        <v>620</v>
      </c>
      <c r="L6" s="47" t="n">
        <v>0.730944494754238</v>
      </c>
      <c r="M6" s="8" t="s">
        <v>621</v>
      </c>
    </row>
    <row r="7" customFormat="false" ht="15" hidden="false" customHeight="false" outlineLevel="0" collapsed="false">
      <c r="A7" s="8" t="s">
        <v>625</v>
      </c>
      <c r="B7" s="4" t="s">
        <v>626</v>
      </c>
      <c r="C7" s="31" t="n">
        <v>262102.640165</v>
      </c>
      <c r="D7" s="31" t="n">
        <v>3744.32343092857</v>
      </c>
      <c r="E7" s="31" t="n">
        <v>143553.876558146</v>
      </c>
      <c r="F7" s="31" t="n">
        <v>58557.6693429007</v>
      </c>
      <c r="G7" s="22" t="n">
        <v>0.407914232251208</v>
      </c>
      <c r="H7" s="22" t="n">
        <v>0.123366417397508</v>
      </c>
      <c r="I7" s="22" t="n">
        <v>0.0889925358391845</v>
      </c>
      <c r="J7" s="31" t="n">
        <v>4812.46785670915</v>
      </c>
      <c r="K7" s="33" t="n">
        <v>6.84030708627221</v>
      </c>
      <c r="L7" s="47" t="n">
        <v>0.247707600151626</v>
      </c>
      <c r="M7" s="8" t="s">
        <v>621</v>
      </c>
    </row>
    <row r="8" customFormat="false" ht="15" hidden="false" customHeight="false" outlineLevel="0" collapsed="false">
      <c r="A8" s="8" t="s">
        <v>627</v>
      </c>
      <c r="B8" s="4" t="s">
        <v>628</v>
      </c>
      <c r="C8" s="31" t="n">
        <v>226445.9237</v>
      </c>
      <c r="D8" s="31" t="n">
        <v>5661.1480925</v>
      </c>
      <c r="E8" s="31" t="n">
        <v>88114.734124328</v>
      </c>
      <c r="F8" s="31" t="n">
        <v>13460.1654380493</v>
      </c>
      <c r="G8" s="22" t="n">
        <v>0.152757260994027</v>
      </c>
      <c r="H8" s="22" t="n">
        <v>-0.0265008890462114</v>
      </c>
      <c r="I8" s="22" t="n">
        <v>-0.107500009096919</v>
      </c>
      <c r="J8" s="31" t="n">
        <v>-154766.223088909</v>
      </c>
      <c r="K8" s="33" t="s">
        <v>620</v>
      </c>
      <c r="L8" s="47" t="n">
        <v>0.46972567914478</v>
      </c>
      <c r="M8" s="8" t="s">
        <v>621</v>
      </c>
    </row>
    <row r="9" customFormat="false" ht="15" hidden="false" customHeight="false" outlineLevel="0" collapsed="false">
      <c r="A9" s="8" t="s">
        <v>629</v>
      </c>
      <c r="B9" s="4" t="s">
        <v>630</v>
      </c>
      <c r="C9" s="31" t="n">
        <v>199020.2375</v>
      </c>
      <c r="D9" s="31" t="n">
        <v>2843.14625</v>
      </c>
      <c r="E9" s="31" t="n">
        <v>30372.98074666</v>
      </c>
      <c r="F9" s="31" t="n">
        <v>-23118.9752256087</v>
      </c>
      <c r="G9" s="22" t="n">
        <v>-0.761169126548469</v>
      </c>
      <c r="H9" s="22" t="s">
        <v>624</v>
      </c>
      <c r="I9" s="22" t="s">
        <v>624</v>
      </c>
      <c r="J9" s="31" t="n">
        <v>-334258.739183352</v>
      </c>
      <c r="K9" s="33" t="s">
        <v>620</v>
      </c>
      <c r="L9" s="47" t="s">
        <v>624</v>
      </c>
      <c r="M9" s="8" t="s">
        <v>621</v>
      </c>
    </row>
    <row r="10" customFormat="false" ht="23.85" hidden="false" customHeight="false" outlineLevel="0" collapsed="false">
      <c r="A10" s="8" t="s">
        <v>631</v>
      </c>
      <c r="B10" s="4" t="s">
        <v>632</v>
      </c>
      <c r="C10" s="31" t="n">
        <v>261704.0260505</v>
      </c>
      <c r="D10" s="31" t="n">
        <v>3738.62894357857</v>
      </c>
      <c r="E10" s="31" t="n">
        <v>103556.460632537</v>
      </c>
      <c r="F10" s="31" t="n">
        <v>18318.0229648236</v>
      </c>
      <c r="G10" s="22" t="n">
        <v>0.176889233688894</v>
      </c>
      <c r="H10" s="22" t="n">
        <v>-0.00815842358351775</v>
      </c>
      <c r="I10" s="22" t="n">
        <v>-0.0895907988989726</v>
      </c>
      <c r="J10" s="31" t="n">
        <v>-164285.875286158</v>
      </c>
      <c r="K10" s="33" t="s">
        <v>620</v>
      </c>
      <c r="L10" s="47" t="n">
        <v>0.422708865493813</v>
      </c>
      <c r="M10" s="8" t="s">
        <v>621</v>
      </c>
    </row>
    <row r="11" customFormat="false" ht="15" hidden="false" customHeight="false" outlineLevel="0" collapsed="false">
      <c r="A11" s="8" t="s">
        <v>633</v>
      </c>
      <c r="B11" s="4" t="s">
        <v>634</v>
      </c>
      <c r="C11" s="31" t="n">
        <v>192832.8365</v>
      </c>
      <c r="D11" s="31" t="n">
        <v>2754.75480714286</v>
      </c>
      <c r="E11" s="31" t="n">
        <v>101073.842562668</v>
      </c>
      <c r="F11" s="31" t="n">
        <v>18885.4164626338</v>
      </c>
      <c r="G11" s="22" t="n">
        <v>0.186847714342357</v>
      </c>
      <c r="H11" s="22" t="n">
        <v>0.0228031849265228</v>
      </c>
      <c r="I11" s="22" t="n">
        <v>-0.0522407819062245</v>
      </c>
      <c r="J11" s="31" t="n">
        <v>-99751.5377204386</v>
      </c>
      <c r="K11" s="33" t="s">
        <v>620</v>
      </c>
      <c r="L11" s="47" t="n">
        <v>0.417217342902573</v>
      </c>
      <c r="M11" s="8" t="s">
        <v>621</v>
      </c>
    </row>
    <row r="12" customFormat="false" ht="23.85" hidden="false" customHeight="false" outlineLevel="0" collapsed="false">
      <c r="A12" s="8" t="s">
        <v>635</v>
      </c>
      <c r="B12" s="4" t="s">
        <v>636</v>
      </c>
      <c r="C12" s="31" t="n">
        <v>291421.71782</v>
      </c>
      <c r="D12" s="31" t="n">
        <v>2914.2171782</v>
      </c>
      <c r="E12" s="31" t="n">
        <v>250313.789628934</v>
      </c>
      <c r="F12" s="31" t="n">
        <v>102924.44398266</v>
      </c>
      <c r="G12" s="22" t="n">
        <v>0.411181677746305</v>
      </c>
      <c r="H12" s="22" t="n">
        <v>0.227521059562068</v>
      </c>
      <c r="I12" s="22" t="n">
        <v>0.206714893330251</v>
      </c>
      <c r="J12" s="31" t="n">
        <v>179259.988633485</v>
      </c>
      <c r="K12" s="33" t="n">
        <v>4.38842665486079</v>
      </c>
      <c r="L12" s="47" t="n">
        <v>0.0876916784732904</v>
      </c>
      <c r="M12" s="8" t="s">
        <v>637</v>
      </c>
    </row>
    <row r="13" customFormat="false" ht="23.85" hidden="false" customHeight="false" outlineLevel="0" collapsed="false">
      <c r="A13" s="8" t="s">
        <v>638</v>
      </c>
      <c r="B13" s="4" t="s">
        <v>639</v>
      </c>
      <c r="C13" s="31" t="n">
        <v>181963.5130875</v>
      </c>
      <c r="D13" s="31" t="n">
        <v>2021.81681208333</v>
      </c>
      <c r="E13" s="31" t="n">
        <v>48035.6467774305</v>
      </c>
      <c r="F13" s="31" t="n">
        <v>-15542.2660597179</v>
      </c>
      <c r="G13" s="22" t="n">
        <v>-0.323556922877126</v>
      </c>
      <c r="H13" s="22" t="n">
        <v>-0.193717177140485</v>
      </c>
      <c r="I13" s="22" t="s">
        <v>624</v>
      </c>
      <c r="J13" s="31" t="n">
        <v>-278109.27688978</v>
      </c>
      <c r="K13" s="33" t="s">
        <v>620</v>
      </c>
      <c r="L13" s="47" t="s">
        <v>624</v>
      </c>
      <c r="M13" s="8" t="s">
        <v>637</v>
      </c>
    </row>
    <row r="15" customFormat="false" ht="15" hidden="false" customHeight="false" outlineLevel="0" collapsed="false">
      <c r="A15" s="37" t="s">
        <v>640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2026-09-28T10:05:31Z</dcterms:created>
  <dc:creator>openpyxl</dc:creator>
  <dc:description/>
  <dc:language>en-US</dc:language>
  <cp:lastModifiedBy/>
  <dcterms:modified xsi:type="dcterms:W3CDTF">2026-09-28T10:05:33Z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
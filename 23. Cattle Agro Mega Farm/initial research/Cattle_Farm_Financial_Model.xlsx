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Assumptions" sheetId="2" state="visible" r:id="rId4"/>
    <sheet name="Scenarios" sheetId="3" state="visible" r:id="rId5"/>
    <sheet name="Capex" sheetId="4" state="visible" r:id="rId6"/>
    <sheet name="Herd" sheetId="5" state="visible" r:id="rId7"/>
    <sheet name="Revenue" sheetId="6" state="visible" r:id="rId8"/>
    <sheet name="Opex" sheetId="7" state="visible" r:id="rId9"/>
    <sheet name="PnL" sheetId="8" state="visible" r:id="rId10"/>
    <sheet name="CashFlow" sheetId="9" state="visible" r:id="rId11"/>
    <sheet name="Returns" sheetId="10" state="visible" r:id="rId12"/>
    <sheet name="Monthly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<sst xmlns="http://schemas.openxmlformats.org/spreadsheetml/2006/main" count="799" uniqueCount="595">
  <si>
    <t xml:space="preserve">Cattle Farm Financial Model (Dairy + Beef Cow-Calf)</t>
  </si>
  <si>
    <t xml:space="preserve">8-year projection.  All numbers are illustrative placeholders: replace them with local quotes and your own targets.</t>
  </si>
  <si>
    <t xml:space="preserve">HOW TO USE</t>
  </si>
  <si>
    <t xml:space="preserve">1</t>
  </si>
  <si>
    <t xml:space="preserve">Go to Assumptions and replace the blue inputs with your prices, herd sizes and costs. Yellow fill marks the biggest drivers.</t>
  </si>
  <si>
    <t xml:space="preserve">2</t>
  </si>
  <si>
    <t xml:space="preserve">Review the Capex sheet: get local quotes for each line. Livestock and infrastructure drive the investment.</t>
  </si>
  <si>
    <t xml:space="preserve">3</t>
  </si>
  <si>
    <t xml:space="preserve">Pick a scenario on the Scenarios sheet (1 Base, 2 Downside, 3 Upside) and edit the lever values to your own risk view.</t>
  </si>
  <si>
    <t xml:space="preserve">4</t>
  </si>
  <si>
    <t xml:space="preserve">Read results on Returns (IRR, NPV, payback, break-even), PnL (profit), CashFlow (loan and cash), and Monthly (Year 1 funding check).</t>
  </si>
  <si>
    <t xml:space="preserve">5</t>
  </si>
  <si>
    <t xml:space="preserve">Watch two warning flags: 'OVER CAPACITY' on the Herd sheet (herd larger than land can carry) and 'SHORTFALL' on Monthly (cash runs out).</t>
  </si>
  <si>
    <t xml:space="preserve">COLOUR CODE</t>
  </si>
  <si>
    <t xml:space="preserve">Blue text</t>
  </si>
  <si>
    <t xml:space="preserve">Input you can change</t>
  </si>
  <si>
    <t xml:space="preserve">Black text</t>
  </si>
  <si>
    <t xml:space="preserve">Formula</t>
  </si>
  <si>
    <t xml:space="preserve">Green text</t>
  </si>
  <si>
    <t xml:space="preserve">Link pulled from another sheet</t>
  </si>
  <si>
    <t xml:space="preserve">Yellow fill</t>
  </si>
  <si>
    <t xml:space="preserve">Key driver or cell you should look at first</t>
  </si>
  <si>
    <t xml:space="preserve">SHEETS</t>
  </si>
  <si>
    <t xml:space="preserve">Assumptions</t>
  </si>
  <si>
    <t xml:space="preserve">Every input: prices, yields, herd rates, costs, financing, tax.</t>
  </si>
  <si>
    <t xml:space="preserve">Scenarios</t>
  </si>
  <si>
    <t xml:space="preserve">Base / downside / upside levers for prices, feed cost, fertility, yields, mortality.</t>
  </si>
  <si>
    <t xml:space="preserve">Capex</t>
  </si>
  <si>
    <t xml:space="preserve">Itemised startup investment with depreciation lives.</t>
  </si>
  <si>
    <t xml:space="preserve">Herd</t>
  </si>
  <si>
    <t xml:space="preserve">Cows, calves, heifer retention, culls, milk litres and land capacity, year by year.</t>
  </si>
  <si>
    <t xml:space="preserve">Revenue</t>
  </si>
  <si>
    <t xml:space="preserve">Ten revenue streams: raw milk, processed dairy, bull calves, surplus heifers, cull cows, manure, weaners, beef culls, services, other income.</t>
  </si>
  <si>
    <t xml:space="preserve">Opex</t>
  </si>
  <si>
    <t xml:space="preserve">Feed, health, breeding, labour, overheads, land, contingency.</t>
  </si>
  <si>
    <t xml:space="preserve">PnL</t>
  </si>
  <si>
    <t xml:space="preserve">Income statement plus dairy and beef gross margins.</t>
  </si>
  <si>
    <t xml:space="preserve">CashFlow</t>
  </si>
  <si>
    <t xml:space="preserve">Loan schedule, project and equity cash flows, terminal value, DSCR.</t>
  </si>
  <si>
    <t xml:space="preserve">Returns</t>
  </si>
  <si>
    <t xml:space="preserve">Investment summary, IRR, NPV, payback, key-year KPIs, break-even prices, scenario snapshot, charts.</t>
  </si>
  <si>
    <t xml:space="preserve">Monthly</t>
  </si>
  <si>
    <t xml:space="preserve">Year 1 monthly cash flow to size the working capital reserve.</t>
  </si>
  <si>
    <t xml:space="preserve">KEY MODELLING CHOICES</t>
  </si>
  <si>
    <t xml:space="preserve">Heifers retained in year t enter the cow herd in year t+2. Attrition applies to opening cows. Milk is produced by cows that calve.</t>
  </si>
  <si>
    <t xml:space="preserve">Terminal value</t>
  </si>
  <si>
    <t xml:space="preserve">Year 8 herd (at a haircut), land if bought and the working capital reserve are added back. Infrastructure resale is ignored. Switch off on Assumptions.</t>
  </si>
  <si>
    <t xml:space="preserve">Depreciation</t>
  </si>
  <si>
    <t xml:space="preserve">Straight line. Only purchased foundation animals are capitalised; homebred replacements are not.</t>
  </si>
  <si>
    <t xml:space="preserve">Tax</t>
  </si>
  <si>
    <t xml:space="preserve">Simple: tax on positive profit, no loss carry-forward. Check local farm tax rules.</t>
  </si>
  <si>
    <t xml:space="preserve">Inflation</t>
  </si>
  <si>
    <t xml:space="preserve">Prices and costs escalate at the rates on Assumptions. Discount rate is nominal.</t>
  </si>
  <si>
    <t xml:space="preserve">Not modelled</t>
  </si>
  <si>
    <t xml:space="preserve">VAT, exchange-rate moves, land title costs, biogas, feedlot finishing of purchased animals, and drought-year herd losses beyond the downside scenario.</t>
  </si>
  <si>
    <t xml:space="preserve">Disclaimer</t>
  </si>
  <si>
    <t xml:space="preserve">This is a planning tool, not financial advice. Input values are generic placeholders, not local market data. Validate with a farm advisor, your lender and local extension officers.</t>
  </si>
  <si>
    <t xml:space="preserve">Assumptions (all inputs live here)</t>
  </si>
  <si>
    <t xml:space="preserve">Blue = input you can change.  Yellow fill = key driver.  All amounts are in one currency (label below). Values are indicative placeholders, replace with local quotes.</t>
  </si>
  <si>
    <t xml:space="preserve">Assumption</t>
  </si>
  <si>
    <t xml:space="preserve">Unit</t>
  </si>
  <si>
    <t xml:space="preserve">Value</t>
  </si>
  <si>
    <t xml:space="preserve">Note / basis</t>
  </si>
  <si>
    <t xml:space="preserve">1. General and financial</t>
  </si>
  <si>
    <t xml:space="preserve">Currency label</t>
  </si>
  <si>
    <t xml:space="preserve">text</t>
  </si>
  <si>
    <t xml:space="preserve">USD</t>
  </si>
  <si>
    <t xml:space="preserve">Labels only. If you switch to local currency, update every price/cost and the rates below.</t>
  </si>
  <si>
    <t xml:space="preserve">Projection horizon</t>
  </si>
  <si>
    <t xml:space="preserve">years</t>
  </si>
  <si>
    <t xml:space="preserve">Fixed at 8 (model columns). Do not change.</t>
  </si>
  <si>
    <t xml:space="preserve">Discount rate (nominal)</t>
  </si>
  <si>
    <t xml:space="preserve">%</t>
  </si>
  <si>
    <t xml:space="preserve">Cost of capital / hurdle rate. Use local nominal rate if working in local currency.</t>
  </si>
  <si>
    <t xml:space="preserve">Income tax rate</t>
  </si>
  <si>
    <t xml:space="preserve">Placeholder. Check local rules: many countries exempt or reduce tax on farming for several years.</t>
  </si>
  <si>
    <t xml:space="preserve">Milk price inflation</t>
  </si>
  <si>
    <t xml:space="preserve">% p.a.</t>
  </si>
  <si>
    <t xml:space="preserve">Escalates milk price from Year 2.</t>
  </si>
  <si>
    <t xml:space="preserve">Animal price inflation</t>
  </si>
  <si>
    <t xml:space="preserve">Escalates calf, heifer and cull prices.</t>
  </si>
  <si>
    <t xml:space="preserve">Cost inflation</t>
  </si>
  <si>
    <t xml:space="preserve">Escalates feed, labour, vet, overheads and other income.</t>
  </si>
  <si>
    <t xml:space="preserve">Include terminal value? (1 = yes, 0 = no)</t>
  </si>
  <si>
    <t xml:space="preserve">switch</t>
  </si>
  <si>
    <t xml:space="preserve">Herd, land (if bought) and working capital reserve recovered in Year 8. Infrastructure resale ignored (conservative).</t>
  </si>
  <si>
    <t xml:space="preserve">Herd terminal value as % of replacement price</t>
  </si>
  <si>
    <t xml:space="preserve">Discount to reflect age and forced-sale risk.</t>
  </si>
  <si>
    <t xml:space="preserve">Land value growth (if bought)</t>
  </si>
  <si>
    <t xml:space="preserve">Working capital reserve</t>
  </si>
  <si>
    <t xml:space="preserve">months of Y1 opex</t>
  </si>
  <si>
    <t xml:space="preserve">Cash held at start to fund feed, wages and vet before revenue builds.</t>
  </si>
  <si>
    <t xml:space="preserve">2. Financing</t>
  </si>
  <si>
    <t xml:space="preserve">Loan as % of capex (excl. working capital)</t>
  </si>
  <si>
    <t xml:space="preserve">Set 0 for all-equity. Loan is drawn in Year 0.</t>
  </si>
  <si>
    <t xml:space="preserve">Loan interest rate</t>
  </si>
  <si>
    <t xml:space="preserve">Interest on opening balance.</t>
  </si>
  <si>
    <t xml:space="preserve">Loan tenor (max 8)</t>
  </si>
  <si>
    <t xml:space="preserve">Principal repaid in equal instalments after grace period.</t>
  </si>
  <si>
    <t xml:space="preserve">Grace period (principal)</t>
  </si>
  <si>
    <t xml:space="preserve">Interest still paid during grace.</t>
  </si>
  <si>
    <t xml:space="preserve">3. Land</t>
  </si>
  <si>
    <t xml:space="preserve">Total land available</t>
  </si>
  <si>
    <t xml:space="preserve">ha</t>
  </si>
  <si>
    <t xml:space="preserve">Pasture + fodder plots + buildings.</t>
  </si>
  <si>
    <t xml:space="preserve">Buy land? (1 = buy, 0 = lease)</t>
  </si>
  <si>
    <t xml:space="preserve">If 1, land price goes into capex and no lease is paid.</t>
  </si>
  <si>
    <t xml:space="preserve">Land lease rate</t>
  </si>
  <si>
    <t xml:space="preserve">per ha / yr</t>
  </si>
  <si>
    <t xml:space="preserve">Land purchase price</t>
  </si>
  <si>
    <t xml:space="preserve">per ha</t>
  </si>
  <si>
    <t xml:space="preserve">Grazing land per beef cow (incl. followers)</t>
  </si>
  <si>
    <t xml:space="preserve">ha / cow</t>
  </si>
  <si>
    <t xml:space="preserve">Depends on rainfall and pasture quality: 1-4 ha typical in tropics.</t>
  </si>
  <si>
    <t xml:space="preserve">Fodder land per dairy cow (zero/semi-grazing)</t>
  </si>
  <si>
    <t xml:space="preserve">Napier, maize silage, hay.</t>
  </si>
  <si>
    <t xml:space="preserve">4. Dairy herd</t>
  </si>
  <si>
    <t xml:space="preserve">Dairy cows at start</t>
  </si>
  <si>
    <t xml:space="preserve">head</t>
  </si>
  <si>
    <t xml:space="preserve">Crossbred (e.g. Friesian x Zebu) in-calf heifers or cows.</t>
  </si>
  <si>
    <t xml:space="preserve">Purchase price per dairy cow</t>
  </si>
  <si>
    <t xml:space="preserve">per head</t>
  </si>
  <si>
    <t xml:space="preserve">Replace with local quote.</t>
  </si>
  <si>
    <t xml:space="preserve">Dairy calving rate</t>
  </si>
  <si>
    <t xml:space="preserve">% cows / yr</t>
  </si>
  <si>
    <t xml:space="preserve">Calves born per cow per year.</t>
  </si>
  <si>
    <t xml:space="preserve">Milk per lactation (305 days)</t>
  </si>
  <si>
    <t xml:space="preserve">litres / cow</t>
  </si>
  <si>
    <t xml:space="preserve">About 11.5 L/day average. Indigenous types: 800-1500. Good crossbreds: 3000-5000.</t>
  </si>
  <si>
    <t xml:space="preserve">Dairy cull rate</t>
  </si>
  <si>
    <t xml:space="preserve">Sold as cull cows.</t>
  </si>
  <si>
    <t xml:space="preserve">Dairy cow mortality</t>
  </si>
  <si>
    <t xml:space="preserve">Dairy calf mortality</t>
  </si>
  <si>
    <t xml:space="preserve">% born</t>
  </si>
  <si>
    <t xml:space="preserve">Birth to sale/weaning.</t>
  </si>
  <si>
    <t xml:space="preserve">Female share of calves</t>
  </si>
  <si>
    <t xml:space="preserve">Applies to both herds.</t>
  </si>
  <si>
    <t xml:space="preserve">Dairy heifers retained as replacements</t>
  </si>
  <si>
    <t xml:space="preserve">% of heifers</t>
  </si>
  <si>
    <t xml:space="preserve">Rest sold. Retained heifers join the milking herd 2 years later.</t>
  </si>
  <si>
    <t xml:space="preserve">Dairy bull calf sale price</t>
  </si>
  <si>
    <t xml:space="preserve">Sold at ~3 months.</t>
  </si>
  <si>
    <t xml:space="preserve">Surplus dairy heifer sale price</t>
  </si>
  <si>
    <t xml:space="preserve">Sold at ~6 months. Higher if sold in-calf.</t>
  </si>
  <si>
    <t xml:space="preserve">Dairy cull cow price</t>
  </si>
  <si>
    <t xml:space="preserve">5. Beef herd</t>
  </si>
  <si>
    <t xml:space="preserve">Beef cows at start</t>
  </si>
  <si>
    <t xml:space="preserve">Cow-calf herd.</t>
  </si>
  <si>
    <t xml:space="preserve">Purchase price per beef cow</t>
  </si>
  <si>
    <t xml:space="preserve">Breeding bulls</t>
  </si>
  <si>
    <t xml:space="preserve">About 1 bull per 25 cows.</t>
  </si>
  <si>
    <t xml:space="preserve">Price per bull</t>
  </si>
  <si>
    <t xml:space="preserve">Bull working life</t>
  </si>
  <si>
    <t xml:space="preserve">Used for annual replacement provision.</t>
  </si>
  <si>
    <t xml:space="preserve">Beef calving rate</t>
  </si>
  <si>
    <t xml:space="preserve">Beef calf mortality</t>
  </si>
  <si>
    <t xml:space="preserve">Beef cull rate</t>
  </si>
  <si>
    <t xml:space="preserve">Beef cow mortality</t>
  </si>
  <si>
    <t xml:space="preserve">Beef heifers retained</t>
  </si>
  <si>
    <t xml:space="preserve">Weaning weight</t>
  </si>
  <si>
    <t xml:space="preserve">kg live</t>
  </si>
  <si>
    <t xml:space="preserve">At ~7 months. Indigenous 110-150; crossbred 170-220.</t>
  </si>
  <si>
    <t xml:space="preserve">Weaner price</t>
  </si>
  <si>
    <t xml:space="preserve">per kg live</t>
  </si>
  <si>
    <t xml:space="preserve">Local market price per kg live weight.</t>
  </si>
  <si>
    <t xml:space="preserve">Cull cow live weight</t>
  </si>
  <si>
    <t xml:space="preserve">kg</t>
  </si>
  <si>
    <t xml:space="preserve">Cull cow price</t>
  </si>
  <si>
    <t xml:space="preserve">6. Milk products and other revenue</t>
  </si>
  <si>
    <t xml:space="preserve">Farm-gate milk price (Year 1)</t>
  </si>
  <si>
    <t xml:space="preserve">per litre</t>
  </si>
  <si>
    <t xml:space="preserve">Chilled, quality-tested milk sold to processor/urban buyers.</t>
  </si>
  <si>
    <t xml:space="preserve">Share of milk processed on farm</t>
  </si>
  <si>
    <t xml:space="preserve">% of litres</t>
  </si>
  <si>
    <t xml:space="preserve">Yoghurt, ghee, cheese. Set 0 to sell all raw.</t>
  </si>
  <si>
    <t xml:space="preserve">Processed product price vs raw milk</t>
  </si>
  <si>
    <t xml:space="preserve">x</t>
  </si>
  <si>
    <t xml:space="preserve">Price per litre-equivalent of processed product / raw price.</t>
  </si>
  <si>
    <t xml:space="preserve">Processing and packaging cost</t>
  </si>
  <si>
    <t xml:space="preserve">per litre processed</t>
  </si>
  <si>
    <t xml:space="preserve">Cooling and transport of milk</t>
  </si>
  <si>
    <t xml:space="preserve">Sellable manure per dairy cow</t>
  </si>
  <si>
    <t xml:space="preserve">tonnes / yr</t>
  </si>
  <si>
    <t xml:space="preserve">Collected from housed animals.</t>
  </si>
  <si>
    <t xml:space="preserve">Manure price</t>
  </si>
  <si>
    <t xml:space="preserve">per tonne</t>
  </si>
  <si>
    <t xml:space="preserve">AI / bull services sold to neighbours</t>
  </si>
  <si>
    <t xml:space="preserve">services / yr</t>
  </si>
  <si>
    <t xml:space="preserve">Optional service income.</t>
  </si>
  <si>
    <t xml:space="preserve">Fee per service</t>
  </si>
  <si>
    <t xml:space="preserve">per service</t>
  </si>
  <si>
    <t xml:space="preserve">Other income (grants, hides, agro-tourism)</t>
  </si>
  <si>
    <t xml:space="preserve">per yr</t>
  </si>
  <si>
    <t xml:space="preserve">Enter if applicable.</t>
  </si>
  <si>
    <t xml:space="preserve">7. Feeding and health costs (Year 1 prices)</t>
  </si>
  <si>
    <t xml:space="preserve">Concentrate fed per litre of milk</t>
  </si>
  <si>
    <t xml:space="preserve">kg / L</t>
  </si>
  <si>
    <t xml:space="preserve">About 1 kg per 3 L.</t>
  </si>
  <si>
    <t xml:space="preserve">Concentrate price</t>
  </si>
  <si>
    <t xml:space="preserve">per kg</t>
  </si>
  <si>
    <t xml:space="preserve">Dairy forage (own-grown or bought)</t>
  </si>
  <si>
    <t xml:space="preserve">per cow / yr</t>
  </si>
  <si>
    <t xml:space="preserve">Napier, silage, hay.</t>
  </si>
  <si>
    <t xml:space="preserve">Dairy minerals and salt</t>
  </si>
  <si>
    <t xml:space="preserve">Beef supplementary feed (dry season)</t>
  </si>
  <si>
    <t xml:space="preserve">Hay, cake, molasses.</t>
  </si>
  <si>
    <t xml:space="preserve">Beef minerals and salt</t>
  </si>
  <si>
    <t xml:space="preserve">Heifer rearing cost (feed + health)</t>
  </si>
  <si>
    <t xml:space="preserve">per head-year</t>
  </si>
  <si>
    <t xml:space="preserve">Retained heifers until they join the herd.</t>
  </si>
  <si>
    <t xml:space="preserve">Dairy calf rearing (milk replacer, starter)</t>
  </si>
  <si>
    <t xml:space="preserve">per calf</t>
  </si>
  <si>
    <t xml:space="preserve">Beef calf creep feed</t>
  </si>
  <si>
    <t xml:space="preserve">Dairy vet and drugs</t>
  </si>
  <si>
    <t xml:space="preserve">Vaccines, dips, dewormers, mastitis control.</t>
  </si>
  <si>
    <t xml:space="preserve">Beef vet and drugs</t>
  </si>
  <si>
    <t xml:space="preserve">Dairy AI / breeding cost</t>
  </si>
  <si>
    <t xml:space="preserve">Semen and technician.</t>
  </si>
  <si>
    <t xml:space="preserve">8. Labour and overheads (Year 1 prices)</t>
  </si>
  <si>
    <t xml:space="preserve">Farm managers</t>
  </si>
  <si>
    <t xml:space="preserve">people</t>
  </si>
  <si>
    <t xml:space="preserve">Set 0 if the owner manages (but value own time).</t>
  </si>
  <si>
    <t xml:space="preserve">Manager salary</t>
  </si>
  <si>
    <t xml:space="preserve">per month</t>
  </si>
  <si>
    <t xml:space="preserve">Herdsman wage</t>
  </si>
  <si>
    <t xml:space="preserve">Minimum herdsmen</t>
  </si>
  <si>
    <t xml:space="preserve">Workload units per herdsman</t>
  </si>
  <si>
    <t xml:space="preserve">units</t>
  </si>
  <si>
    <t xml:space="preserve">Dairy cow = 1 unit.</t>
  </si>
  <si>
    <t xml:space="preserve">Workload of a beef cow</t>
  </si>
  <si>
    <t xml:space="preserve">Workload of a rearing heifer</t>
  </si>
  <si>
    <t xml:space="preserve">Benefits and social charges</t>
  </si>
  <si>
    <t xml:space="preserve">% of wages</t>
  </si>
  <si>
    <t xml:space="preserve">Casual labour (planting, silage, fencing)</t>
  </si>
  <si>
    <t xml:space="preserve">Water, power and utilities (fixed)</t>
  </si>
  <si>
    <t xml:space="preserve">Utilities per dairy cow</t>
  </si>
  <si>
    <t xml:space="preserve">Milking, cooling, water pumping.</t>
  </si>
  <si>
    <t xml:space="preserve">Fuel, transport and vehicle running</t>
  </si>
  <si>
    <t xml:space="preserve">Marketing and haulage per animal sold</t>
  </si>
  <si>
    <t xml:space="preserve">Livestock insurance</t>
  </si>
  <si>
    <t xml:space="preserve">% of herd value</t>
  </si>
  <si>
    <t xml:space="preserve">Set 0 if uninsured.</t>
  </si>
  <si>
    <t xml:space="preserve">Repairs and maintenance</t>
  </si>
  <si>
    <t xml:space="preserve">% of infrastructure capex</t>
  </si>
  <si>
    <t xml:space="preserve">Admin, licences, accounting</t>
  </si>
  <si>
    <t xml:space="preserve">Opex contingency</t>
  </si>
  <si>
    <t xml:space="preserve">% of opex</t>
  </si>
  <si>
    <t xml:space="preserve">Excludes land lease.</t>
  </si>
  <si>
    <t xml:space="preserve">9. Investment extras</t>
  </si>
  <si>
    <t xml:space="preserve">Dairy shed area per cow</t>
  </si>
  <si>
    <t xml:space="preserve">sq m</t>
  </si>
  <si>
    <t xml:space="preserve">Capex contingency (on non-livestock, non-land items)</t>
  </si>
  <si>
    <t xml:space="preserve">Replacement heifers bought at start</t>
  </si>
  <si>
    <t xml:space="preserve">% of foundation cows</t>
  </si>
  <si>
    <t xml:space="preserve">Yearling heifers bought with the foundation herd; they join the cow herd in Year 2 and prevent a herd dip while your own heifers grow.</t>
  </si>
  <si>
    <t xml:space="preserve">Yearling heifer price as % of cow price</t>
  </si>
  <si>
    <t xml:space="preserve">Expansion cost per extra dairy cow</t>
  </si>
  <si>
    <t xml:space="preserve">per cow</t>
  </si>
  <si>
    <t xml:space="preserve">Housing, water, milking capacity when herd grows.</t>
  </si>
  <si>
    <t xml:space="preserve">Expansion cost per extra beef cow</t>
  </si>
  <si>
    <t xml:space="preserve">Fencing, water points, handling.</t>
  </si>
  <si>
    <t xml:space="preserve">Depreciation life of expansion capex</t>
  </si>
  <si>
    <t xml:space="preserve">Depreciation life of purchased livestock</t>
  </si>
  <si>
    <t xml:space="preserve">Purchased foundation animals only (homebred replacements not capitalised).</t>
  </si>
  <si>
    <t xml:space="preserve">Livestock salvage value</t>
  </si>
  <si>
    <t xml:space="preserve">% of cost</t>
  </si>
  <si>
    <t xml:space="preserve">Cull value at end of life.</t>
  </si>
  <si>
    <t xml:space="preserve">Scenario selector</t>
  </si>
  <si>
    <t xml:space="preserve">Choose 1 = Base, 2 = Downside, 3 = Upside. The 'Active' column feeds the whole model.</t>
  </si>
  <si>
    <t xml:space="preserve">Active scenario (1 / 2 / 3)</t>
  </si>
  <si>
    <t xml:space="preserve">Lever</t>
  </si>
  <si>
    <t xml:space="preserve">Applies to</t>
  </si>
  <si>
    <t xml:space="preserve">Base</t>
  </si>
  <si>
    <t xml:space="preserve">Downside</t>
  </si>
  <si>
    <t xml:space="preserve">Upside</t>
  </si>
  <si>
    <t xml:space="preserve">Active</t>
  </si>
  <si>
    <t xml:space="preserve">Milk price multiplier</t>
  </si>
  <si>
    <t xml:space="preserve">Raw and processed milk price</t>
  </si>
  <si>
    <t xml:space="preserve">Animal price multiplier</t>
  </si>
  <si>
    <t xml:space="preserve">Calves, heifers, cull cows</t>
  </si>
  <si>
    <t xml:space="preserve">Feed cost multiplier</t>
  </si>
  <si>
    <t xml:space="preserve">All feed lines</t>
  </si>
  <si>
    <t xml:space="preserve">Other cost multiplier</t>
  </si>
  <si>
    <t xml:space="preserve">Health, labour, overheads</t>
  </si>
  <si>
    <t xml:space="preserve">Calving rate change (points)</t>
  </si>
  <si>
    <t xml:space="preserve">Added to both herds' calving rates</t>
  </si>
  <si>
    <t xml:space="preserve">Milk yield multiplier</t>
  </si>
  <si>
    <t xml:space="preserve">Litres per lactation</t>
  </si>
  <si>
    <t xml:space="preserve">Mortality multiplier</t>
  </si>
  <si>
    <t xml:space="preserve">Cow and calf mortality</t>
  </si>
  <si>
    <t xml:space="preserve">Downside and upside multipliers are illustrative. Replace with values reflecting your own risk view (e.g. a drought year, feed price spike, disease outbreak).</t>
  </si>
  <si>
    <t xml:space="preserve">Capital expenditure (Year 0 investment)</t>
  </si>
  <si>
    <t xml:space="preserve">Quantity x unit cost.  Blue = input.  Depreciation is straight line over the life shown (0 = not depreciated).</t>
  </si>
  <si>
    <t xml:space="preserve">Item</t>
  </si>
  <si>
    <t xml:space="preserve">Category</t>
  </si>
  <si>
    <t xml:space="preserve">Qty</t>
  </si>
  <si>
    <t xml:space="preserve">Unit cost</t>
  </si>
  <si>
    <t xml:space="preserve">Total</t>
  </si>
  <si>
    <t xml:space="preserve">Life (yrs)</t>
  </si>
  <si>
    <t xml:space="preserve">Salvage %</t>
  </si>
  <si>
    <t xml:space="preserve">Annual dep.</t>
  </si>
  <si>
    <t xml:space="preserve">Dairy foundation cows (crossbred, in-calf)</t>
  </si>
  <si>
    <t xml:space="preserve">Livestock</t>
  </si>
  <si>
    <t xml:space="preserve">Beef foundation cows</t>
  </si>
  <si>
    <t xml:space="preserve">Replacement dairy heifers bought at start (yearlings)</t>
  </si>
  <si>
    <t xml:space="preserve">Replacement beef heifers bought at start (yearlings)</t>
  </si>
  <si>
    <t xml:space="preserve">Transport, quarantine and disease screening</t>
  </si>
  <si>
    <t xml:space="preserve">Dairy cow shed</t>
  </si>
  <si>
    <t xml:space="preserve">Buildings</t>
  </si>
  <si>
    <t xml:space="preserve">Calf pens and maternity paddock shelter</t>
  </si>
  <si>
    <t xml:space="preserve">Milking parlour and milk room</t>
  </si>
  <si>
    <t xml:space="preserve">Feed and hay store</t>
  </si>
  <si>
    <t xml:space="preserve">Staff house and farm office</t>
  </si>
  <si>
    <t xml:space="preserve">lump</t>
  </si>
  <si>
    <t xml:space="preserve">Concrete yards and drainage</t>
  </si>
  <si>
    <t xml:space="preserve">Borehole, pump, tank and piping</t>
  </si>
  <si>
    <t xml:space="preserve">Water</t>
  </si>
  <si>
    <t xml:space="preserve">Troughs and field water points</t>
  </si>
  <si>
    <t xml:space="preserve">no.</t>
  </si>
  <si>
    <t xml:space="preserve">Cattle crush, race and holding pens</t>
  </si>
  <si>
    <t xml:space="preserve">Equipment</t>
  </si>
  <si>
    <t xml:space="preserve">Dip / spray race or sprayers</t>
  </si>
  <si>
    <t xml:space="preserve">Milking machine or bucket milking units</t>
  </si>
  <si>
    <t xml:space="preserve">Milk cooling tank (500 L) and cans</t>
  </si>
  <si>
    <t xml:space="preserve">Chaff cutter / forage chopper</t>
  </si>
  <si>
    <t xml:space="preserve">Scales, tools and small equipment</t>
  </si>
  <si>
    <t xml:space="preserve">Solar / generator backup</t>
  </si>
  <si>
    <t xml:space="preserve">Perimeter fence</t>
  </si>
  <si>
    <t xml:space="preserve">Fencing</t>
  </si>
  <si>
    <t xml:space="preserve">m</t>
  </si>
  <si>
    <t xml:space="preserve">Paddock subdivisions and electric fencing</t>
  </si>
  <si>
    <t xml:space="preserve">Land purchase (only if 'buy' switch = 1)</t>
  </si>
  <si>
    <t xml:space="preserve">Land</t>
  </si>
  <si>
    <t xml:space="preserve">Pasture improvement / oversowing</t>
  </si>
  <si>
    <t xml:space="preserve">Pasture</t>
  </si>
  <si>
    <t xml:space="preserve">Fodder plots (Napier, legumes) establishment</t>
  </si>
  <si>
    <t xml:space="preserve">Used pick-up truck</t>
  </si>
  <si>
    <t xml:space="preserve">Vehicles</t>
  </si>
  <si>
    <t xml:space="preserve">Motorbikes</t>
  </si>
  <si>
    <t xml:space="preserve">Trailer for animals and fodder</t>
  </si>
  <si>
    <t xml:space="preserve">Registration, licences, legal, health certificates</t>
  </si>
  <si>
    <t xml:space="preserve">Pre-operating</t>
  </si>
  <si>
    <t xml:space="preserve">Recruitment and training</t>
  </si>
  <si>
    <t xml:space="preserve">Contingency on non-livestock, non-land items</t>
  </si>
  <si>
    <t xml:space="preserve">Contingency</t>
  </si>
  <si>
    <t xml:space="preserve">TOTAL INITIAL CAPEX</t>
  </si>
  <si>
    <t xml:space="preserve">Summary by category</t>
  </si>
  <si>
    <t xml:space="preserve">Amount</t>
  </si>
  <si>
    <t xml:space="preserve">% of total</t>
  </si>
  <si>
    <t xml:space="preserve">Infrastructure base for repairs (buildings, water, equipment, fencing, vehicles)</t>
  </si>
  <si>
    <t xml:space="preserve">All unit costs are placeholders. Get 2-3 local quotes for every major line (shed, borehole, milking equipment, animals) before committing.</t>
  </si>
  <si>
    <t xml:space="preserve">Herd dynamics (head)</t>
  </si>
  <si>
    <t xml:space="preserve">Heifers retained in year t join the cow herd at the start of year t+2.  Attrition (culls + deaths) is applied to opening cows.</t>
  </si>
  <si>
    <t xml:space="preserve">Line item</t>
  </si>
  <si>
    <t xml:space="preserve">DAIRY HERD</t>
  </si>
  <si>
    <t xml:space="preserve">Dairy cows (opening)</t>
  </si>
  <si>
    <t xml:space="preserve">Attrition rate (cull + mortality)</t>
  </si>
  <si>
    <t xml:space="preserve">Calving rate (scenario-adjusted)</t>
  </si>
  <si>
    <t xml:space="preserve">Calves born</t>
  </si>
  <si>
    <t xml:space="preserve">Calves surviving</t>
  </si>
  <si>
    <t xml:space="preserve">Bull calves (sold)</t>
  </si>
  <si>
    <t xml:space="preserve">Heifer calves</t>
  </si>
  <si>
    <t xml:space="preserve">Heifers retained (Year 0 = bought at start)</t>
  </si>
  <si>
    <t xml:space="preserve">Surplus heifers sold</t>
  </si>
  <si>
    <t xml:space="preserve">Cull cows sold</t>
  </si>
  <si>
    <t xml:space="preserve">Cow deaths</t>
  </si>
  <si>
    <t xml:space="preserve">Heifers in rearing (head-years)</t>
  </si>
  <si>
    <t xml:space="preserve">hd-yr</t>
  </si>
  <si>
    <t xml:space="preserve">Milk produced</t>
  </si>
  <si>
    <t xml:space="preserve">litres</t>
  </si>
  <si>
    <t xml:space="preserve">BEEF HERD</t>
  </si>
  <si>
    <t xml:space="preserve">Beef cows (opening)</t>
  </si>
  <si>
    <t xml:space="preserve">Calves surviving to weaning</t>
  </si>
  <si>
    <t xml:space="preserve">Weaners sold (both sexes)</t>
  </si>
  <si>
    <t xml:space="preserve">Weaner live weight sold</t>
  </si>
  <si>
    <t xml:space="preserve">TOTALS AND LAND CAPACITY</t>
  </si>
  <si>
    <t xml:space="preserve">Total breeding cows</t>
  </si>
  <si>
    <t xml:space="preserve">Total heifers in rearing</t>
  </si>
  <si>
    <t xml:space="preserve">Animals sold (all classes)</t>
  </si>
  <si>
    <t xml:space="preserve">Land required</t>
  </si>
  <si>
    <t xml:space="preserve">Land available</t>
  </si>
  <si>
    <t xml:space="preserve">Land utilisation</t>
  </si>
  <si>
    <t xml:space="preserve">Capacity check</t>
  </si>
  <si>
    <t xml:space="preserve">Revenue streams (currency units)</t>
  </si>
  <si>
    <t xml:space="preserve">Prices escalate with the inflation inputs and are multiplied by the active scenario levers.</t>
  </si>
  <si>
    <t xml:space="preserve">PRICE INDICES</t>
  </si>
  <si>
    <t xml:space="preserve">Milk price index</t>
  </si>
  <si>
    <t xml:space="preserve">index</t>
  </si>
  <si>
    <t xml:space="preserve">Animal price index</t>
  </si>
  <si>
    <t xml:space="preserve">General cost / other-income index</t>
  </si>
  <si>
    <t xml:space="preserve">DAIRY ENTERPRISE</t>
  </si>
  <si>
    <t xml:space="preserve">Raw milk sales</t>
  </si>
  <si>
    <t xml:space="preserve">Processed dairy products (yoghurt, ghee, cheese)</t>
  </si>
  <si>
    <t xml:space="preserve">Dairy bull calf sales</t>
  </si>
  <si>
    <t xml:space="preserve">Surplus dairy heifer sales</t>
  </si>
  <si>
    <t xml:space="preserve">Dairy cull cow sales</t>
  </si>
  <si>
    <t xml:space="preserve">Manure sales</t>
  </si>
  <si>
    <t xml:space="preserve">BEEF ENTERPRISE</t>
  </si>
  <si>
    <t xml:space="preserve">Beef weaner sales</t>
  </si>
  <si>
    <t xml:space="preserve">Beef cull cow sales</t>
  </si>
  <si>
    <t xml:space="preserve">OTHER INCOME</t>
  </si>
  <si>
    <t xml:space="preserve">AI / bull service income</t>
  </si>
  <si>
    <t xml:space="preserve">Grants and other income</t>
  </si>
  <si>
    <t xml:space="preserve">TOTALS</t>
  </si>
  <si>
    <t xml:space="preserve">TOTAL REVENUE</t>
  </si>
  <si>
    <t xml:space="preserve">Revenue growth</t>
  </si>
  <si>
    <t xml:space="preserve">  of which dairy enterprise</t>
  </si>
  <si>
    <t xml:space="preserve">  of which beef enterprise</t>
  </si>
  <si>
    <t xml:space="preserve">  of which other income</t>
  </si>
  <si>
    <t xml:space="preserve">Milk and dairy products share</t>
  </si>
  <si>
    <t xml:space="preserve">Animal sales share</t>
  </si>
  <si>
    <t xml:space="preserve">Manure, services, other share</t>
  </si>
  <si>
    <t xml:space="preserve">Operating costs (currency units)</t>
  </si>
  <si>
    <t xml:space="preserve">Feed lines use the feed multiplier; other lines use the other-cost multiplier (Scenarios sheet).</t>
  </si>
  <si>
    <t xml:space="preserve">COST INDEX AND LABOUR SIZING</t>
  </si>
  <si>
    <t xml:space="preserve">General cost index</t>
  </si>
  <si>
    <t xml:space="preserve">Workload units</t>
  </si>
  <si>
    <t xml:space="preserve">Herdsmen required</t>
  </si>
  <si>
    <t xml:space="preserve">DAIRY DIRECT COSTS</t>
  </si>
  <si>
    <t xml:space="preserve">Concentrate feed</t>
  </si>
  <si>
    <t xml:space="preserve">Forage and minerals (dairy cows)</t>
  </si>
  <si>
    <t xml:space="preserve">Dairy heifer rearing</t>
  </si>
  <si>
    <t xml:space="preserve">Dairy calf rearing</t>
  </si>
  <si>
    <t xml:space="preserve">Dairy veterinary and drugs</t>
  </si>
  <si>
    <t xml:space="preserve">Artificial insemination</t>
  </si>
  <si>
    <t xml:space="preserve">Milk processing and packaging</t>
  </si>
  <si>
    <t xml:space="preserve">Milk cooling and transport</t>
  </si>
  <si>
    <t xml:space="preserve">BEEF DIRECT COSTS</t>
  </si>
  <si>
    <t xml:space="preserve">Beef cow supplementary feed and minerals</t>
  </si>
  <si>
    <t xml:space="preserve">Beef heifer rearing</t>
  </si>
  <si>
    <t xml:space="preserve">Beef veterinary and drugs</t>
  </si>
  <si>
    <t xml:space="preserve">LABOUR</t>
  </si>
  <si>
    <t xml:space="preserve">Wages, benefits and casual labour</t>
  </si>
  <si>
    <t xml:space="preserve">OVERHEADS</t>
  </si>
  <si>
    <t xml:space="preserve">Water, power and utilities</t>
  </si>
  <si>
    <t xml:space="preserve">Fuel and vehicle running</t>
  </si>
  <si>
    <t xml:space="preserve">Marketing and haulage</t>
  </si>
  <si>
    <t xml:space="preserve">Bull replacement provision</t>
  </si>
  <si>
    <t xml:space="preserve">LAND</t>
  </si>
  <si>
    <t xml:space="preserve">Land lease</t>
  </si>
  <si>
    <t xml:space="preserve">CONTINGENCY AND TOTAL</t>
  </si>
  <si>
    <t xml:space="preserve">TOTAL OPERATING COSTS</t>
  </si>
  <si>
    <t xml:space="preserve">COST STRUCTURE</t>
  </si>
  <si>
    <t xml:space="preserve">Feed and rearing</t>
  </si>
  <si>
    <t xml:space="preserve">Health and breeding</t>
  </si>
  <si>
    <t xml:space="preserve">Labour</t>
  </si>
  <si>
    <t xml:space="preserve">Overheads, processing and marketing</t>
  </si>
  <si>
    <t xml:space="preserve">Feed and rearing as % of total</t>
  </si>
  <si>
    <t xml:space="preserve">Labour as % of total</t>
  </si>
  <si>
    <t xml:space="preserve">Income statement and enterprise margins (currency units)</t>
  </si>
  <si>
    <t xml:space="preserve">Depreciation: initial capex per Capex sheet plus expansion capex over its life.  Tax is not carried forward on losses (conservative).</t>
  </si>
  <si>
    <t xml:space="preserve">INCOME STATEMENT</t>
  </si>
  <si>
    <t xml:space="preserve">Operating costs</t>
  </si>
  <si>
    <t xml:space="preserve">EBITDA</t>
  </si>
  <si>
    <t xml:space="preserve">EBITDA margin</t>
  </si>
  <si>
    <t xml:space="preserve">Depreciation: initial assets</t>
  </si>
  <si>
    <t xml:space="preserve">Depreciation: expansion capex</t>
  </si>
  <si>
    <t xml:space="preserve">EBIT (operating profit)</t>
  </si>
  <si>
    <t xml:space="preserve">Interest expense</t>
  </si>
  <si>
    <t xml:space="preserve">Profit before tax</t>
  </si>
  <si>
    <t xml:space="preserve">Income tax</t>
  </si>
  <si>
    <t xml:space="preserve">NET PROFIT</t>
  </si>
  <si>
    <t xml:space="preserve">Net margin</t>
  </si>
  <si>
    <t xml:space="preserve">ENTERPRISE GROSS MARGINS (before shared costs)</t>
  </si>
  <si>
    <t xml:space="preserve">Dairy revenue</t>
  </si>
  <si>
    <t xml:space="preserve">Dairy direct costs</t>
  </si>
  <si>
    <t xml:space="preserve">Dairy gross margin</t>
  </si>
  <si>
    <t xml:space="preserve">  per dairy cow</t>
  </si>
  <si>
    <t xml:space="preserve">Beef revenue</t>
  </si>
  <si>
    <t xml:space="preserve">Beef direct costs</t>
  </si>
  <si>
    <t xml:space="preserve">Beef gross margin</t>
  </si>
  <si>
    <t xml:space="preserve">  per beef cow</t>
  </si>
  <si>
    <t xml:space="preserve">Other income (services, grants)</t>
  </si>
  <si>
    <t xml:space="preserve">Shared costs (labour, overheads, land, contingency)</t>
  </si>
  <si>
    <t xml:space="preserve">Check: GMs + other income - shared costs - EBITDA (should be 0)</t>
  </si>
  <si>
    <t xml:space="preserve">Financing, investment and cash flows (currency units)</t>
  </si>
  <si>
    <t xml:space="preserve">Project cash flow is unlevered (before financing).  Equity cash flow is after loan interest and principal.</t>
  </si>
  <si>
    <t xml:space="preserve">LOAN SCHEDULE</t>
  </si>
  <si>
    <t xml:space="preserve">Opening balance</t>
  </si>
  <si>
    <t xml:space="preserve">Drawdown</t>
  </si>
  <si>
    <t xml:space="preserve">Principal repayment</t>
  </si>
  <si>
    <t xml:space="preserve">Closing balance</t>
  </si>
  <si>
    <t xml:space="preserve">Interest</t>
  </si>
  <si>
    <t xml:space="preserve">Total debt service</t>
  </si>
  <si>
    <t xml:space="preserve">INVESTMENT</t>
  </si>
  <si>
    <t xml:space="preserve">Initial capex</t>
  </si>
  <si>
    <t xml:space="preserve">Working capital reserve funded</t>
  </si>
  <si>
    <t xml:space="preserve">Expansion capex (herd growth)</t>
  </si>
  <si>
    <t xml:space="preserve">TERMINAL VALUE (Year 8)</t>
  </si>
  <si>
    <t xml:space="preserve">Herd market value (net of haircut)</t>
  </si>
  <si>
    <t xml:space="preserve">Land value (if bought)</t>
  </si>
  <si>
    <t xml:space="preserve">Working capital recovered</t>
  </si>
  <si>
    <t xml:space="preserve">Total terminal value</t>
  </si>
  <si>
    <t xml:space="preserve">PROJECT (UNLEVERED) FREE CASH FLOW</t>
  </si>
  <si>
    <t xml:space="preserve">Tax on operating profit</t>
  </si>
  <si>
    <t xml:space="preserve">Expansion capex</t>
  </si>
  <si>
    <t xml:space="preserve">Initial investment (capex + WC)</t>
  </si>
  <si>
    <t xml:space="preserve">Project cash flow excl. terminal value</t>
  </si>
  <si>
    <t xml:space="preserve">PROJECT FREE CASH FLOW</t>
  </si>
  <si>
    <t xml:space="preserve">Cumulative (excl. terminal value)</t>
  </si>
  <si>
    <t xml:space="preserve">Payback helper (years)</t>
  </si>
  <si>
    <t xml:space="preserve">EQUITY CASH FLOW (AFTER DEBT)</t>
  </si>
  <si>
    <t xml:space="preserve">Loan interest</t>
  </si>
  <si>
    <t xml:space="preserve">Loan principal</t>
  </si>
  <si>
    <t xml:space="preserve">Equity invested at start</t>
  </si>
  <si>
    <t xml:space="preserve">Equity cash flow excl. terminal value</t>
  </si>
  <si>
    <t xml:space="preserve">EQUITY FREE CASH FLOW</t>
  </si>
  <si>
    <t xml:space="preserve">DEBT COVER</t>
  </si>
  <si>
    <t xml:space="preserve">Debt service cover ratio (x)</t>
  </si>
  <si>
    <t xml:space="preserve">Investment summary and returns</t>
  </si>
  <si>
    <t xml:space="preserve">Everything on this sheet is formula-driven except the scenario snapshot table (static values, see note).</t>
  </si>
  <si>
    <t xml:space="preserve">INVESTMENT AND FUNDING</t>
  </si>
  <si>
    <t xml:space="preserve">Initial capex (incl. livestock)</t>
  </si>
  <si>
    <t xml:space="preserve">TOTAL INITIAL INVESTMENT</t>
  </si>
  <si>
    <t xml:space="preserve">Funded by loan</t>
  </si>
  <si>
    <t xml:space="preserve">Funded by owner equity</t>
  </si>
  <si>
    <t xml:space="preserve">Livestock as % of capex</t>
  </si>
  <si>
    <t xml:space="preserve">Investment per breeding cow</t>
  </si>
  <si>
    <t xml:space="preserve">RETURN METRICS</t>
  </si>
  <si>
    <t xml:space="preserve">Project IRR (with terminal value)</t>
  </si>
  <si>
    <t xml:space="preserve">Project IRR (operating cash flows only, no terminal value)</t>
  </si>
  <si>
    <t xml:space="preserve">Project NPV at discount rate</t>
  </si>
  <si>
    <t xml:space="preserve">Equity IRR (with terminal value)</t>
  </si>
  <si>
    <t xml:space="preserve">Equity NPV at discount rate</t>
  </si>
  <si>
    <t xml:space="preserve">Project payback (years, excl. terminal value)</t>
  </si>
  <si>
    <t xml:space="preserve">Equity payback (years, excl. terminal value)</t>
  </si>
  <si>
    <t xml:space="preserve">Cumulative net profit, Years 1-8</t>
  </si>
  <si>
    <t xml:space="preserve">Average annual net profit / equity invested</t>
  </si>
  <si>
    <t xml:space="preserve">Minimum DSCR while debt outstanding</t>
  </si>
  <si>
    <t xml:space="preserve">Peak land utilisation</t>
  </si>
  <si>
    <t xml:space="preserve">KEY YEAR SNAPSHOT (choose the year)</t>
  </si>
  <si>
    <t xml:space="preserve">Year to analyse (1 to 8)</t>
  </si>
  <si>
    <t xml:space="preserve">Net profit</t>
  </si>
  <si>
    <t xml:space="preserve">Breeding cows (dairy + beef)</t>
  </si>
  <si>
    <t xml:space="preserve">Milk produced (litres)</t>
  </si>
  <si>
    <t xml:space="preserve">Feed and rearing as % of operating costs</t>
  </si>
  <si>
    <t xml:space="preserve">Gross margin per dairy cow</t>
  </si>
  <si>
    <t xml:space="preserve">Gross margin per beef cow</t>
  </si>
  <si>
    <t xml:space="preserve">Direct dairy cost per litre of milk</t>
  </si>
  <si>
    <t xml:space="preserve">BREAK-EVEN ANALYSIS (chosen year, other revenue held constant)</t>
  </si>
  <si>
    <t xml:space="preserve">Cash</t>
  </si>
  <si>
    <t xml:space="preserve">Full cost</t>
  </si>
  <si>
    <t xml:space="preserve">Current</t>
  </si>
  <si>
    <t xml:space="preserve">Break-even farm-gate milk price (per litre, Year-1 price terms)</t>
  </si>
  <si>
    <t xml:space="preserve">Break-even weaner price (per kg live, Year-1 price terms)</t>
  </si>
  <si>
    <t xml:space="preserve">Each break-even solves for one price while all other revenues stay as modelled. A negative or very low value means other income already covers costs.</t>
  </si>
  <si>
    <t xml:space="preserve">SCENARIO SNAPSHOT (static values pasted at build time with default inputs; live results are above for the active scenario)</t>
  </si>
  <si>
    <t xml:space="preserve">Metric</t>
  </si>
  <si>
    <t xml:space="preserve">n/a</t>
  </si>
  <si>
    <t xml:space="preserve">Equity IRR</t>
  </si>
  <si>
    <t xml:space="preserve">Project NPV</t>
  </si>
  <si>
    <t xml:space="preserve">Year 5 revenue</t>
  </si>
  <si>
    <t xml:space="preserve">Year 5 EBITDA</t>
  </si>
  <si>
    <t xml:space="preserve">Year 5 net profit</t>
  </si>
  <si>
    <t xml:space="preserve">Equity payback (years)</t>
  </si>
  <si>
    <t xml:space="preserve">beyond Year 8</t>
  </si>
  <si>
    <t xml:space="preserve">Lowest Year-1 monthly cash balance</t>
  </si>
  <si>
    <t xml:space="preserve">Snapshot cells are hardcoded (blue). They do not update when you change inputs. To refresh: set the Scenarios selector to 1, 2, 3 in turn and read the live metrics above.</t>
  </si>
  <si>
    <t xml:space="preserve">Year 1 monthly cash flow and funding check (currency units)</t>
  </si>
  <si>
    <t xml:space="preserve">Uses Year 1 annual figures spread by the phasing percentages below (blue).  Opening cash = working capital reserve.</t>
  </si>
  <si>
    <t xml:space="preserve">Line</t>
  </si>
  <si>
    <t xml:space="preserve">Basis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</si>
  <si>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</si>
  <si>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</si>
  <si>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</si>
  <si>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</si>
  <si>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</si>
  <si>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</si>
  <si>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</si>
  <si>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</si>
  <si>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</si>
  <si>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</si>
  <si>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</si>
  <si>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</si>
  <si>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Year 1</t>
  </si>
  <si>
    <t xml:space="preserve">PHASING (% of annual, each row must total 100%)</t>
  </si>
  <si>
    <t xml:space="preserve">Milk and dairy product sales phasing</t>
  </si>
  <si>
    <t xml:space="preserve">% of year</t>
  </si>
  <si>
    <t xml:space="preserve">Animal sales phasing</t>
  </si>
  <si>
    <t xml:space="preserve">Operating cost phasing</t>
  </si>
  <si>
    <t xml:space="preserve">CASH FLOW</t>
  </si>
  <si>
    <t xml:space="preserve">Milk and dairy product receipts</t>
  </si>
  <si>
    <t xml:space="preserve">Animal sales receipts</t>
  </si>
  <si>
    <t xml:space="preserve">Manure, services and other receipts</t>
  </si>
  <si>
    <t xml:space="preserve">Total receipts</t>
  </si>
  <si>
    <t xml:space="preserve">Operating costs paid</t>
  </si>
  <si>
    <t xml:space="preserve">Income tax (paid in month 12)</t>
  </si>
  <si>
    <t xml:space="preserve">Total payments</t>
  </si>
  <si>
    <t xml:space="preserve">Net cash flow</t>
  </si>
  <si>
    <t xml:space="preserve">Opening cash</t>
  </si>
  <si>
    <t xml:space="preserve">Closing cash</t>
  </si>
  <si>
    <t xml:space="preserve">Funding check</t>
  </si>
  <si>
    <t xml:space="preserve">Lowest month-end cash balance</t>
  </si>
  <si>
    <t xml:space="preserve">Extra cash needed to avoid any shortfall (0 if reserve is sufficient)</t>
  </si>
  <si>
    <t xml:space="preserve">Simplification: Year 1 receipts follow the phasing above; in practice milk income ramps up as cows calve, so treat the shortfall test as a guide and keep a safety margin.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</si>
</sst>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0"/>
    <numFmt numFmtId="167" formatCode="0.0%;\(0.0%\);\-"/>
    <numFmt numFmtId="168" formatCode="0.0"/>
    <numFmt numFmtId="169" formatCode="#,##0;\(#,##0\);\-"/>
    <numFmt numFmtId="170" formatCode="#,##0.00;\(#,##0.00\);\-"/>
    <numFmt numFmtId="171" formatCode="#,##0.0;\(#,##0.0\);\-"/>
    <numFmt numFmtId="172" formatCode="0.00\x"/>
    <numFmt numFmtId="173" formatCode="&quot;Year &quot;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E3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BE0"/>
        <bgColor rgb="FFF1F1F1"/>
      </patternFill>
    </fill>
    <fill>
      <patternFill patternType="solid">
        <fgColor rgb="FF2E5E3E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1F1F1"/>
        <bgColor rgb="FFDDEB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1F1F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BE0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2E5E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Revenue, operating costs and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PnL!$D$4:$K$4</c:f>
              <c:multiLvlStrCache>
                <c:ptCount val="1"/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PnL!$D$6:$K$6</c:f>
              <c:numCache>
                <c:formatCode>#,##0;\(#,##0\);\-</c:formatCode>
                <c:ptCount val="8"/>
                <c:pt idx="0">
                  <c:v>98542.4</c:v>
                </c:pt>
                <c:pt idx="1">
                  <c:v>100177.5348</c:v>
                </c:pt>
                <c:pt idx="2">
                  <c:v>109689.1257042</c:v>
                </c:pt>
                <c:pt idx="3">
                  <c:v>117752.565955594</c:v>
                </c:pt>
                <c:pt idx="4">
                  <c:v>127061.912602536</c:v>
                </c:pt>
                <c:pt idx="5">
                  <c:v>136923.978132415</c:v>
                </c:pt>
                <c:pt idx="6">
                  <c:v>147604.058217842</c:v>
                </c:pt>
                <c:pt idx="7">
                  <c:v>159103.664965469</c:v>
                </c:pt>
              </c:numCache>
            </c:numRef>
          </c:val>
        </c:ser>
        <c:ser>
          <c:idx val="1"/>
          <c:order val="1"/>
          <c:tx>
            <c:strRef>
              <c:f>"Operating costs"</c:f>
              <c:strCache>
                <c:ptCount val="1"/>
                <c:pt idx="0">
                  <c:v>Operating costs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PnL!$D$4:$K$4</c:f>
              <c:multiLvlStrCache>
                <c:ptCount val="1"/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PnL!$D$7:$K$7</c:f>
              <c:numCache>
                <c:formatCode>#,##0;\(#,##0\);\-</c:formatCode>
                <c:ptCount val="8"/>
                <c:pt idx="0">
                  <c:v>78586.7403</c:v>
                </c:pt>
                <c:pt idx="1">
                  <c:v>81549.6718554</c:v>
                </c:pt>
                <c:pt idx="2">
                  <c:v>87696.3455920566</c:v>
                </c:pt>
                <c:pt idx="3">
                  <c:v>93446.6075885289</c:v>
                </c:pt>
                <c:pt idx="4">
                  <c:v>102864.984081203</c:v>
                </c:pt>
                <c:pt idx="5">
                  <c:v>109788.535503679</c:v>
                </c:pt>
                <c:pt idx="6">
                  <c:v>117216.378210447</c:v>
                </c:pt>
                <c:pt idx="7">
                  <c:v>125162.011738867</c:v>
                </c:pt>
              </c:numCache>
            </c:numRef>
          </c:val>
        </c:ser>
        <c:ser>
          <c:idx val="2"/>
          <c:order val="2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PnL!$D$4:$K$4</c:f>
              <c:multiLvlStrCache>
                <c:ptCount val="1"/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PnL!$D$8:$K$8</c:f>
              <c:numCache>
                <c:formatCode>#,##0;\(#,##0\);\-</c:formatCode>
                <c:ptCount val="8"/>
                <c:pt idx="0">
                  <c:v>19955.6597</c:v>
                </c:pt>
                <c:pt idx="1">
                  <c:v>18627.8629446</c:v>
                </c:pt>
                <c:pt idx="2">
                  <c:v>21992.7801121434</c:v>
                </c:pt>
                <c:pt idx="3">
                  <c:v>24305.9583670656</c:v>
                </c:pt>
                <c:pt idx="4">
                  <c:v>24196.928521333</c:v>
                </c:pt>
                <c:pt idx="5">
                  <c:v>27135.4426287364</c:v>
                </c:pt>
                <c:pt idx="6">
                  <c:v>30387.6800073947</c:v>
                </c:pt>
                <c:pt idx="7">
                  <c:v>33941.6532266021</c:v>
                </c:pt>
              </c:numCache>
            </c:numRef>
          </c:val>
        </c:ser>
        <c:gapWidth val="150"/>
        <c:overlap val="0"/>
        <c:axId val="66235334"/>
        <c:axId val="4285217"/>
      </c:barChart>
      <c:catAx>
        <c:axId val="66235334"/>
        <c:scaling>
          <c:orientation val="minMax"/>
        </c:scaling>
        <c:delete val="0"/>
        <c:axPos val="b"/>
        <c:numFmt formatCode="&quot;Year &quot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5217"/>
        <c:crosses val="autoZero"/>
        <c:auto val="1"/>
        <c:lblAlgn val="ctr"/>
        <c:lblOffset val="100"/>
        <c:noMultiLvlLbl val="0"/>
      </c:catAx>
      <c:valAx>
        <c:axId val="42852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353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equity cash flow (excl. terminal value)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"Cumulative equity cash"</c:f>
              <c:strCache>
                <c:ptCount val="1"/>
                <c:pt idx="0">
                  <c:v>Cumulative equity cash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CashFlow!$C$4:$K$4</c:f>
              <c:multiLvlStrCache>
                <c:ptCount val="1"/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CashFlow!$C$41:$K$41</c:f>
              <c:numCache>
                <c:formatCode>#,##0;\(#,##0\);\-</c:formatCode>
                <c:ptCount val="9"/>
                <c:pt idx="0">
                  <c:v>-138947.5801</c:v>
                </c:pt>
                <c:pt idx="1">
                  <c:v>-129515.4404</c:v>
                </c:pt>
                <c:pt idx="2">
                  <c:v>-140392.0974554</c:v>
                </c:pt>
                <c:pt idx="3">
                  <c:v>-145857.471343257</c:v>
                </c:pt>
                <c:pt idx="4">
                  <c:v>-146561.283543104</c:v>
                </c:pt>
                <c:pt idx="5">
                  <c:v>-145376.186966778</c:v>
                </c:pt>
                <c:pt idx="6">
                  <c:v>-121167.288547342</c:v>
                </c:pt>
                <c:pt idx="7">
                  <c:v>-95759.390720886</c:v>
                </c:pt>
                <c:pt idx="8">
                  <c:v>-67551.3022658122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974135"/>
        <c:axId val="2358897"/>
      </c:lineChart>
      <c:catAx>
        <c:axId val="85974135"/>
        <c:scaling>
          <c:orientation val="minMax"/>
        </c:scaling>
        <c:delete val="0"/>
        <c:axPos val="b"/>
        <c:numFmt formatCode="&quot;Year &quot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8897"/>
        <c:crosses val="autoZero"/>
        <c:auto val="1"/>
        <c:lblAlgn val="ctr"/>
        <c:lblOffset val="100"/>
        <c:noMultiLvlLbl val="0"/>
      </c:catAx>
      <c:valAx>
        <c:axId val="23588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741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56</xdr:row>
      <xdr:rowOff>160920</xdr:rowOff>
    </xdr:from>
    <xdr:to>
      <xdr:col>3</xdr:col>
      <xdr:colOff>480960</xdr:colOff>
      <xdr:row>72</xdr:row>
      <xdr:rowOff>172440</xdr:rowOff>
    </xdr:to>
    <xdr:graphicFrame>
      <xdr:nvGraphicFramePr>
        <xdr:cNvPr id="0" name="Chart 1"/>
        <xdr:cNvGraphicFramePr/>
      </xdr:nvGraphicFramePr>
      <xdr:xfrm>
        <a:off x="0" y="10858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56</xdr:row>
      <xdr:rowOff>160920</xdr:rowOff>
    </xdr:from>
    <xdr:to>
      <xdr:col>10</xdr:col>
      <xdr:colOff>431280</xdr:colOff>
      <xdr:row>72</xdr:row>
      <xdr:rowOff>172440</xdr:rowOff>
    </xdr:to>
    <xdr:graphicFrame>
      <xdr:nvGraphicFramePr>
        <xdr:cNvPr id="1" name="Chart 2"/>
        <xdr:cNvGraphicFramePr/>
      </xdr:nvGraphicFramePr>
      <xdr:xfrm>
        <a:off x="5638680" y="10858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/>
      <c r="B10" s="6"/>
    </row>
    <row r="11" customFormat="false" ht="15" hidden="false" customHeight="false" outlineLevel="0" collapsed="false">
      <c r="A11" s="3" t="s">
        <v>13</v>
      </c>
      <c r="B11" s="4"/>
    </row>
    <row r="12" customFormat="false" ht="15" hidden="false" customHeight="false" outlineLevel="0" collapsed="false">
      <c r="A12" s="5" t="s">
        <v>14</v>
      </c>
      <c r="B12" s="6" t="s">
        <v>15</v>
      </c>
    </row>
    <row r="13" customFormat="false" ht="15" hidden="false" customHeight="false" outlineLevel="0" collapsed="false">
      <c r="A13" s="5" t="s">
        <v>16</v>
      </c>
      <c r="B13" s="6" t="s">
        <v>17</v>
      </c>
    </row>
    <row r="14" customFormat="false" ht="15" hidden="false" customHeight="false" outlineLevel="0" collapsed="false">
      <c r="A14" s="5" t="s">
        <v>18</v>
      </c>
      <c r="B14" s="6" t="s">
        <v>19</v>
      </c>
    </row>
    <row r="15" customFormat="false" ht="15" hidden="false" customHeight="false" outlineLevel="0" collapsed="false">
      <c r="A15" s="5" t="s">
        <v>20</v>
      </c>
      <c r="B15" s="6" t="s">
        <v>21</v>
      </c>
    </row>
    <row r="16" customFormat="false" ht="15" hidden="false" customHeight="false" outlineLevel="0" collapsed="false">
      <c r="A16" s="5"/>
      <c r="B16" s="6"/>
    </row>
    <row r="17" customFormat="false" ht="15" hidden="false" customHeight="false" outlineLevel="0" collapsed="false">
      <c r="A17" s="3" t="s">
        <v>22</v>
      </c>
      <c r="B17" s="4"/>
    </row>
    <row r="18" customFormat="false" ht="15" hidden="false" customHeight="false" outlineLevel="0" collapsed="false">
      <c r="A18" s="5" t="s">
        <v>23</v>
      </c>
      <c r="B18" s="6" t="s">
        <v>24</v>
      </c>
    </row>
    <row r="19" customFormat="false" ht="15" hidden="false" customHeight="false" outlineLevel="0" collapsed="false">
      <c r="A19" s="5" t="s">
        <v>25</v>
      </c>
      <c r="B19" s="6" t="s">
        <v>26</v>
      </c>
    </row>
    <row r="20" customFormat="false" ht="15" hidden="false" customHeight="false" outlineLevel="0" collapsed="false">
      <c r="A20" s="5" t="s">
        <v>27</v>
      </c>
      <c r="B20" s="6" t="s">
        <v>28</v>
      </c>
    </row>
    <row r="21" customFormat="false" ht="15" hidden="false" customHeight="false" outlineLevel="0" collapsed="false">
      <c r="A21" s="5" t="s">
        <v>29</v>
      </c>
      <c r="B21" s="6" t="s">
        <v>30</v>
      </c>
    </row>
    <row r="22" customFormat="false" ht="15" hidden="false" customHeight="false" outlineLevel="0" collapsed="false">
      <c r="A22" s="5" t="s">
        <v>31</v>
      </c>
      <c r="B22" s="6" t="s">
        <v>32</v>
      </c>
    </row>
    <row r="23" customFormat="false" ht="15" hidden="false" customHeight="false" outlineLevel="0" collapsed="false">
      <c r="A23" s="5" t="s">
        <v>33</v>
      </c>
      <c r="B23" s="6" t="s">
        <v>34</v>
      </c>
    </row>
    <row r="24" customFormat="false" ht="15" hidden="false" customHeight="false" outlineLevel="0" collapsed="false">
      <c r="A24" s="5" t="s">
        <v>35</v>
      </c>
      <c r="B24" s="6" t="s">
        <v>36</v>
      </c>
    </row>
    <row r="25" customFormat="false" ht="15" hidden="false" customHeight="false" outlineLevel="0" collapsed="false">
      <c r="A25" s="5" t="s">
        <v>37</v>
      </c>
      <c r="B25" s="6" t="s">
        <v>38</v>
      </c>
    </row>
    <row r="26" customFormat="false" ht="15" hidden="false" customHeight="false" outlineLevel="0" collapsed="false">
      <c r="A26" s="5" t="s">
        <v>39</v>
      </c>
      <c r="B26" s="6" t="s">
        <v>40</v>
      </c>
    </row>
    <row r="27" customFormat="false" ht="15" hidden="false" customHeight="false" outlineLevel="0" collapsed="false">
      <c r="A27" s="5" t="s">
        <v>41</v>
      </c>
      <c r="B27" s="6" t="s">
        <v>42</v>
      </c>
    </row>
    <row r="28" customFormat="false" ht="15" hidden="false" customHeight="false" outlineLevel="0" collapsed="false">
      <c r="A28" s="5"/>
      <c r="B28" s="6"/>
    </row>
    <row r="29" customFormat="false" ht="15" hidden="false" customHeight="false" outlineLevel="0" collapsed="false">
      <c r="A29" s="3" t="s">
        <v>43</v>
      </c>
      <c r="B29" s="4"/>
    </row>
    <row r="30" customFormat="false" ht="15" hidden="false" customHeight="false" outlineLevel="0" collapsed="false">
      <c r="A30" s="5" t="s">
        <v>29</v>
      </c>
      <c r="B30" s="6" t="s">
        <v>44</v>
      </c>
    </row>
    <row r="31" customFormat="false" ht="15" hidden="false" customHeight="false" outlineLevel="0" collapsed="false">
      <c r="A31" s="5" t="s">
        <v>45</v>
      </c>
      <c r="B31" s="6" t="s">
        <v>46</v>
      </c>
    </row>
    <row r="32" customFormat="false" ht="15" hidden="false" customHeight="false" outlineLevel="0" collapsed="false">
      <c r="A32" s="5" t="s">
        <v>47</v>
      </c>
      <c r="B32" s="6" t="s">
        <v>48</v>
      </c>
    </row>
    <row r="33" customFormat="false" ht="15" hidden="false" customHeight="false" outlineLevel="0" collapsed="false">
      <c r="A33" s="5" t="s">
        <v>49</v>
      </c>
      <c r="B33" s="6" t="s">
        <v>50</v>
      </c>
    </row>
    <row r="34" customFormat="false" ht="15" hidden="false" customHeight="false" outlineLevel="0" collapsed="false">
      <c r="A34" s="5" t="s">
        <v>51</v>
      </c>
      <c r="B34" s="6" t="s">
        <v>52</v>
      </c>
    </row>
    <row r="35" customFormat="false" ht="23.85" hidden="false" customHeight="false" outlineLevel="0" collapsed="false">
      <c r="A35" s="5" t="s">
        <v>53</v>
      </c>
      <c r="B35" s="6" t="s">
        <v>54</v>
      </c>
    </row>
    <row r="36" customFormat="false" ht="15" hidden="false" customHeight="false" outlineLevel="0" collapsed="false">
      <c r="A36" s="5"/>
      <c r="B36" s="6"/>
    </row>
    <row r="37" customFormat="false" ht="23.85" hidden="false" customHeight="false" outlineLevel="0" collapsed="false">
      <c r="A37" s="5" t="s">
        <v>55</v>
      </c>
      <c r="B37" s="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7" t="s">
        <v>59</v>
      </c>
      <c r="B4" s="8" t="s">
        <v>60</v>
      </c>
      <c r="C4" s="8" t="s">
        <v>61</v>
      </c>
      <c r="D4" s="8" t="s">
        <v>62</v>
      </c>
    </row>
    <row r="5" customFormat="false" ht="15" hidden="false" customHeight="false" outlineLevel="0" collapsed="false">
      <c r="A5" s="3" t="s">
        <v>63</v>
      </c>
      <c r="B5" s="4"/>
      <c r="C5" s="4"/>
      <c r="D5" s="4"/>
    </row>
    <row r="6" customFormat="false" ht="15" hidden="false" customHeight="false" outlineLevel="0" collapsed="false">
      <c r="A6" s="9" t="s">
        <v>64</v>
      </c>
      <c r="B6" s="9" t="s">
        <v>65</v>
      </c>
      <c r="C6" s="10" t="s">
        <v>66</v>
      </c>
      <c r="D6" s="2" t="s">
        <v>67</v>
      </c>
    </row>
    <row r="7" customFormat="false" ht="15" hidden="false" customHeight="false" outlineLevel="0" collapsed="false">
      <c r="A7" s="9" t="s">
        <v>68</v>
      </c>
      <c r="B7" s="9" t="s">
        <v>69</v>
      </c>
      <c r="C7" s="11" t="n">
        <v>8</v>
      </c>
      <c r="D7" s="2" t="s">
        <v>70</v>
      </c>
    </row>
    <row r="8" customFormat="false" ht="15" hidden="false" customHeight="false" outlineLevel="0" collapsed="false">
      <c r="A8" s="9" t="s">
        <v>71</v>
      </c>
      <c r="B8" s="9" t="s">
        <v>72</v>
      </c>
      <c r="C8" s="12" t="n">
        <v>0.12</v>
      </c>
      <c r="D8" s="2" t="s">
        <v>73</v>
      </c>
    </row>
    <row r="9" customFormat="false" ht="15" hidden="false" customHeight="false" outlineLevel="0" collapsed="false">
      <c r="A9" s="9" t="s">
        <v>74</v>
      </c>
      <c r="B9" s="9" t="s">
        <v>72</v>
      </c>
      <c r="C9" s="13" t="n">
        <v>0.2</v>
      </c>
      <c r="D9" s="2" t="s">
        <v>75</v>
      </c>
    </row>
    <row r="10" customFormat="false" ht="15" hidden="false" customHeight="false" outlineLevel="0" collapsed="false">
      <c r="A10" s="9" t="s">
        <v>76</v>
      </c>
      <c r="B10" s="9" t="s">
        <v>77</v>
      </c>
      <c r="C10" s="13" t="n">
        <v>0.05</v>
      </c>
      <c r="D10" s="2" t="s">
        <v>78</v>
      </c>
    </row>
    <row r="11" customFormat="false" ht="15" hidden="false" customHeight="false" outlineLevel="0" collapsed="false">
      <c r="A11" s="9" t="s">
        <v>79</v>
      </c>
      <c r="B11" s="9" t="s">
        <v>77</v>
      </c>
      <c r="C11" s="13" t="n">
        <v>0.05</v>
      </c>
      <c r="D11" s="2" t="s">
        <v>80</v>
      </c>
    </row>
    <row r="12" customFormat="false" ht="15" hidden="false" customHeight="false" outlineLevel="0" collapsed="false">
      <c r="A12" s="9" t="s">
        <v>81</v>
      </c>
      <c r="B12" s="9" t="s">
        <v>77</v>
      </c>
      <c r="C12" s="13" t="n">
        <v>0.05</v>
      </c>
      <c r="D12" s="2" t="s">
        <v>82</v>
      </c>
    </row>
    <row r="13" customFormat="false" ht="15" hidden="false" customHeight="false" outlineLevel="0" collapsed="false">
      <c r="A13" s="9" t="s">
        <v>83</v>
      </c>
      <c r="B13" s="9" t="s">
        <v>84</v>
      </c>
      <c r="C13" s="14" t="n">
        <v>1</v>
      </c>
      <c r="D13" s="2" t="s">
        <v>85</v>
      </c>
    </row>
    <row r="14" customFormat="false" ht="15" hidden="false" customHeight="false" outlineLevel="0" collapsed="false">
      <c r="A14" s="9" t="s">
        <v>86</v>
      </c>
      <c r="B14" s="9" t="s">
        <v>72</v>
      </c>
      <c r="C14" s="13" t="n">
        <v>0.8</v>
      </c>
      <c r="D14" s="2" t="s">
        <v>87</v>
      </c>
    </row>
    <row r="15" customFormat="false" ht="15" hidden="false" customHeight="false" outlineLevel="0" collapsed="false">
      <c r="A15" s="9" t="s">
        <v>88</v>
      </c>
      <c r="B15" s="9" t="s">
        <v>77</v>
      </c>
      <c r="C15" s="13" t="n">
        <v>0.03</v>
      </c>
      <c r="D15" s="2"/>
    </row>
    <row r="16" customFormat="false" ht="15" hidden="false" customHeight="false" outlineLevel="0" collapsed="false">
      <c r="A16" s="9" t="s">
        <v>89</v>
      </c>
      <c r="B16" s="9" t="s">
        <v>90</v>
      </c>
      <c r="C16" s="15" t="n">
        <v>4</v>
      </c>
      <c r="D16" s="2" t="s">
        <v>91</v>
      </c>
    </row>
    <row r="17" customFormat="false" ht="15" hidden="false" customHeight="false" outlineLevel="0" collapsed="false">
      <c r="A17" s="3" t="s">
        <v>92</v>
      </c>
      <c r="B17" s="4"/>
      <c r="C17" s="4"/>
      <c r="D17" s="4"/>
    </row>
    <row r="18" customFormat="false" ht="15" hidden="false" customHeight="false" outlineLevel="0" collapsed="false">
      <c r="A18" s="9" t="s">
        <v>93</v>
      </c>
      <c r="B18" s="9" t="s">
        <v>72</v>
      </c>
      <c r="C18" s="12" t="n">
        <v>0.4</v>
      </c>
      <c r="D18" s="2" t="s">
        <v>94</v>
      </c>
    </row>
    <row r="19" customFormat="false" ht="15" hidden="false" customHeight="false" outlineLevel="0" collapsed="false">
      <c r="A19" s="9" t="s">
        <v>95</v>
      </c>
      <c r="B19" s="9" t="s">
        <v>77</v>
      </c>
      <c r="C19" s="13" t="n">
        <v>0.14</v>
      </c>
      <c r="D19" s="2" t="s">
        <v>96</v>
      </c>
    </row>
    <row r="20" customFormat="false" ht="15" hidden="false" customHeight="false" outlineLevel="0" collapsed="false">
      <c r="A20" s="9" t="s">
        <v>97</v>
      </c>
      <c r="B20" s="9" t="s">
        <v>69</v>
      </c>
      <c r="C20" s="14" t="n">
        <v>5</v>
      </c>
      <c r="D20" s="2" t="s">
        <v>98</v>
      </c>
    </row>
    <row r="21" customFormat="false" ht="15" hidden="false" customHeight="false" outlineLevel="0" collapsed="false">
      <c r="A21" s="9" t="s">
        <v>99</v>
      </c>
      <c r="B21" s="9" t="s">
        <v>69</v>
      </c>
      <c r="C21" s="14" t="n">
        <v>1</v>
      </c>
      <c r="D21" s="2" t="s">
        <v>100</v>
      </c>
    </row>
    <row r="22" customFormat="false" ht="15" hidden="false" customHeight="false" outlineLevel="0" collapsed="false">
      <c r="A22" s="3" t="s">
        <v>101</v>
      </c>
      <c r="B22" s="4"/>
      <c r="C22" s="4"/>
      <c r="D22" s="4"/>
    </row>
    <row r="23" customFormat="false" ht="15" hidden="false" customHeight="false" outlineLevel="0" collapsed="false">
      <c r="A23" s="9" t="s">
        <v>102</v>
      </c>
      <c r="B23" s="9" t="s">
        <v>103</v>
      </c>
      <c r="C23" s="16" t="n">
        <v>150</v>
      </c>
      <c r="D23" s="2" t="s">
        <v>104</v>
      </c>
    </row>
    <row r="24" customFormat="false" ht="15" hidden="false" customHeight="false" outlineLevel="0" collapsed="false">
      <c r="A24" s="9" t="s">
        <v>105</v>
      </c>
      <c r="B24" s="9" t="s">
        <v>84</v>
      </c>
      <c r="C24" s="14" t="n">
        <v>0</v>
      </c>
      <c r="D24" s="2" t="s">
        <v>106</v>
      </c>
    </row>
    <row r="25" customFormat="false" ht="15" hidden="false" customHeight="false" outlineLevel="0" collapsed="false">
      <c r="A25" s="9" t="s">
        <v>107</v>
      </c>
      <c r="B25" s="9" t="s">
        <v>108</v>
      </c>
      <c r="C25" s="17" t="n">
        <v>25</v>
      </c>
      <c r="D25" s="2"/>
    </row>
    <row r="26" customFormat="false" ht="15" hidden="false" customHeight="false" outlineLevel="0" collapsed="false">
      <c r="A26" s="9" t="s">
        <v>109</v>
      </c>
      <c r="B26" s="9" t="s">
        <v>110</v>
      </c>
      <c r="C26" s="17" t="n">
        <v>900</v>
      </c>
      <c r="D26" s="2"/>
    </row>
    <row r="27" customFormat="false" ht="15" hidden="false" customHeight="false" outlineLevel="0" collapsed="false">
      <c r="A27" s="9" t="s">
        <v>111</v>
      </c>
      <c r="B27" s="9" t="s">
        <v>112</v>
      </c>
      <c r="C27" s="18" t="n">
        <v>2.5</v>
      </c>
      <c r="D27" s="2" t="s">
        <v>113</v>
      </c>
    </row>
    <row r="28" customFormat="false" ht="15" hidden="false" customHeight="false" outlineLevel="0" collapsed="false">
      <c r="A28" s="9" t="s">
        <v>114</v>
      </c>
      <c r="B28" s="9" t="s">
        <v>112</v>
      </c>
      <c r="C28" s="18" t="n">
        <v>0.4</v>
      </c>
      <c r="D28" s="2" t="s">
        <v>115</v>
      </c>
    </row>
    <row r="29" customFormat="false" ht="15" hidden="false" customHeight="false" outlineLevel="0" collapsed="false">
      <c r="A29" s="3" t="s">
        <v>116</v>
      </c>
      <c r="B29" s="4"/>
      <c r="C29" s="4"/>
      <c r="D29" s="4"/>
    </row>
    <row r="30" customFormat="false" ht="15" hidden="false" customHeight="false" outlineLevel="0" collapsed="false">
      <c r="A30" s="9" t="s">
        <v>117</v>
      </c>
      <c r="B30" s="9" t="s">
        <v>118</v>
      </c>
      <c r="C30" s="16" t="n">
        <v>40</v>
      </c>
      <c r="D30" s="2" t="s">
        <v>119</v>
      </c>
    </row>
    <row r="31" customFormat="false" ht="15" hidden="false" customHeight="false" outlineLevel="0" collapsed="false">
      <c r="A31" s="9" t="s">
        <v>120</v>
      </c>
      <c r="B31" s="9" t="s">
        <v>121</v>
      </c>
      <c r="C31" s="16" t="n">
        <v>1200</v>
      </c>
      <c r="D31" s="2" t="s">
        <v>122</v>
      </c>
    </row>
    <row r="32" customFormat="false" ht="15" hidden="false" customHeight="false" outlineLevel="0" collapsed="false">
      <c r="A32" s="9" t="s">
        <v>123</v>
      </c>
      <c r="B32" s="9" t="s">
        <v>124</v>
      </c>
      <c r="C32" s="12" t="n">
        <v>0.85</v>
      </c>
      <c r="D32" s="2" t="s">
        <v>125</v>
      </c>
    </row>
    <row r="33" customFormat="false" ht="15" hidden="false" customHeight="false" outlineLevel="0" collapsed="false">
      <c r="A33" s="9" t="s">
        <v>126</v>
      </c>
      <c r="B33" s="9" t="s">
        <v>127</v>
      </c>
      <c r="C33" s="16" t="n">
        <v>3500</v>
      </c>
      <c r="D33" s="2" t="s">
        <v>128</v>
      </c>
    </row>
    <row r="34" customFormat="false" ht="15" hidden="false" customHeight="false" outlineLevel="0" collapsed="false">
      <c r="A34" s="9" t="s">
        <v>129</v>
      </c>
      <c r="B34" s="9" t="s">
        <v>124</v>
      </c>
      <c r="C34" s="13" t="n">
        <v>0.2</v>
      </c>
      <c r="D34" s="2" t="s">
        <v>130</v>
      </c>
    </row>
    <row r="35" customFormat="false" ht="15" hidden="false" customHeight="false" outlineLevel="0" collapsed="false">
      <c r="A35" s="9" t="s">
        <v>131</v>
      </c>
      <c r="B35" s="9" t="s">
        <v>124</v>
      </c>
      <c r="C35" s="13" t="n">
        <v>0.04</v>
      </c>
      <c r="D35" s="2"/>
    </row>
    <row r="36" customFormat="false" ht="15" hidden="false" customHeight="false" outlineLevel="0" collapsed="false">
      <c r="A36" s="9" t="s">
        <v>132</v>
      </c>
      <c r="B36" s="9" t="s">
        <v>133</v>
      </c>
      <c r="C36" s="13" t="n">
        <v>0.08</v>
      </c>
      <c r="D36" s="2" t="s">
        <v>134</v>
      </c>
    </row>
    <row r="37" customFormat="false" ht="15" hidden="false" customHeight="false" outlineLevel="0" collapsed="false">
      <c r="A37" s="9" t="s">
        <v>135</v>
      </c>
      <c r="B37" s="9" t="s">
        <v>72</v>
      </c>
      <c r="C37" s="13" t="n">
        <v>0.5</v>
      </c>
      <c r="D37" s="2" t="s">
        <v>136</v>
      </c>
    </row>
    <row r="38" customFormat="false" ht="15" hidden="false" customHeight="false" outlineLevel="0" collapsed="false">
      <c r="A38" s="9" t="s">
        <v>137</v>
      </c>
      <c r="B38" s="9" t="s">
        <v>138</v>
      </c>
      <c r="C38" s="13" t="n">
        <v>0.7</v>
      </c>
      <c r="D38" s="2" t="s">
        <v>139</v>
      </c>
    </row>
    <row r="39" customFormat="false" ht="15" hidden="false" customHeight="false" outlineLevel="0" collapsed="false">
      <c r="A39" s="9" t="s">
        <v>140</v>
      </c>
      <c r="B39" s="9" t="s">
        <v>121</v>
      </c>
      <c r="C39" s="17" t="n">
        <v>120</v>
      </c>
      <c r="D39" s="2" t="s">
        <v>141</v>
      </c>
    </row>
    <row r="40" customFormat="false" ht="15" hidden="false" customHeight="false" outlineLevel="0" collapsed="false">
      <c r="A40" s="9" t="s">
        <v>142</v>
      </c>
      <c r="B40" s="9" t="s">
        <v>121</v>
      </c>
      <c r="C40" s="17" t="n">
        <v>400</v>
      </c>
      <c r="D40" s="2" t="s">
        <v>143</v>
      </c>
    </row>
    <row r="41" customFormat="false" ht="15" hidden="false" customHeight="false" outlineLevel="0" collapsed="false">
      <c r="A41" s="9" t="s">
        <v>144</v>
      </c>
      <c r="B41" s="9" t="s">
        <v>121</v>
      </c>
      <c r="C41" s="17" t="n">
        <v>550</v>
      </c>
      <c r="D41" s="2"/>
    </row>
    <row r="42" customFormat="false" ht="15" hidden="false" customHeight="false" outlineLevel="0" collapsed="false">
      <c r="A42" s="3" t="s">
        <v>145</v>
      </c>
      <c r="B42" s="4"/>
      <c r="C42" s="4"/>
      <c r="D42" s="4"/>
    </row>
    <row r="43" customFormat="false" ht="15" hidden="false" customHeight="false" outlineLevel="0" collapsed="false">
      <c r="A43" s="9" t="s">
        <v>146</v>
      </c>
      <c r="B43" s="9" t="s">
        <v>118</v>
      </c>
      <c r="C43" s="16" t="n">
        <v>30</v>
      </c>
      <c r="D43" s="2" t="s">
        <v>147</v>
      </c>
    </row>
    <row r="44" customFormat="false" ht="15" hidden="false" customHeight="false" outlineLevel="0" collapsed="false">
      <c r="A44" s="9" t="s">
        <v>148</v>
      </c>
      <c r="B44" s="9" t="s">
        <v>121</v>
      </c>
      <c r="C44" s="16" t="n">
        <v>500</v>
      </c>
      <c r="D44" s="2" t="s">
        <v>122</v>
      </c>
    </row>
    <row r="45" customFormat="false" ht="15" hidden="false" customHeight="false" outlineLevel="0" collapsed="false">
      <c r="A45" s="9" t="s">
        <v>149</v>
      </c>
      <c r="B45" s="9" t="s">
        <v>118</v>
      </c>
      <c r="C45" s="17" t="n">
        <v>2</v>
      </c>
      <c r="D45" s="2" t="s">
        <v>150</v>
      </c>
    </row>
    <row r="46" customFormat="false" ht="15" hidden="false" customHeight="false" outlineLevel="0" collapsed="false">
      <c r="A46" s="9" t="s">
        <v>151</v>
      </c>
      <c r="B46" s="9" t="s">
        <v>121</v>
      </c>
      <c r="C46" s="17" t="n">
        <v>900</v>
      </c>
      <c r="D46" s="2"/>
    </row>
    <row r="47" customFormat="false" ht="15" hidden="false" customHeight="false" outlineLevel="0" collapsed="false">
      <c r="A47" s="9" t="s">
        <v>152</v>
      </c>
      <c r="B47" s="9" t="s">
        <v>69</v>
      </c>
      <c r="C47" s="17" t="n">
        <v>4</v>
      </c>
      <c r="D47" s="2" t="s">
        <v>153</v>
      </c>
    </row>
    <row r="48" customFormat="false" ht="15" hidden="false" customHeight="false" outlineLevel="0" collapsed="false">
      <c r="A48" s="9" t="s">
        <v>154</v>
      </c>
      <c r="B48" s="9" t="s">
        <v>124</v>
      </c>
      <c r="C48" s="12" t="n">
        <v>0.8</v>
      </c>
      <c r="D48" s="2"/>
    </row>
    <row r="49" customFormat="false" ht="15" hidden="false" customHeight="false" outlineLevel="0" collapsed="false">
      <c r="A49" s="9" t="s">
        <v>155</v>
      </c>
      <c r="B49" s="9" t="s">
        <v>133</v>
      </c>
      <c r="C49" s="13" t="n">
        <v>0.08</v>
      </c>
      <c r="D49" s="2"/>
    </row>
    <row r="50" customFormat="false" ht="15" hidden="false" customHeight="false" outlineLevel="0" collapsed="false">
      <c r="A50" s="9" t="s">
        <v>156</v>
      </c>
      <c r="B50" s="9" t="s">
        <v>124</v>
      </c>
      <c r="C50" s="13" t="n">
        <v>0.12</v>
      </c>
      <c r="D50" s="2"/>
    </row>
    <row r="51" customFormat="false" ht="15" hidden="false" customHeight="false" outlineLevel="0" collapsed="false">
      <c r="A51" s="9" t="s">
        <v>157</v>
      </c>
      <c r="B51" s="9" t="s">
        <v>124</v>
      </c>
      <c r="C51" s="13" t="n">
        <v>0.03</v>
      </c>
      <c r="D51" s="2"/>
    </row>
    <row r="52" customFormat="false" ht="15" hidden="false" customHeight="false" outlineLevel="0" collapsed="false">
      <c r="A52" s="9" t="s">
        <v>158</v>
      </c>
      <c r="B52" s="9" t="s">
        <v>138</v>
      </c>
      <c r="C52" s="13" t="n">
        <v>0.5</v>
      </c>
      <c r="D52" s="2"/>
    </row>
    <row r="53" customFormat="false" ht="15" hidden="false" customHeight="false" outlineLevel="0" collapsed="false">
      <c r="A53" s="9" t="s">
        <v>159</v>
      </c>
      <c r="B53" s="9" t="s">
        <v>160</v>
      </c>
      <c r="C53" s="16" t="n">
        <v>150</v>
      </c>
      <c r="D53" s="2" t="s">
        <v>161</v>
      </c>
    </row>
    <row r="54" customFormat="false" ht="15" hidden="false" customHeight="false" outlineLevel="0" collapsed="false">
      <c r="A54" s="9" t="s">
        <v>162</v>
      </c>
      <c r="B54" s="9" t="s">
        <v>163</v>
      </c>
      <c r="C54" s="19" t="n">
        <v>2.4</v>
      </c>
      <c r="D54" s="2" t="s">
        <v>164</v>
      </c>
    </row>
    <row r="55" customFormat="false" ht="15" hidden="false" customHeight="false" outlineLevel="0" collapsed="false">
      <c r="A55" s="9" t="s">
        <v>165</v>
      </c>
      <c r="B55" s="9" t="s">
        <v>166</v>
      </c>
      <c r="C55" s="17" t="n">
        <v>380</v>
      </c>
      <c r="D55" s="2"/>
    </row>
    <row r="56" customFormat="false" ht="15" hidden="false" customHeight="false" outlineLevel="0" collapsed="false">
      <c r="A56" s="9" t="s">
        <v>167</v>
      </c>
      <c r="B56" s="9" t="s">
        <v>163</v>
      </c>
      <c r="C56" s="18" t="n">
        <v>1.9</v>
      </c>
      <c r="D56" s="2"/>
    </row>
    <row r="57" customFormat="false" ht="15" hidden="false" customHeight="false" outlineLevel="0" collapsed="false">
      <c r="A57" s="3" t="s">
        <v>168</v>
      </c>
      <c r="B57" s="4"/>
      <c r="C57" s="4"/>
      <c r="D57" s="4"/>
    </row>
    <row r="58" customFormat="false" ht="15" hidden="false" customHeight="false" outlineLevel="0" collapsed="false">
      <c r="A58" s="9" t="s">
        <v>169</v>
      </c>
      <c r="B58" s="9" t="s">
        <v>170</v>
      </c>
      <c r="C58" s="19" t="n">
        <v>0.6</v>
      </c>
      <c r="D58" s="2" t="s">
        <v>171</v>
      </c>
    </row>
    <row r="59" customFormat="false" ht="15" hidden="false" customHeight="false" outlineLevel="0" collapsed="false">
      <c r="A59" s="9" t="s">
        <v>172</v>
      </c>
      <c r="B59" s="9" t="s">
        <v>173</v>
      </c>
      <c r="C59" s="13" t="n">
        <v>0.1</v>
      </c>
      <c r="D59" s="2" t="s">
        <v>174</v>
      </c>
    </row>
    <row r="60" customFormat="false" ht="15" hidden="false" customHeight="false" outlineLevel="0" collapsed="false">
      <c r="A60" s="9" t="s">
        <v>175</v>
      </c>
      <c r="B60" s="9" t="s">
        <v>176</v>
      </c>
      <c r="C60" s="18" t="n">
        <v>2.2</v>
      </c>
      <c r="D60" s="2" t="s">
        <v>177</v>
      </c>
    </row>
    <row r="61" customFormat="false" ht="15" hidden="false" customHeight="false" outlineLevel="0" collapsed="false">
      <c r="A61" s="9" t="s">
        <v>178</v>
      </c>
      <c r="B61" s="9" t="s">
        <v>179</v>
      </c>
      <c r="C61" s="18" t="n">
        <v>0.28</v>
      </c>
      <c r="D61" s="2"/>
    </row>
    <row r="62" customFormat="false" ht="15" hidden="false" customHeight="false" outlineLevel="0" collapsed="false">
      <c r="A62" s="9" t="s">
        <v>180</v>
      </c>
      <c r="B62" s="9" t="s">
        <v>170</v>
      </c>
      <c r="C62" s="18" t="n">
        <v>0.03</v>
      </c>
      <c r="D62" s="2"/>
    </row>
    <row r="63" customFormat="false" ht="15" hidden="false" customHeight="false" outlineLevel="0" collapsed="false">
      <c r="A63" s="9" t="s">
        <v>181</v>
      </c>
      <c r="B63" s="9" t="s">
        <v>182</v>
      </c>
      <c r="C63" s="20" t="n">
        <v>2</v>
      </c>
      <c r="D63" s="2" t="s">
        <v>183</v>
      </c>
    </row>
    <row r="64" customFormat="false" ht="15" hidden="false" customHeight="false" outlineLevel="0" collapsed="false">
      <c r="A64" s="9" t="s">
        <v>184</v>
      </c>
      <c r="B64" s="9" t="s">
        <v>185</v>
      </c>
      <c r="C64" s="17" t="n">
        <v>12</v>
      </c>
      <c r="D64" s="2"/>
    </row>
    <row r="65" customFormat="false" ht="15" hidden="false" customHeight="false" outlineLevel="0" collapsed="false">
      <c r="A65" s="9" t="s">
        <v>186</v>
      </c>
      <c r="B65" s="9" t="s">
        <v>187</v>
      </c>
      <c r="C65" s="17" t="n">
        <v>60</v>
      </c>
      <c r="D65" s="2" t="s">
        <v>188</v>
      </c>
    </row>
    <row r="66" customFormat="false" ht="15" hidden="false" customHeight="false" outlineLevel="0" collapsed="false">
      <c r="A66" s="9" t="s">
        <v>189</v>
      </c>
      <c r="B66" s="9" t="s">
        <v>190</v>
      </c>
      <c r="C66" s="17" t="n">
        <v>15</v>
      </c>
      <c r="D66" s="2"/>
    </row>
    <row r="67" customFormat="false" ht="15" hidden="false" customHeight="false" outlineLevel="0" collapsed="false">
      <c r="A67" s="9" t="s">
        <v>191</v>
      </c>
      <c r="B67" s="9" t="s">
        <v>192</v>
      </c>
      <c r="C67" s="16" t="n">
        <v>0</v>
      </c>
      <c r="D67" s="2" t="s">
        <v>193</v>
      </c>
    </row>
    <row r="68" customFormat="false" ht="15" hidden="false" customHeight="false" outlineLevel="0" collapsed="false">
      <c r="A68" s="3" t="s">
        <v>194</v>
      </c>
      <c r="B68" s="4"/>
      <c r="C68" s="4"/>
      <c r="D68" s="4"/>
    </row>
    <row r="69" customFormat="false" ht="15" hidden="false" customHeight="false" outlineLevel="0" collapsed="false">
      <c r="A69" s="9" t="s">
        <v>195</v>
      </c>
      <c r="B69" s="9" t="s">
        <v>196</v>
      </c>
      <c r="C69" s="18" t="n">
        <v>0.35</v>
      </c>
      <c r="D69" s="2" t="s">
        <v>197</v>
      </c>
    </row>
    <row r="70" customFormat="false" ht="15" hidden="false" customHeight="false" outlineLevel="0" collapsed="false">
      <c r="A70" s="9" t="s">
        <v>198</v>
      </c>
      <c r="B70" s="9" t="s">
        <v>199</v>
      </c>
      <c r="C70" s="19" t="n">
        <v>0.4</v>
      </c>
      <c r="D70" s="2"/>
    </row>
    <row r="71" customFormat="false" ht="15" hidden="false" customHeight="false" outlineLevel="0" collapsed="false">
      <c r="A71" s="9" t="s">
        <v>200</v>
      </c>
      <c r="B71" s="9" t="s">
        <v>201</v>
      </c>
      <c r="C71" s="17" t="n">
        <v>160</v>
      </c>
      <c r="D71" s="2" t="s">
        <v>202</v>
      </c>
    </row>
    <row r="72" customFormat="false" ht="15" hidden="false" customHeight="false" outlineLevel="0" collapsed="false">
      <c r="A72" s="9" t="s">
        <v>203</v>
      </c>
      <c r="B72" s="9" t="s">
        <v>201</v>
      </c>
      <c r="C72" s="17" t="n">
        <v>20</v>
      </c>
      <c r="D72" s="2"/>
    </row>
    <row r="73" customFormat="false" ht="15" hidden="false" customHeight="false" outlineLevel="0" collapsed="false">
      <c r="A73" s="9" t="s">
        <v>204</v>
      </c>
      <c r="B73" s="9" t="s">
        <v>201</v>
      </c>
      <c r="C73" s="17" t="n">
        <v>65</v>
      </c>
      <c r="D73" s="2" t="s">
        <v>205</v>
      </c>
    </row>
    <row r="74" customFormat="false" ht="15" hidden="false" customHeight="false" outlineLevel="0" collapsed="false">
      <c r="A74" s="9" t="s">
        <v>206</v>
      </c>
      <c r="B74" s="9" t="s">
        <v>201</v>
      </c>
      <c r="C74" s="17" t="n">
        <v>10</v>
      </c>
      <c r="D74" s="2"/>
    </row>
    <row r="75" customFormat="false" ht="15" hidden="false" customHeight="false" outlineLevel="0" collapsed="false">
      <c r="A75" s="9" t="s">
        <v>207</v>
      </c>
      <c r="B75" s="9" t="s">
        <v>208</v>
      </c>
      <c r="C75" s="17" t="n">
        <v>200</v>
      </c>
      <c r="D75" s="2" t="s">
        <v>209</v>
      </c>
    </row>
    <row r="76" customFormat="false" ht="15" hidden="false" customHeight="false" outlineLevel="0" collapsed="false">
      <c r="A76" s="9" t="s">
        <v>210</v>
      </c>
      <c r="B76" s="9" t="s">
        <v>211</v>
      </c>
      <c r="C76" s="17" t="n">
        <v>70</v>
      </c>
      <c r="D76" s="2"/>
    </row>
    <row r="77" customFormat="false" ht="15" hidden="false" customHeight="false" outlineLevel="0" collapsed="false">
      <c r="A77" s="9" t="s">
        <v>212</v>
      </c>
      <c r="B77" s="9" t="s">
        <v>211</v>
      </c>
      <c r="C77" s="17" t="n">
        <v>25</v>
      </c>
      <c r="D77" s="2"/>
    </row>
    <row r="78" customFormat="false" ht="15" hidden="false" customHeight="false" outlineLevel="0" collapsed="false">
      <c r="A78" s="9" t="s">
        <v>213</v>
      </c>
      <c r="B78" s="9" t="s">
        <v>201</v>
      </c>
      <c r="C78" s="17" t="n">
        <v>55</v>
      </c>
      <c r="D78" s="2" t="s">
        <v>214</v>
      </c>
    </row>
    <row r="79" customFormat="false" ht="15" hidden="false" customHeight="false" outlineLevel="0" collapsed="false">
      <c r="A79" s="9" t="s">
        <v>215</v>
      </c>
      <c r="B79" s="9" t="s">
        <v>201</v>
      </c>
      <c r="C79" s="17" t="n">
        <v>22</v>
      </c>
      <c r="D79" s="2"/>
    </row>
    <row r="80" customFormat="false" ht="15" hidden="false" customHeight="false" outlineLevel="0" collapsed="false">
      <c r="A80" s="9" t="s">
        <v>216</v>
      </c>
      <c r="B80" s="9" t="s">
        <v>201</v>
      </c>
      <c r="C80" s="17" t="n">
        <v>35</v>
      </c>
      <c r="D80" s="2" t="s">
        <v>217</v>
      </c>
    </row>
    <row r="81" customFormat="false" ht="15" hidden="false" customHeight="false" outlineLevel="0" collapsed="false">
      <c r="A81" s="3" t="s">
        <v>218</v>
      </c>
      <c r="B81" s="4"/>
      <c r="C81" s="4"/>
      <c r="D81" s="4"/>
    </row>
    <row r="82" customFormat="false" ht="15" hidden="false" customHeight="false" outlineLevel="0" collapsed="false">
      <c r="A82" s="9" t="s">
        <v>219</v>
      </c>
      <c r="B82" s="9" t="s">
        <v>220</v>
      </c>
      <c r="C82" s="17" t="n">
        <v>1</v>
      </c>
      <c r="D82" s="2" t="s">
        <v>221</v>
      </c>
    </row>
    <row r="83" customFormat="false" ht="15" hidden="false" customHeight="false" outlineLevel="0" collapsed="false">
      <c r="A83" s="9" t="s">
        <v>222</v>
      </c>
      <c r="B83" s="9" t="s">
        <v>223</v>
      </c>
      <c r="C83" s="17" t="n">
        <v>500</v>
      </c>
      <c r="D83" s="2"/>
    </row>
    <row r="84" customFormat="false" ht="15" hidden="false" customHeight="false" outlineLevel="0" collapsed="false">
      <c r="A84" s="9" t="s">
        <v>224</v>
      </c>
      <c r="B84" s="9" t="s">
        <v>223</v>
      </c>
      <c r="C84" s="17" t="n">
        <v>180</v>
      </c>
      <c r="D84" s="2"/>
    </row>
    <row r="85" customFormat="false" ht="15" hidden="false" customHeight="false" outlineLevel="0" collapsed="false">
      <c r="A85" s="9" t="s">
        <v>225</v>
      </c>
      <c r="B85" s="9" t="s">
        <v>220</v>
      </c>
      <c r="C85" s="17" t="n">
        <v>2</v>
      </c>
      <c r="D85" s="2"/>
    </row>
    <row r="86" customFormat="false" ht="15" hidden="false" customHeight="false" outlineLevel="0" collapsed="false">
      <c r="A86" s="9" t="s">
        <v>226</v>
      </c>
      <c r="B86" s="9" t="s">
        <v>227</v>
      </c>
      <c r="C86" s="17" t="n">
        <v>20</v>
      </c>
      <c r="D86" s="2" t="s">
        <v>228</v>
      </c>
    </row>
    <row r="87" customFormat="false" ht="15" hidden="false" customHeight="false" outlineLevel="0" collapsed="false">
      <c r="A87" s="9" t="s">
        <v>229</v>
      </c>
      <c r="B87" s="9" t="s">
        <v>227</v>
      </c>
      <c r="C87" s="18" t="n">
        <v>0.3</v>
      </c>
      <c r="D87" s="2"/>
    </row>
    <row r="88" customFormat="false" ht="15" hidden="false" customHeight="false" outlineLevel="0" collapsed="false">
      <c r="A88" s="9" t="s">
        <v>230</v>
      </c>
      <c r="B88" s="9" t="s">
        <v>227</v>
      </c>
      <c r="C88" s="18" t="n">
        <v>0.3</v>
      </c>
      <c r="D88" s="2"/>
    </row>
    <row r="89" customFormat="false" ht="15" hidden="false" customHeight="false" outlineLevel="0" collapsed="false">
      <c r="A89" s="9" t="s">
        <v>231</v>
      </c>
      <c r="B89" s="9" t="s">
        <v>232</v>
      </c>
      <c r="C89" s="13" t="n">
        <v>0.1</v>
      </c>
      <c r="D89" s="2"/>
    </row>
    <row r="90" customFormat="false" ht="15" hidden="false" customHeight="false" outlineLevel="0" collapsed="false">
      <c r="A90" s="9" t="s">
        <v>233</v>
      </c>
      <c r="B90" s="9" t="s">
        <v>192</v>
      </c>
      <c r="C90" s="17" t="n">
        <v>1500</v>
      </c>
      <c r="D90" s="2"/>
    </row>
    <row r="91" customFormat="false" ht="15" hidden="false" customHeight="false" outlineLevel="0" collapsed="false">
      <c r="A91" s="9" t="s">
        <v>234</v>
      </c>
      <c r="B91" s="9" t="s">
        <v>192</v>
      </c>
      <c r="C91" s="17" t="n">
        <v>1200</v>
      </c>
      <c r="D91" s="2"/>
    </row>
    <row r="92" customFormat="false" ht="15" hidden="false" customHeight="false" outlineLevel="0" collapsed="false">
      <c r="A92" s="9" t="s">
        <v>235</v>
      </c>
      <c r="B92" s="9" t="s">
        <v>192</v>
      </c>
      <c r="C92" s="17" t="n">
        <v>40</v>
      </c>
      <c r="D92" s="2" t="s">
        <v>236</v>
      </c>
    </row>
    <row r="93" customFormat="false" ht="15" hidden="false" customHeight="false" outlineLevel="0" collapsed="false">
      <c r="A93" s="9" t="s">
        <v>237</v>
      </c>
      <c r="B93" s="9" t="s">
        <v>192</v>
      </c>
      <c r="C93" s="17" t="n">
        <v>1800</v>
      </c>
      <c r="D93" s="2"/>
    </row>
    <row r="94" customFormat="false" ht="15" hidden="false" customHeight="false" outlineLevel="0" collapsed="false">
      <c r="A94" s="9" t="s">
        <v>238</v>
      </c>
      <c r="B94" s="9" t="s">
        <v>121</v>
      </c>
      <c r="C94" s="17" t="n">
        <v>8</v>
      </c>
      <c r="D94" s="2"/>
    </row>
    <row r="95" customFormat="false" ht="15" hidden="false" customHeight="false" outlineLevel="0" collapsed="false">
      <c r="A95" s="9" t="s">
        <v>239</v>
      </c>
      <c r="B95" s="9" t="s">
        <v>240</v>
      </c>
      <c r="C95" s="13" t="n">
        <v>0.025</v>
      </c>
      <c r="D95" s="2" t="s">
        <v>241</v>
      </c>
    </row>
    <row r="96" customFormat="false" ht="15" hidden="false" customHeight="false" outlineLevel="0" collapsed="false">
      <c r="A96" s="9" t="s">
        <v>242</v>
      </c>
      <c r="B96" s="9" t="s">
        <v>243</v>
      </c>
      <c r="C96" s="13" t="n">
        <v>0.03</v>
      </c>
      <c r="D96" s="2"/>
    </row>
    <row r="97" customFormat="false" ht="15" hidden="false" customHeight="false" outlineLevel="0" collapsed="false">
      <c r="A97" s="9" t="s">
        <v>244</v>
      </c>
      <c r="B97" s="9" t="s">
        <v>192</v>
      </c>
      <c r="C97" s="17" t="n">
        <v>1500</v>
      </c>
      <c r="D97" s="2"/>
    </row>
    <row r="98" customFormat="false" ht="15" hidden="false" customHeight="false" outlineLevel="0" collapsed="false">
      <c r="A98" s="9" t="s">
        <v>245</v>
      </c>
      <c r="B98" s="9" t="s">
        <v>246</v>
      </c>
      <c r="C98" s="13" t="n">
        <v>0.05</v>
      </c>
      <c r="D98" s="2" t="s">
        <v>247</v>
      </c>
    </row>
    <row r="99" customFormat="false" ht="15" hidden="false" customHeight="false" outlineLevel="0" collapsed="false">
      <c r="A99" s="3" t="s">
        <v>248</v>
      </c>
      <c r="B99" s="4"/>
      <c r="C99" s="4"/>
      <c r="D99" s="4"/>
    </row>
    <row r="100" customFormat="false" ht="15" hidden="false" customHeight="false" outlineLevel="0" collapsed="false">
      <c r="A100" s="9" t="s">
        <v>249</v>
      </c>
      <c r="B100" s="9" t="s">
        <v>250</v>
      </c>
      <c r="C100" s="20" t="n">
        <v>4.5</v>
      </c>
      <c r="D100" s="2"/>
    </row>
    <row r="101" customFormat="false" ht="15" hidden="false" customHeight="false" outlineLevel="0" collapsed="false">
      <c r="A101" s="9" t="s">
        <v>251</v>
      </c>
      <c r="B101" s="9" t="s">
        <v>72</v>
      </c>
      <c r="C101" s="13" t="n">
        <v>0.1</v>
      </c>
      <c r="D101" s="2"/>
    </row>
    <row r="102" customFormat="false" ht="15" hidden="false" customHeight="false" outlineLevel="0" collapsed="false">
      <c r="A102" s="9" t="s">
        <v>252</v>
      </c>
      <c r="B102" s="9" t="s">
        <v>253</v>
      </c>
      <c r="C102" s="13" t="n">
        <v>0.2</v>
      </c>
      <c r="D102" s="2" t="s">
        <v>254</v>
      </c>
    </row>
    <row r="103" customFormat="false" ht="15" hidden="false" customHeight="false" outlineLevel="0" collapsed="false">
      <c r="A103" s="9" t="s">
        <v>255</v>
      </c>
      <c r="B103" s="9" t="s">
        <v>72</v>
      </c>
      <c r="C103" s="13" t="n">
        <v>0.6</v>
      </c>
      <c r="D103" s="2"/>
    </row>
    <row r="104" customFormat="false" ht="15" hidden="false" customHeight="false" outlineLevel="0" collapsed="false">
      <c r="A104" s="9" t="s">
        <v>256</v>
      </c>
      <c r="B104" s="9" t="s">
        <v>257</v>
      </c>
      <c r="C104" s="17" t="n">
        <v>350</v>
      </c>
      <c r="D104" s="2" t="s">
        <v>258</v>
      </c>
    </row>
    <row r="105" customFormat="false" ht="15" hidden="false" customHeight="false" outlineLevel="0" collapsed="false">
      <c r="A105" s="9" t="s">
        <v>259</v>
      </c>
      <c r="B105" s="9" t="s">
        <v>257</v>
      </c>
      <c r="C105" s="17" t="n">
        <v>120</v>
      </c>
      <c r="D105" s="2" t="s">
        <v>260</v>
      </c>
    </row>
    <row r="106" customFormat="false" ht="15" hidden="false" customHeight="false" outlineLevel="0" collapsed="false">
      <c r="A106" s="9" t="s">
        <v>261</v>
      </c>
      <c r="B106" s="9" t="s">
        <v>69</v>
      </c>
      <c r="C106" s="17" t="n">
        <v>15</v>
      </c>
      <c r="D106" s="2"/>
    </row>
    <row r="107" customFormat="false" ht="15" hidden="false" customHeight="false" outlineLevel="0" collapsed="false">
      <c r="A107" s="9" t="s">
        <v>262</v>
      </c>
      <c r="B107" s="9" t="s">
        <v>69</v>
      </c>
      <c r="C107" s="17" t="n">
        <v>6</v>
      </c>
      <c r="D107" s="2" t="s">
        <v>263</v>
      </c>
    </row>
    <row r="108" customFormat="false" ht="15" hidden="false" customHeight="false" outlineLevel="0" collapsed="false">
      <c r="A108" s="9" t="s">
        <v>264</v>
      </c>
      <c r="B108" s="9" t="s">
        <v>265</v>
      </c>
      <c r="C108" s="13" t="n">
        <v>0.45</v>
      </c>
      <c r="D108" s="2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6" min="3" style="0" width="12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3" customFormat="false" ht="15" hidden="false" customHeight="false" outlineLevel="0" collapsed="false">
      <c r="A3" s="5" t="s">
        <v>269</v>
      </c>
      <c r="C3" s="21" t="n">
        <v>1</v>
      </c>
      <c r="D3" s="22" t="str">
        <f aca="false">CHOOSE($C$3,"Base","Downside","Upside")</f>
        <v>Base</v>
      </c>
    </row>
    <row r="5" customFormat="false" ht="15" hidden="false" customHeight="false" outlineLevel="0" collapsed="false">
      <c r="A5" s="7" t="s">
        <v>270</v>
      </c>
      <c r="B5" s="8" t="s">
        <v>271</v>
      </c>
      <c r="C5" s="8" t="s">
        <v>272</v>
      </c>
      <c r="D5" s="8" t="s">
        <v>273</v>
      </c>
      <c r="E5" s="8" t="s">
        <v>274</v>
      </c>
      <c r="F5" s="8" t="s">
        <v>275</v>
      </c>
    </row>
    <row r="6" customFormat="false" ht="15" hidden="false" customHeight="false" outlineLevel="0" collapsed="false">
      <c r="A6" s="9" t="s">
        <v>276</v>
      </c>
      <c r="B6" s="9" t="s">
        <v>277</v>
      </c>
      <c r="C6" s="23" t="n">
        <v>1</v>
      </c>
      <c r="D6" s="23" t="n">
        <v>0.85</v>
      </c>
      <c r="E6" s="23" t="n">
        <v>1.1</v>
      </c>
      <c r="F6" s="24" t="n">
        <f aca="false">CHOOSE($C$3,C6,D6,E6)</f>
        <v>1</v>
      </c>
    </row>
    <row r="7" customFormat="false" ht="15" hidden="false" customHeight="false" outlineLevel="0" collapsed="false">
      <c r="A7" s="9" t="s">
        <v>278</v>
      </c>
      <c r="B7" s="9" t="s">
        <v>279</v>
      </c>
      <c r="C7" s="23" t="n">
        <v>1</v>
      </c>
      <c r="D7" s="23" t="n">
        <v>0.85</v>
      </c>
      <c r="E7" s="23" t="n">
        <v>1.1</v>
      </c>
      <c r="F7" s="24" t="n">
        <f aca="false">CHOOSE($C$3,C7,D7,E7)</f>
        <v>1</v>
      </c>
    </row>
    <row r="8" customFormat="false" ht="15" hidden="false" customHeight="false" outlineLevel="0" collapsed="false">
      <c r="A8" s="9" t="s">
        <v>280</v>
      </c>
      <c r="B8" s="9" t="s">
        <v>281</v>
      </c>
      <c r="C8" s="23" t="n">
        <v>1</v>
      </c>
      <c r="D8" s="23" t="n">
        <v>1.2</v>
      </c>
      <c r="E8" s="23" t="n">
        <v>0.95</v>
      </c>
      <c r="F8" s="24" t="n">
        <f aca="false">CHOOSE($C$3,C8,D8,E8)</f>
        <v>1</v>
      </c>
    </row>
    <row r="9" customFormat="false" ht="15" hidden="false" customHeight="false" outlineLevel="0" collapsed="false">
      <c r="A9" s="9" t="s">
        <v>282</v>
      </c>
      <c r="B9" s="9" t="s">
        <v>283</v>
      </c>
      <c r="C9" s="23" t="n">
        <v>1</v>
      </c>
      <c r="D9" s="23" t="n">
        <v>1.1</v>
      </c>
      <c r="E9" s="23" t="n">
        <v>1</v>
      </c>
      <c r="F9" s="24" t="n">
        <f aca="false">CHOOSE($C$3,C9,D9,E9)</f>
        <v>1</v>
      </c>
    </row>
    <row r="10" customFormat="false" ht="15" hidden="false" customHeight="false" outlineLevel="0" collapsed="false">
      <c r="A10" s="9" t="s">
        <v>284</v>
      </c>
      <c r="B10" s="9" t="s">
        <v>285</v>
      </c>
      <c r="C10" s="13" t="n">
        <v>0</v>
      </c>
      <c r="D10" s="13" t="n">
        <v>-0.08</v>
      </c>
      <c r="E10" s="13" t="n">
        <v>0.04</v>
      </c>
      <c r="F10" s="25" t="n">
        <f aca="false">CHOOSE($C$3,C10,D10,E10)</f>
        <v>0</v>
      </c>
    </row>
    <row r="11" customFormat="false" ht="15" hidden="false" customHeight="false" outlineLevel="0" collapsed="false">
      <c r="A11" s="9" t="s">
        <v>286</v>
      </c>
      <c r="B11" s="9" t="s">
        <v>287</v>
      </c>
      <c r="C11" s="23" t="n">
        <v>1</v>
      </c>
      <c r="D11" s="23" t="n">
        <v>0.9</v>
      </c>
      <c r="E11" s="23" t="n">
        <v>1.08</v>
      </c>
      <c r="F11" s="24" t="n">
        <f aca="false">CHOOSE($C$3,C11,D11,E11)</f>
        <v>1</v>
      </c>
    </row>
    <row r="12" customFormat="false" ht="15" hidden="false" customHeight="false" outlineLevel="0" collapsed="false">
      <c r="A12" s="9" t="s">
        <v>288</v>
      </c>
      <c r="B12" s="9" t="s">
        <v>289</v>
      </c>
      <c r="C12" s="23" t="n">
        <v>1</v>
      </c>
      <c r="D12" s="23" t="n">
        <v>1.5</v>
      </c>
      <c r="E12" s="23" t="n">
        <v>0.8</v>
      </c>
      <c r="F12" s="24" t="n">
        <f aca="false">CHOOSE($C$3,C12,D12,E12)</f>
        <v>1</v>
      </c>
    </row>
    <row r="14" customFormat="false" ht="15" hidden="false" customHeight="false" outlineLevel="0" collapsed="false">
      <c r="A14" s="2" t="s">
        <v>290</v>
      </c>
    </row>
  </sheetData>
  <dataValidations count="1">
    <dataValidation allowBlank="false" errorStyle="stop" operator="between" showDropDown="false" showErrorMessage="false" showInputMessage="false" sqref="C3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 t="s">
        <v>292</v>
      </c>
    </row>
    <row r="4" customFormat="false" ht="15" hidden="false" customHeight="false" outlineLevel="0" collapsed="false">
      <c r="A4" s="7" t="s">
        <v>293</v>
      </c>
      <c r="B4" s="8" t="s">
        <v>294</v>
      </c>
      <c r="C4" s="8" t="s">
        <v>295</v>
      </c>
      <c r="D4" s="8" t="s">
        <v>60</v>
      </c>
      <c r="E4" s="8" t="s">
        <v>296</v>
      </c>
      <c r="F4" s="8" t="s">
        <v>297</v>
      </c>
      <c r="G4" s="8" t="s">
        <v>298</v>
      </c>
      <c r="H4" s="8" t="s">
        <v>299</v>
      </c>
      <c r="I4" s="8" t="s">
        <v>300</v>
      </c>
    </row>
    <row r="5" customFormat="false" ht="15" hidden="false" customHeight="false" outlineLevel="0" collapsed="false">
      <c r="A5" s="9" t="s">
        <v>301</v>
      </c>
      <c r="B5" s="9" t="s">
        <v>302</v>
      </c>
      <c r="C5" s="26" t="n">
        <f aca="false">Assumptions!$C$30</f>
        <v>40</v>
      </c>
      <c r="D5" s="9" t="s">
        <v>118</v>
      </c>
      <c r="E5" s="26" t="n">
        <f aca="false">Assumptions!$C$31</f>
        <v>1200</v>
      </c>
      <c r="F5" s="27" t="n">
        <f aca="false">C5*E5</f>
        <v>48000</v>
      </c>
      <c r="G5" s="28" t="n">
        <f aca="false">Assumptions!$C$107</f>
        <v>6</v>
      </c>
      <c r="H5" s="29" t="n">
        <f aca="false">Assumptions!$C$108</f>
        <v>0.45</v>
      </c>
      <c r="I5" s="27" t="n">
        <f aca="false">IF(G5&gt;0,F5*(1-H5)/G5,0)</f>
        <v>4400</v>
      </c>
    </row>
    <row r="6" customFormat="false" ht="15" hidden="false" customHeight="false" outlineLevel="0" collapsed="false">
      <c r="A6" s="9" t="s">
        <v>303</v>
      </c>
      <c r="B6" s="9" t="s">
        <v>302</v>
      </c>
      <c r="C6" s="26" t="n">
        <f aca="false">Assumptions!$C$43</f>
        <v>30</v>
      </c>
      <c r="D6" s="9" t="s">
        <v>118</v>
      </c>
      <c r="E6" s="26" t="n">
        <f aca="false">Assumptions!$C$44</f>
        <v>500</v>
      </c>
      <c r="F6" s="27" t="n">
        <f aca="false">C6*E6</f>
        <v>15000</v>
      </c>
      <c r="G6" s="28" t="n">
        <f aca="false">Assumptions!$C$107</f>
        <v>6</v>
      </c>
      <c r="H6" s="29" t="n">
        <f aca="false">Assumptions!$C$108</f>
        <v>0.45</v>
      </c>
      <c r="I6" s="27" t="n">
        <f aca="false">IF(G6&gt;0,F6*(1-H6)/G6,0)</f>
        <v>1375</v>
      </c>
    </row>
    <row r="7" customFormat="false" ht="15" hidden="false" customHeight="false" outlineLevel="0" collapsed="false">
      <c r="A7" s="9" t="s">
        <v>304</v>
      </c>
      <c r="B7" s="9" t="s">
        <v>302</v>
      </c>
      <c r="C7" s="27" t="n">
        <f aca="false">ROUND(Assumptions!$C$30*Assumptions!$C$102,0)</f>
        <v>8</v>
      </c>
      <c r="D7" s="9" t="s">
        <v>118</v>
      </c>
      <c r="E7" s="27" t="n">
        <f aca="false">Assumptions!$C$31*Assumptions!$C$103</f>
        <v>720</v>
      </c>
      <c r="F7" s="27" t="n">
        <f aca="false">C7*E7</f>
        <v>5760</v>
      </c>
      <c r="G7" s="28" t="n">
        <f aca="false">Assumptions!$C$107</f>
        <v>6</v>
      </c>
      <c r="H7" s="29" t="n">
        <f aca="false">Assumptions!$C$108</f>
        <v>0.45</v>
      </c>
      <c r="I7" s="27" t="n">
        <f aca="false">IF(G7&gt;0,F7*(1-H7)/G7,0)</f>
        <v>528</v>
      </c>
    </row>
    <row r="8" customFormat="false" ht="15" hidden="false" customHeight="false" outlineLevel="0" collapsed="false">
      <c r="A8" s="9" t="s">
        <v>305</v>
      </c>
      <c r="B8" s="9" t="s">
        <v>302</v>
      </c>
      <c r="C8" s="27" t="n">
        <f aca="false">ROUND(Assumptions!$C$43*Assumptions!$C$102,0)</f>
        <v>6</v>
      </c>
      <c r="D8" s="9" t="s">
        <v>118</v>
      </c>
      <c r="E8" s="27" t="n">
        <f aca="false">Assumptions!$C$44*Assumptions!$C$103</f>
        <v>300</v>
      </c>
      <c r="F8" s="27" t="n">
        <f aca="false">C8*E8</f>
        <v>1800</v>
      </c>
      <c r="G8" s="28" t="n">
        <f aca="false">Assumptions!$C$107</f>
        <v>6</v>
      </c>
      <c r="H8" s="29" t="n">
        <f aca="false">Assumptions!$C$108</f>
        <v>0.45</v>
      </c>
      <c r="I8" s="27" t="n">
        <f aca="false">IF(G8&gt;0,F8*(1-H8)/G8,0)</f>
        <v>165</v>
      </c>
    </row>
    <row r="9" customFormat="false" ht="15" hidden="false" customHeight="false" outlineLevel="0" collapsed="false">
      <c r="A9" s="9" t="s">
        <v>149</v>
      </c>
      <c r="B9" s="9" t="s">
        <v>302</v>
      </c>
      <c r="C9" s="26" t="n">
        <f aca="false">Assumptions!$C$45</f>
        <v>2</v>
      </c>
      <c r="D9" s="9" t="s">
        <v>118</v>
      </c>
      <c r="E9" s="26" t="n">
        <f aca="false">Assumptions!$C$46</f>
        <v>900</v>
      </c>
      <c r="F9" s="27" t="n">
        <f aca="false">C9*E9</f>
        <v>1800</v>
      </c>
      <c r="G9" s="14" t="n">
        <v>5</v>
      </c>
      <c r="H9" s="13" t="n">
        <v>0.4</v>
      </c>
      <c r="I9" s="27" t="n">
        <f aca="false">IF(G9&gt;0,F9*(1-H9)/G9,0)</f>
        <v>216</v>
      </c>
    </row>
    <row r="10" customFormat="false" ht="15" hidden="false" customHeight="false" outlineLevel="0" collapsed="false">
      <c r="A10" s="9" t="s">
        <v>306</v>
      </c>
      <c r="B10" s="9" t="s">
        <v>302</v>
      </c>
      <c r="C10" s="27" t="n">
        <f aca="false">Assumptions!$C$30+Assumptions!$C$43+Assumptions!$C$45+ROUND(Assumptions!$C$30*Assumptions!$C$102,0)+ROUND(Assumptions!$C$43*Assumptions!$C$102,0)</f>
        <v>86</v>
      </c>
      <c r="D10" s="9" t="s">
        <v>118</v>
      </c>
      <c r="E10" s="17" t="n">
        <v>25</v>
      </c>
      <c r="F10" s="27" t="n">
        <f aca="false">C10*E10</f>
        <v>2150</v>
      </c>
      <c r="G10" s="14" t="n">
        <v>0</v>
      </c>
      <c r="H10" s="13" t="n">
        <v>0</v>
      </c>
      <c r="I10" s="27" t="n">
        <f aca="false">IF(G10&gt;0,F10*(1-H10)/G10,0)</f>
        <v>0</v>
      </c>
    </row>
    <row r="11" customFormat="false" ht="15" hidden="false" customHeight="false" outlineLevel="0" collapsed="false">
      <c r="A11" s="9" t="s">
        <v>307</v>
      </c>
      <c r="B11" s="9" t="s">
        <v>308</v>
      </c>
      <c r="C11" s="30" t="n">
        <f aca="false">Assumptions!$C$30*Assumptions!$C$100</f>
        <v>180</v>
      </c>
      <c r="D11" s="9" t="s">
        <v>250</v>
      </c>
      <c r="E11" s="17" t="n">
        <v>85</v>
      </c>
      <c r="F11" s="27" t="n">
        <f aca="false">C11*E11</f>
        <v>15300</v>
      </c>
      <c r="G11" s="14" t="n">
        <v>20</v>
      </c>
      <c r="H11" s="13" t="n">
        <v>0</v>
      </c>
      <c r="I11" s="27" t="n">
        <f aca="false">IF(G11&gt;0,F11*(1-H11)/G11,0)</f>
        <v>765</v>
      </c>
    </row>
    <row r="12" customFormat="false" ht="15" hidden="false" customHeight="false" outlineLevel="0" collapsed="false">
      <c r="A12" s="9" t="s">
        <v>309</v>
      </c>
      <c r="B12" s="9" t="s">
        <v>308</v>
      </c>
      <c r="C12" s="17" t="n">
        <v>60</v>
      </c>
      <c r="D12" s="9" t="s">
        <v>250</v>
      </c>
      <c r="E12" s="17" t="n">
        <v>70</v>
      </c>
      <c r="F12" s="27" t="n">
        <f aca="false">C12*E12</f>
        <v>4200</v>
      </c>
      <c r="G12" s="14" t="n">
        <v>20</v>
      </c>
      <c r="H12" s="13" t="n">
        <v>0</v>
      </c>
      <c r="I12" s="27" t="n">
        <f aca="false">IF(G12&gt;0,F12*(1-H12)/G12,0)</f>
        <v>210</v>
      </c>
    </row>
    <row r="13" customFormat="false" ht="15" hidden="false" customHeight="false" outlineLevel="0" collapsed="false">
      <c r="A13" s="9" t="s">
        <v>310</v>
      </c>
      <c r="B13" s="9" t="s">
        <v>308</v>
      </c>
      <c r="C13" s="17" t="n">
        <v>30</v>
      </c>
      <c r="D13" s="9" t="s">
        <v>250</v>
      </c>
      <c r="E13" s="17" t="n">
        <v>150</v>
      </c>
      <c r="F13" s="27" t="n">
        <f aca="false">C13*E13</f>
        <v>4500</v>
      </c>
      <c r="G13" s="14" t="n">
        <v>20</v>
      </c>
      <c r="H13" s="13" t="n">
        <v>0</v>
      </c>
      <c r="I13" s="27" t="n">
        <f aca="false">IF(G13&gt;0,F13*(1-H13)/G13,0)</f>
        <v>225</v>
      </c>
    </row>
    <row r="14" customFormat="false" ht="15" hidden="false" customHeight="false" outlineLevel="0" collapsed="false">
      <c r="A14" s="9" t="s">
        <v>311</v>
      </c>
      <c r="B14" s="9" t="s">
        <v>308</v>
      </c>
      <c r="C14" s="17" t="n">
        <v>80</v>
      </c>
      <c r="D14" s="9" t="s">
        <v>250</v>
      </c>
      <c r="E14" s="17" t="n">
        <v>45</v>
      </c>
      <c r="F14" s="27" t="n">
        <f aca="false">C14*E14</f>
        <v>3600</v>
      </c>
      <c r="G14" s="14" t="n">
        <v>20</v>
      </c>
      <c r="H14" s="13" t="n">
        <v>0</v>
      </c>
      <c r="I14" s="27" t="n">
        <f aca="false">IF(G14&gt;0,F14*(1-H14)/G14,0)</f>
        <v>180</v>
      </c>
    </row>
    <row r="15" customFormat="false" ht="15" hidden="false" customHeight="false" outlineLevel="0" collapsed="false">
      <c r="A15" s="9" t="s">
        <v>312</v>
      </c>
      <c r="B15" s="9" t="s">
        <v>308</v>
      </c>
      <c r="C15" s="17" t="n">
        <v>1</v>
      </c>
      <c r="D15" s="9" t="s">
        <v>313</v>
      </c>
      <c r="E15" s="17" t="n">
        <v>4500</v>
      </c>
      <c r="F15" s="27" t="n">
        <f aca="false">C15*E15</f>
        <v>4500</v>
      </c>
      <c r="G15" s="14" t="n">
        <v>20</v>
      </c>
      <c r="H15" s="13" t="n">
        <v>0</v>
      </c>
      <c r="I15" s="27" t="n">
        <f aca="false">IF(G15&gt;0,F15*(1-H15)/G15,0)</f>
        <v>225</v>
      </c>
    </row>
    <row r="16" customFormat="false" ht="15" hidden="false" customHeight="false" outlineLevel="0" collapsed="false">
      <c r="A16" s="9" t="s">
        <v>314</v>
      </c>
      <c r="B16" s="9" t="s">
        <v>308</v>
      </c>
      <c r="C16" s="17" t="n">
        <v>300</v>
      </c>
      <c r="D16" s="9" t="s">
        <v>250</v>
      </c>
      <c r="E16" s="17" t="n">
        <v>18</v>
      </c>
      <c r="F16" s="27" t="n">
        <f aca="false">C16*E16</f>
        <v>5400</v>
      </c>
      <c r="G16" s="14" t="n">
        <v>15</v>
      </c>
      <c r="H16" s="13" t="n">
        <v>0</v>
      </c>
      <c r="I16" s="27" t="n">
        <f aca="false">IF(G16&gt;0,F16*(1-H16)/G16,0)</f>
        <v>360</v>
      </c>
    </row>
    <row r="17" customFormat="false" ht="15" hidden="false" customHeight="false" outlineLevel="0" collapsed="false">
      <c r="A17" s="9" t="s">
        <v>315</v>
      </c>
      <c r="B17" s="9" t="s">
        <v>316</v>
      </c>
      <c r="C17" s="17" t="n">
        <v>1</v>
      </c>
      <c r="D17" s="9" t="s">
        <v>313</v>
      </c>
      <c r="E17" s="17" t="n">
        <v>9000</v>
      </c>
      <c r="F17" s="27" t="n">
        <f aca="false">C17*E17</f>
        <v>9000</v>
      </c>
      <c r="G17" s="14" t="n">
        <v>10</v>
      </c>
      <c r="H17" s="13" t="n">
        <v>0</v>
      </c>
      <c r="I17" s="27" t="n">
        <f aca="false">IF(G17&gt;0,F17*(1-H17)/G17,0)</f>
        <v>900</v>
      </c>
    </row>
    <row r="18" customFormat="false" ht="15" hidden="false" customHeight="false" outlineLevel="0" collapsed="false">
      <c r="A18" s="9" t="s">
        <v>317</v>
      </c>
      <c r="B18" s="9" t="s">
        <v>316</v>
      </c>
      <c r="C18" s="17" t="n">
        <v>12</v>
      </c>
      <c r="D18" s="9" t="s">
        <v>318</v>
      </c>
      <c r="E18" s="17" t="n">
        <v>150</v>
      </c>
      <c r="F18" s="27" t="n">
        <f aca="false">C18*E18</f>
        <v>1800</v>
      </c>
      <c r="G18" s="14" t="n">
        <v>10</v>
      </c>
      <c r="H18" s="13" t="n">
        <v>0</v>
      </c>
      <c r="I18" s="27" t="n">
        <f aca="false">IF(G18&gt;0,F18*(1-H18)/G18,0)</f>
        <v>180</v>
      </c>
    </row>
    <row r="19" customFormat="false" ht="15" hidden="false" customHeight="false" outlineLevel="0" collapsed="false">
      <c r="A19" s="9" t="s">
        <v>319</v>
      </c>
      <c r="B19" s="9" t="s">
        <v>320</v>
      </c>
      <c r="C19" s="17" t="n">
        <v>1</v>
      </c>
      <c r="D19" s="9" t="s">
        <v>313</v>
      </c>
      <c r="E19" s="17" t="n">
        <v>3000</v>
      </c>
      <c r="F19" s="27" t="n">
        <f aca="false">C19*E19</f>
        <v>3000</v>
      </c>
      <c r="G19" s="14" t="n">
        <v>10</v>
      </c>
      <c r="H19" s="13" t="n">
        <v>0</v>
      </c>
      <c r="I19" s="27" t="n">
        <f aca="false">IF(G19&gt;0,F19*(1-H19)/G19,0)</f>
        <v>300</v>
      </c>
    </row>
    <row r="20" customFormat="false" ht="15" hidden="false" customHeight="false" outlineLevel="0" collapsed="false">
      <c r="A20" s="9" t="s">
        <v>321</v>
      </c>
      <c r="B20" s="9" t="s">
        <v>320</v>
      </c>
      <c r="C20" s="17" t="n">
        <v>1</v>
      </c>
      <c r="D20" s="9" t="s">
        <v>313</v>
      </c>
      <c r="E20" s="17" t="n">
        <v>900</v>
      </c>
      <c r="F20" s="27" t="n">
        <f aca="false">C20*E20</f>
        <v>900</v>
      </c>
      <c r="G20" s="14" t="n">
        <v>8</v>
      </c>
      <c r="H20" s="13" t="n">
        <v>0</v>
      </c>
      <c r="I20" s="27" t="n">
        <f aca="false">IF(G20&gt;0,F20*(1-H20)/G20,0)</f>
        <v>112.5</v>
      </c>
    </row>
    <row r="21" customFormat="false" ht="15" hidden="false" customHeight="false" outlineLevel="0" collapsed="false">
      <c r="A21" s="9" t="s">
        <v>322</v>
      </c>
      <c r="B21" s="9" t="s">
        <v>320</v>
      </c>
      <c r="C21" s="17" t="n">
        <v>1</v>
      </c>
      <c r="D21" s="9" t="s">
        <v>313</v>
      </c>
      <c r="E21" s="17" t="n">
        <v>3500</v>
      </c>
      <c r="F21" s="27" t="n">
        <f aca="false">C21*E21</f>
        <v>3500</v>
      </c>
      <c r="G21" s="14" t="n">
        <v>8</v>
      </c>
      <c r="H21" s="13" t="n">
        <v>0</v>
      </c>
      <c r="I21" s="27" t="n">
        <f aca="false">IF(G21&gt;0,F21*(1-H21)/G21,0)</f>
        <v>437.5</v>
      </c>
    </row>
    <row r="22" customFormat="false" ht="15" hidden="false" customHeight="false" outlineLevel="0" collapsed="false">
      <c r="A22" s="9" t="s">
        <v>323</v>
      </c>
      <c r="B22" s="9" t="s">
        <v>320</v>
      </c>
      <c r="C22" s="17" t="n">
        <v>1</v>
      </c>
      <c r="D22" s="9" t="s">
        <v>313</v>
      </c>
      <c r="E22" s="17" t="n">
        <v>3800</v>
      </c>
      <c r="F22" s="27" t="n">
        <f aca="false">C22*E22</f>
        <v>3800</v>
      </c>
      <c r="G22" s="14" t="n">
        <v>8</v>
      </c>
      <c r="H22" s="13" t="n">
        <v>0</v>
      </c>
      <c r="I22" s="27" t="n">
        <f aca="false">IF(G22&gt;0,F22*(1-H22)/G22,0)</f>
        <v>475</v>
      </c>
    </row>
    <row r="23" customFormat="false" ht="15" hidden="false" customHeight="false" outlineLevel="0" collapsed="false">
      <c r="A23" s="9" t="s">
        <v>324</v>
      </c>
      <c r="B23" s="9" t="s">
        <v>320</v>
      </c>
      <c r="C23" s="17" t="n">
        <v>1</v>
      </c>
      <c r="D23" s="9" t="s">
        <v>313</v>
      </c>
      <c r="E23" s="17" t="n">
        <v>1500</v>
      </c>
      <c r="F23" s="27" t="n">
        <f aca="false">C23*E23</f>
        <v>1500</v>
      </c>
      <c r="G23" s="14" t="n">
        <v>8</v>
      </c>
      <c r="H23" s="13" t="n">
        <v>0</v>
      </c>
      <c r="I23" s="27" t="n">
        <f aca="false">IF(G23&gt;0,F23*(1-H23)/G23,0)</f>
        <v>187.5</v>
      </c>
    </row>
    <row r="24" customFormat="false" ht="15" hidden="false" customHeight="false" outlineLevel="0" collapsed="false">
      <c r="A24" s="9" t="s">
        <v>325</v>
      </c>
      <c r="B24" s="9" t="s">
        <v>320</v>
      </c>
      <c r="C24" s="17" t="n">
        <v>1</v>
      </c>
      <c r="D24" s="9" t="s">
        <v>313</v>
      </c>
      <c r="E24" s="17" t="n">
        <v>1800</v>
      </c>
      <c r="F24" s="27" t="n">
        <f aca="false">C24*E24</f>
        <v>1800</v>
      </c>
      <c r="G24" s="14" t="n">
        <v>6</v>
      </c>
      <c r="H24" s="13" t="n">
        <v>0</v>
      </c>
      <c r="I24" s="27" t="n">
        <f aca="false">IF(G24&gt;0,F24*(1-H24)/G24,0)</f>
        <v>300</v>
      </c>
    </row>
    <row r="25" customFormat="false" ht="15" hidden="false" customHeight="false" outlineLevel="0" collapsed="false">
      <c r="A25" s="9" t="s">
        <v>326</v>
      </c>
      <c r="B25" s="9" t="s">
        <v>320</v>
      </c>
      <c r="C25" s="17" t="n">
        <v>1</v>
      </c>
      <c r="D25" s="9" t="s">
        <v>313</v>
      </c>
      <c r="E25" s="17" t="n">
        <v>2000</v>
      </c>
      <c r="F25" s="27" t="n">
        <f aca="false">C25*E25</f>
        <v>2000</v>
      </c>
      <c r="G25" s="14" t="n">
        <v>8</v>
      </c>
      <c r="H25" s="13" t="n">
        <v>0</v>
      </c>
      <c r="I25" s="27" t="n">
        <f aca="false">IF(G25&gt;0,F25*(1-H25)/G25,0)</f>
        <v>250</v>
      </c>
    </row>
    <row r="26" customFormat="false" ht="15" hidden="false" customHeight="false" outlineLevel="0" collapsed="false">
      <c r="A26" s="9" t="s">
        <v>327</v>
      </c>
      <c r="B26" s="9" t="s">
        <v>328</v>
      </c>
      <c r="C26" s="17" t="n">
        <v>4400</v>
      </c>
      <c r="D26" s="9" t="s">
        <v>329</v>
      </c>
      <c r="E26" s="18" t="n">
        <v>2.5</v>
      </c>
      <c r="F26" s="27" t="n">
        <f aca="false">C26*E26</f>
        <v>11000</v>
      </c>
      <c r="G26" s="14" t="n">
        <v>12</v>
      </c>
      <c r="H26" s="13" t="n">
        <v>0</v>
      </c>
      <c r="I26" s="27" t="n">
        <f aca="false">IF(G26&gt;0,F26*(1-H26)/G26,0)</f>
        <v>916.666666666667</v>
      </c>
    </row>
    <row r="27" customFormat="false" ht="15" hidden="false" customHeight="false" outlineLevel="0" collapsed="false">
      <c r="A27" s="9" t="s">
        <v>330</v>
      </c>
      <c r="B27" s="9" t="s">
        <v>328</v>
      </c>
      <c r="C27" s="17" t="n">
        <v>1</v>
      </c>
      <c r="D27" s="9" t="s">
        <v>313</v>
      </c>
      <c r="E27" s="17" t="n">
        <v>3500</v>
      </c>
      <c r="F27" s="27" t="n">
        <f aca="false">C27*E27</f>
        <v>3500</v>
      </c>
      <c r="G27" s="14" t="n">
        <v>8</v>
      </c>
      <c r="H27" s="13" t="n">
        <v>0</v>
      </c>
      <c r="I27" s="27" t="n">
        <f aca="false">IF(G27&gt;0,F27*(1-H27)/G27,0)</f>
        <v>437.5</v>
      </c>
    </row>
    <row r="28" customFormat="false" ht="15" hidden="false" customHeight="false" outlineLevel="0" collapsed="false">
      <c r="A28" s="9" t="s">
        <v>331</v>
      </c>
      <c r="B28" s="9" t="s">
        <v>332</v>
      </c>
      <c r="C28" s="27" t="n">
        <f aca="false">Assumptions!$C$23*Assumptions!$C$24</f>
        <v>0</v>
      </c>
      <c r="D28" s="9" t="s">
        <v>103</v>
      </c>
      <c r="E28" s="26" t="n">
        <f aca="false">Assumptions!$C$26</f>
        <v>900</v>
      </c>
      <c r="F28" s="27" t="n">
        <f aca="false">C28*E28</f>
        <v>0</v>
      </c>
      <c r="G28" s="14" t="n">
        <v>0</v>
      </c>
      <c r="H28" s="13" t="n">
        <v>0</v>
      </c>
      <c r="I28" s="27" t="n">
        <f aca="false">IF(G28&gt;0,F28*(1-H28)/G28,0)</f>
        <v>0</v>
      </c>
    </row>
    <row r="29" customFormat="false" ht="15" hidden="false" customHeight="false" outlineLevel="0" collapsed="false">
      <c r="A29" s="9" t="s">
        <v>333</v>
      </c>
      <c r="B29" s="9" t="s">
        <v>334</v>
      </c>
      <c r="C29" s="17" t="n">
        <v>30</v>
      </c>
      <c r="D29" s="9" t="s">
        <v>103</v>
      </c>
      <c r="E29" s="17" t="n">
        <v>120</v>
      </c>
      <c r="F29" s="27" t="n">
        <f aca="false">C29*E29</f>
        <v>3600</v>
      </c>
      <c r="G29" s="14" t="n">
        <v>10</v>
      </c>
      <c r="H29" s="13" t="n">
        <v>0</v>
      </c>
      <c r="I29" s="27" t="n">
        <f aca="false">IF(G29&gt;0,F29*(1-H29)/G29,0)</f>
        <v>360</v>
      </c>
    </row>
    <row r="30" customFormat="false" ht="15" hidden="false" customHeight="false" outlineLevel="0" collapsed="false">
      <c r="A30" s="9" t="s">
        <v>335</v>
      </c>
      <c r="B30" s="9" t="s">
        <v>334</v>
      </c>
      <c r="C30" s="17" t="n">
        <v>6</v>
      </c>
      <c r="D30" s="9" t="s">
        <v>103</v>
      </c>
      <c r="E30" s="17" t="n">
        <v>700</v>
      </c>
      <c r="F30" s="27" t="n">
        <f aca="false">C30*E30</f>
        <v>4200</v>
      </c>
      <c r="G30" s="14" t="n">
        <v>8</v>
      </c>
      <c r="H30" s="13" t="n">
        <v>0</v>
      </c>
      <c r="I30" s="27" t="n">
        <f aca="false">IF(G30&gt;0,F30*(1-H30)/G30,0)</f>
        <v>525</v>
      </c>
    </row>
    <row r="31" customFormat="false" ht="15" hidden="false" customHeight="false" outlineLevel="0" collapsed="false">
      <c r="A31" s="9" t="s">
        <v>336</v>
      </c>
      <c r="B31" s="9" t="s">
        <v>337</v>
      </c>
      <c r="C31" s="17" t="n">
        <v>1</v>
      </c>
      <c r="D31" s="9" t="s">
        <v>318</v>
      </c>
      <c r="E31" s="17" t="n">
        <v>8000</v>
      </c>
      <c r="F31" s="27" t="n">
        <f aca="false">C31*E31</f>
        <v>8000</v>
      </c>
      <c r="G31" s="14" t="n">
        <v>8</v>
      </c>
      <c r="H31" s="13" t="n">
        <v>0.2</v>
      </c>
      <c r="I31" s="27" t="n">
        <f aca="false">IF(G31&gt;0,F31*(1-H31)/G31,0)</f>
        <v>800</v>
      </c>
    </row>
    <row r="32" customFormat="false" ht="15" hidden="false" customHeight="false" outlineLevel="0" collapsed="false">
      <c r="A32" s="9" t="s">
        <v>338</v>
      </c>
      <c r="B32" s="9" t="s">
        <v>337</v>
      </c>
      <c r="C32" s="17" t="n">
        <v>2</v>
      </c>
      <c r="D32" s="9" t="s">
        <v>318</v>
      </c>
      <c r="E32" s="17" t="n">
        <v>1500</v>
      </c>
      <c r="F32" s="27" t="n">
        <f aca="false">C32*E32</f>
        <v>3000</v>
      </c>
      <c r="G32" s="14" t="n">
        <v>5</v>
      </c>
      <c r="H32" s="13" t="n">
        <v>0.1</v>
      </c>
      <c r="I32" s="27" t="n">
        <f aca="false">IF(G32&gt;0,F32*(1-H32)/G32,0)</f>
        <v>540</v>
      </c>
    </row>
    <row r="33" customFormat="false" ht="15" hidden="false" customHeight="false" outlineLevel="0" collapsed="false">
      <c r="A33" s="9" t="s">
        <v>339</v>
      </c>
      <c r="B33" s="9" t="s">
        <v>337</v>
      </c>
      <c r="C33" s="17" t="n">
        <v>1</v>
      </c>
      <c r="D33" s="9" t="s">
        <v>318</v>
      </c>
      <c r="E33" s="17" t="n">
        <v>2500</v>
      </c>
      <c r="F33" s="27" t="n">
        <f aca="false">C33*E33</f>
        <v>2500</v>
      </c>
      <c r="G33" s="14" t="n">
        <v>10</v>
      </c>
      <c r="H33" s="13" t="n">
        <v>0</v>
      </c>
      <c r="I33" s="27" t="n">
        <f aca="false">IF(G33&gt;0,F33*(1-H33)/G33,0)</f>
        <v>250</v>
      </c>
    </row>
    <row r="34" customFormat="false" ht="15" hidden="false" customHeight="false" outlineLevel="0" collapsed="false">
      <c r="A34" s="9" t="s">
        <v>340</v>
      </c>
      <c r="B34" s="9" t="s">
        <v>341</v>
      </c>
      <c r="C34" s="17" t="n">
        <v>1</v>
      </c>
      <c r="D34" s="9" t="s">
        <v>313</v>
      </c>
      <c r="E34" s="17" t="n">
        <v>1500</v>
      </c>
      <c r="F34" s="27" t="n">
        <f aca="false">C34*E34</f>
        <v>1500</v>
      </c>
      <c r="G34" s="14" t="n">
        <v>5</v>
      </c>
      <c r="H34" s="13" t="n">
        <v>0</v>
      </c>
      <c r="I34" s="27" t="n">
        <f aca="false">IF(G34&gt;0,F34*(1-H34)/G34,0)</f>
        <v>300</v>
      </c>
    </row>
    <row r="35" customFormat="false" ht="15" hidden="false" customHeight="false" outlineLevel="0" collapsed="false">
      <c r="A35" s="9" t="s">
        <v>342</v>
      </c>
      <c r="B35" s="9" t="s">
        <v>341</v>
      </c>
      <c r="C35" s="17" t="n">
        <v>1</v>
      </c>
      <c r="D35" s="9" t="s">
        <v>313</v>
      </c>
      <c r="E35" s="17" t="n">
        <v>1000</v>
      </c>
      <c r="F35" s="27" t="n">
        <f aca="false">C35*E35</f>
        <v>1000</v>
      </c>
      <c r="G35" s="14" t="n">
        <v>3</v>
      </c>
      <c r="H35" s="13" t="n">
        <v>0</v>
      </c>
      <c r="I35" s="27" t="n">
        <f aca="false">IF(G35&gt;0,F35*(1-H35)/G35,0)</f>
        <v>333.333333333333</v>
      </c>
    </row>
    <row r="36" customFormat="false" ht="15" hidden="false" customHeight="false" outlineLevel="0" collapsed="false">
      <c r="A36" s="9" t="s">
        <v>343</v>
      </c>
      <c r="B36" s="9" t="s">
        <v>344</v>
      </c>
      <c r="C36" s="31" t="n">
        <v>1</v>
      </c>
      <c r="D36" s="9" t="s">
        <v>313</v>
      </c>
      <c r="E36" s="27" t="n">
        <f aca="false">SUMIFS(F5:F35,B5:B35,"&lt;&gt;Livestock",B5:B35,"&lt;&gt;Land")*Assumptions!$C$101</f>
        <v>10310</v>
      </c>
      <c r="F36" s="27" t="n">
        <f aca="false">C36*E36</f>
        <v>10310</v>
      </c>
      <c r="G36" s="14" t="n">
        <v>15</v>
      </c>
      <c r="H36" s="13" t="n">
        <v>0</v>
      </c>
      <c r="I36" s="27" t="n">
        <f aca="false">IF(G36&gt;0,F36*(1-H36)/G36,0)</f>
        <v>687.333333333333</v>
      </c>
    </row>
    <row r="37" customFormat="false" ht="15" hidden="false" customHeight="false" outlineLevel="0" collapsed="false">
      <c r="A37" s="32" t="s">
        <v>345</v>
      </c>
      <c r="B37" s="33"/>
      <c r="C37" s="33"/>
      <c r="D37" s="33"/>
      <c r="E37" s="33"/>
      <c r="F37" s="34" t="n">
        <f aca="false">SUM(F5:F36)</f>
        <v>187920</v>
      </c>
      <c r="G37" s="33"/>
      <c r="H37" s="33"/>
      <c r="I37" s="34" t="n">
        <f aca="false">SUM(I5:I36)</f>
        <v>16941.3333333333</v>
      </c>
    </row>
    <row r="39" customFormat="false" ht="15" hidden="false" customHeight="false" outlineLevel="0" collapsed="false">
      <c r="A39" s="5" t="s">
        <v>346</v>
      </c>
    </row>
    <row r="40" customFormat="false" ht="15" hidden="false" customHeight="false" outlineLevel="0" collapsed="false">
      <c r="A40" s="7" t="s">
        <v>294</v>
      </c>
      <c r="B40" s="8"/>
      <c r="C40" s="8"/>
      <c r="D40" s="8"/>
      <c r="E40" s="8"/>
      <c r="F40" s="8" t="s">
        <v>347</v>
      </c>
      <c r="G40" s="8" t="s">
        <v>348</v>
      </c>
    </row>
    <row r="41" customFormat="false" ht="15" hidden="false" customHeight="false" outlineLevel="0" collapsed="false">
      <c r="A41" s="9" t="s">
        <v>302</v>
      </c>
      <c r="F41" s="27" t="n">
        <f aca="false">SUMIFS($F$5:$F$36,$B$5:$B$36,A41)</f>
        <v>74510</v>
      </c>
      <c r="G41" s="35" t="n">
        <f aca="false">IF($F$37&gt;0,F41/$F$37,0)</f>
        <v>0.396498510004257</v>
      </c>
    </row>
    <row r="42" customFormat="false" ht="15" hidden="false" customHeight="false" outlineLevel="0" collapsed="false">
      <c r="A42" s="9" t="s">
        <v>308</v>
      </c>
      <c r="F42" s="27" t="n">
        <f aca="false">SUMIFS($F$5:$F$36,$B$5:$B$36,A42)</f>
        <v>37500</v>
      </c>
      <c r="G42" s="35" t="n">
        <f aca="false">IF($F$37&gt;0,F42/$F$37,0)</f>
        <v>0.199553001277139</v>
      </c>
    </row>
    <row r="43" customFormat="false" ht="15" hidden="false" customHeight="false" outlineLevel="0" collapsed="false">
      <c r="A43" s="9" t="s">
        <v>316</v>
      </c>
      <c r="F43" s="27" t="n">
        <f aca="false">SUMIFS($F$5:$F$36,$B$5:$B$36,A43)</f>
        <v>10800</v>
      </c>
      <c r="G43" s="35" t="n">
        <f aca="false">IF($F$37&gt;0,F43/$F$37,0)</f>
        <v>0.0574712643678161</v>
      </c>
    </row>
    <row r="44" customFormat="false" ht="15" hidden="false" customHeight="false" outlineLevel="0" collapsed="false">
      <c r="A44" s="9" t="s">
        <v>320</v>
      </c>
      <c r="F44" s="27" t="n">
        <f aca="false">SUMIFS($F$5:$F$36,$B$5:$B$36,A44)</f>
        <v>16500</v>
      </c>
      <c r="G44" s="35" t="n">
        <f aca="false">IF($F$37&gt;0,F44/$F$37,0)</f>
        <v>0.0878033205619413</v>
      </c>
    </row>
    <row r="45" customFormat="false" ht="15" hidden="false" customHeight="false" outlineLevel="0" collapsed="false">
      <c r="A45" s="9" t="s">
        <v>328</v>
      </c>
      <c r="F45" s="27" t="n">
        <f aca="false">SUMIFS($F$5:$F$36,$B$5:$B$36,A45)</f>
        <v>14500</v>
      </c>
      <c r="G45" s="35" t="n">
        <f aca="false">IF($F$37&gt;0,F45/$F$37,0)</f>
        <v>0.0771604938271605</v>
      </c>
    </row>
    <row r="46" customFormat="false" ht="15" hidden="false" customHeight="false" outlineLevel="0" collapsed="false">
      <c r="A46" s="9" t="s">
        <v>332</v>
      </c>
      <c r="F46" s="27" t="n">
        <f aca="false">SUMIFS($F$5:$F$36,$B$5:$B$36,A46)</f>
        <v>0</v>
      </c>
      <c r="G46" s="35" t="n">
        <f aca="false">IF($F$37&gt;0,F46/$F$37,0)</f>
        <v>0</v>
      </c>
    </row>
    <row r="47" customFormat="false" ht="15" hidden="false" customHeight="false" outlineLevel="0" collapsed="false">
      <c r="A47" s="9" t="s">
        <v>334</v>
      </c>
      <c r="F47" s="27" t="n">
        <f aca="false">SUMIFS($F$5:$F$36,$B$5:$B$36,A47)</f>
        <v>7800</v>
      </c>
      <c r="G47" s="35" t="n">
        <f aca="false">IF($F$37&gt;0,F47/$F$37,0)</f>
        <v>0.041507024265645</v>
      </c>
    </row>
    <row r="48" customFormat="false" ht="15" hidden="false" customHeight="false" outlineLevel="0" collapsed="false">
      <c r="A48" s="9" t="s">
        <v>337</v>
      </c>
      <c r="F48" s="27" t="n">
        <f aca="false">SUMIFS($F$5:$F$36,$B$5:$B$36,A48)</f>
        <v>13500</v>
      </c>
      <c r="G48" s="35" t="n">
        <f aca="false">IF($F$37&gt;0,F48/$F$37,0)</f>
        <v>0.0718390804597701</v>
      </c>
    </row>
    <row r="49" customFormat="false" ht="15" hidden="false" customHeight="false" outlineLevel="0" collapsed="false">
      <c r="A49" s="9" t="s">
        <v>341</v>
      </c>
      <c r="F49" s="27" t="n">
        <f aca="false">SUMIFS($F$5:$F$36,$B$5:$B$36,A49)</f>
        <v>2500</v>
      </c>
      <c r="G49" s="35" t="n">
        <f aca="false">IF($F$37&gt;0,F49/$F$37,0)</f>
        <v>0.0133035334184759</v>
      </c>
    </row>
    <row r="50" customFormat="false" ht="15" hidden="false" customHeight="false" outlineLevel="0" collapsed="false">
      <c r="A50" s="9" t="s">
        <v>344</v>
      </c>
      <c r="F50" s="27" t="n">
        <f aca="false">SUMIFS($F$5:$F$36,$B$5:$B$36,A50)</f>
        <v>10310</v>
      </c>
      <c r="G50" s="35" t="n">
        <f aca="false">IF($F$37&gt;0,F50/$F$37,0)</f>
        <v>0.0548637718177948</v>
      </c>
    </row>
    <row r="51" customFormat="false" ht="15" hidden="false" customHeight="false" outlineLevel="0" collapsed="false">
      <c r="A51" s="5" t="s">
        <v>349</v>
      </c>
      <c r="F51" s="36" t="n">
        <f aca="false">F42+F43+F44+F45+F48</f>
        <v>92800</v>
      </c>
    </row>
    <row r="53" customFormat="false" ht="15" hidden="false" customHeight="false" outlineLevel="0" collapsed="false">
      <c r="A53" s="2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351</v>
      </c>
    </row>
    <row r="2" customFormat="false" ht="15" hidden="false" customHeight="false" outlineLevel="0" collapsed="false">
      <c r="A2" s="2" t="s">
        <v>352</v>
      </c>
    </row>
    <row r="4" customFormat="false" ht="15" hidden="false" customHeight="false" outlineLevel="0" collapsed="false">
      <c r="A4" s="7" t="s">
        <v>353</v>
      </c>
      <c r="B4" s="8" t="s">
        <v>60</v>
      </c>
      <c r="C4" s="37" t="n">
        <v>0</v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</row>
    <row r="5" customFormat="false" ht="15" hidden="false" customHeight="false" outlineLevel="0" collapsed="false">
      <c r="A5" s="3" t="s">
        <v>354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A6" s="9" t="s">
        <v>355</v>
      </c>
      <c r="B6" s="9" t="s">
        <v>118</v>
      </c>
      <c r="C6" s="38" t="n">
        <f aca="false">Assumptions!$C$30</f>
        <v>40</v>
      </c>
      <c r="D6" s="39" t="n">
        <f aca="false">C6</f>
        <v>40</v>
      </c>
      <c r="E6" s="39" t="n">
        <f aca="false">D6*(1-D7)+C13</f>
        <v>38.4</v>
      </c>
      <c r="F6" s="39" t="n">
        <f aca="false">E6*(1-E7)+D13</f>
        <v>40.132</v>
      </c>
      <c r="G6" s="39" t="n">
        <f aca="false">F6*(1-F7)+E13</f>
        <v>41.0104</v>
      </c>
      <c r="H6" s="39" t="n">
        <f aca="false">G6*(1-G7)+F13</f>
        <v>42.1520324</v>
      </c>
      <c r="I6" s="39" t="n">
        <f aca="false">H6*(1-H7)+G13</f>
        <v>43.260091104</v>
      </c>
      <c r="J6" s="39" t="n">
        <f aca="false">I6*(1-I7)+H13</f>
        <v>44.41468050692</v>
      </c>
      <c r="K6" s="39" t="n">
        <f aca="false">J6*(1-J7)+I13</f>
        <v>45.595444120424</v>
      </c>
    </row>
    <row r="7" customFormat="false" ht="15" hidden="false" customHeight="false" outlineLevel="0" collapsed="false">
      <c r="A7" s="9" t="s">
        <v>356</v>
      </c>
      <c r="B7" s="9" t="s">
        <v>72</v>
      </c>
      <c r="D7" s="35" t="n">
        <f aca="false">Assumptions!$C$34+Assumptions!$C$35*Scenarios!$F$12</f>
        <v>0.24</v>
      </c>
      <c r="E7" s="35" t="n">
        <f aca="false">Assumptions!$C$34+Assumptions!$C$35*Scenarios!$F$12</f>
        <v>0.24</v>
      </c>
      <c r="F7" s="35" t="n">
        <f aca="false">Assumptions!$C$34+Assumptions!$C$35*Scenarios!$F$12</f>
        <v>0.24</v>
      </c>
      <c r="G7" s="35" t="n">
        <f aca="false">Assumptions!$C$34+Assumptions!$C$35*Scenarios!$F$12</f>
        <v>0.24</v>
      </c>
      <c r="H7" s="35" t="n">
        <f aca="false">Assumptions!$C$34+Assumptions!$C$35*Scenarios!$F$12</f>
        <v>0.24</v>
      </c>
      <c r="I7" s="35" t="n">
        <f aca="false">Assumptions!$C$34+Assumptions!$C$35*Scenarios!$F$12</f>
        <v>0.24</v>
      </c>
      <c r="J7" s="35" t="n">
        <f aca="false">Assumptions!$C$34+Assumptions!$C$35*Scenarios!$F$12</f>
        <v>0.24</v>
      </c>
      <c r="K7" s="35" t="n">
        <f aca="false">Assumptions!$C$34+Assumptions!$C$35*Scenarios!$F$12</f>
        <v>0.24</v>
      </c>
    </row>
    <row r="8" customFormat="false" ht="15" hidden="false" customHeight="false" outlineLevel="0" collapsed="false">
      <c r="A8" s="9" t="s">
        <v>357</v>
      </c>
      <c r="B8" s="9" t="s">
        <v>72</v>
      </c>
      <c r="D8" s="35" t="n">
        <f aca="false">MIN(0.95,MAX(0,Assumptions!$C$32+Scenarios!$F$10))</f>
        <v>0.85</v>
      </c>
      <c r="E8" s="35" t="n">
        <f aca="false">MIN(0.95,MAX(0,Assumptions!$C$32+Scenarios!$F$10))</f>
        <v>0.85</v>
      </c>
      <c r="F8" s="35" t="n">
        <f aca="false">MIN(0.95,MAX(0,Assumptions!$C$32+Scenarios!$F$10))</f>
        <v>0.85</v>
      </c>
      <c r="G8" s="35" t="n">
        <f aca="false">MIN(0.95,MAX(0,Assumptions!$C$32+Scenarios!$F$10))</f>
        <v>0.85</v>
      </c>
      <c r="H8" s="35" t="n">
        <f aca="false">MIN(0.95,MAX(0,Assumptions!$C$32+Scenarios!$F$10))</f>
        <v>0.85</v>
      </c>
      <c r="I8" s="35" t="n">
        <f aca="false">MIN(0.95,MAX(0,Assumptions!$C$32+Scenarios!$F$10))</f>
        <v>0.85</v>
      </c>
      <c r="J8" s="35" t="n">
        <f aca="false">MIN(0.95,MAX(0,Assumptions!$C$32+Scenarios!$F$10))</f>
        <v>0.85</v>
      </c>
      <c r="K8" s="35" t="n">
        <f aca="false">MIN(0.95,MAX(0,Assumptions!$C$32+Scenarios!$F$10))</f>
        <v>0.85</v>
      </c>
    </row>
    <row r="9" customFormat="false" ht="15" hidden="false" customHeight="false" outlineLevel="0" collapsed="false">
      <c r="A9" s="9" t="s">
        <v>358</v>
      </c>
      <c r="B9" s="9" t="s">
        <v>118</v>
      </c>
      <c r="D9" s="30" t="n">
        <f aca="false">D6*D8</f>
        <v>34</v>
      </c>
      <c r="E9" s="30" t="n">
        <f aca="false">E6*E8</f>
        <v>32.64</v>
      </c>
      <c r="F9" s="30" t="n">
        <f aca="false">F6*F8</f>
        <v>34.1122</v>
      </c>
      <c r="G9" s="30" t="n">
        <f aca="false">G6*G8</f>
        <v>34.85884</v>
      </c>
      <c r="H9" s="30" t="n">
        <f aca="false">H6*H8</f>
        <v>35.82922754</v>
      </c>
      <c r="I9" s="30" t="n">
        <f aca="false">I6*I8</f>
        <v>36.7710774384</v>
      </c>
      <c r="J9" s="30" t="n">
        <f aca="false">J6*J8</f>
        <v>37.752478430882</v>
      </c>
      <c r="K9" s="30" t="n">
        <f aca="false">K6*K8</f>
        <v>38.7561275023604</v>
      </c>
    </row>
    <row r="10" customFormat="false" ht="15" hidden="false" customHeight="false" outlineLevel="0" collapsed="false">
      <c r="A10" s="9" t="s">
        <v>359</v>
      </c>
      <c r="B10" s="9" t="s">
        <v>118</v>
      </c>
      <c r="D10" s="30" t="n">
        <f aca="false">D9*(1-Assumptions!$C$36*Scenarios!$F$12)</f>
        <v>31.28</v>
      </c>
      <c r="E10" s="30" t="n">
        <f aca="false">E9*(1-Assumptions!$C$36*Scenarios!$F$12)</f>
        <v>30.0288</v>
      </c>
      <c r="F10" s="30" t="n">
        <f aca="false">F9*(1-Assumptions!$C$36*Scenarios!$F$12)</f>
        <v>31.383224</v>
      </c>
      <c r="G10" s="30" t="n">
        <f aca="false">G9*(1-Assumptions!$C$36*Scenarios!$F$12)</f>
        <v>32.0701328</v>
      </c>
      <c r="H10" s="30" t="n">
        <f aca="false">H9*(1-Assumptions!$C$36*Scenarios!$F$12)</f>
        <v>32.9628893368</v>
      </c>
      <c r="I10" s="30" t="n">
        <f aca="false">I9*(1-Assumptions!$C$36*Scenarios!$F$12)</f>
        <v>33.829391243328</v>
      </c>
      <c r="J10" s="30" t="n">
        <f aca="false">J9*(1-Assumptions!$C$36*Scenarios!$F$12)</f>
        <v>34.7322801564114</v>
      </c>
      <c r="K10" s="30" t="n">
        <f aca="false">K9*(1-Assumptions!$C$36*Scenarios!$F$12)</f>
        <v>35.6556373021716</v>
      </c>
    </row>
    <row r="11" customFormat="false" ht="15" hidden="false" customHeight="false" outlineLevel="0" collapsed="false">
      <c r="A11" s="9" t="s">
        <v>360</v>
      </c>
      <c r="B11" s="9" t="s">
        <v>118</v>
      </c>
      <c r="D11" s="30" t="n">
        <f aca="false">D10*(1-Assumptions!$C$37)</f>
        <v>15.64</v>
      </c>
      <c r="E11" s="30" t="n">
        <f aca="false">E10*(1-Assumptions!$C$37)</f>
        <v>15.0144</v>
      </c>
      <c r="F11" s="30" t="n">
        <f aca="false">F10*(1-Assumptions!$C$37)</f>
        <v>15.691612</v>
      </c>
      <c r="G11" s="30" t="n">
        <f aca="false">G10*(1-Assumptions!$C$37)</f>
        <v>16.0350664</v>
      </c>
      <c r="H11" s="30" t="n">
        <f aca="false">H10*(1-Assumptions!$C$37)</f>
        <v>16.4814446684</v>
      </c>
      <c r="I11" s="30" t="n">
        <f aca="false">I10*(1-Assumptions!$C$37)</f>
        <v>16.914695621664</v>
      </c>
      <c r="J11" s="30" t="n">
        <f aca="false">J10*(1-Assumptions!$C$37)</f>
        <v>17.3661400782057</v>
      </c>
      <c r="K11" s="30" t="n">
        <f aca="false">K10*(1-Assumptions!$C$37)</f>
        <v>17.8278186510858</v>
      </c>
    </row>
    <row r="12" customFormat="false" ht="15" hidden="false" customHeight="false" outlineLevel="0" collapsed="false">
      <c r="A12" s="9" t="s">
        <v>361</v>
      </c>
      <c r="B12" s="9" t="s">
        <v>118</v>
      </c>
      <c r="D12" s="30" t="n">
        <f aca="false">D10*Assumptions!$C$37</f>
        <v>15.64</v>
      </c>
      <c r="E12" s="30" t="n">
        <f aca="false">E10*Assumptions!$C$37</f>
        <v>15.0144</v>
      </c>
      <c r="F12" s="30" t="n">
        <f aca="false">F10*Assumptions!$C$37</f>
        <v>15.691612</v>
      </c>
      <c r="G12" s="30" t="n">
        <f aca="false">G10*Assumptions!$C$37</f>
        <v>16.0350664</v>
      </c>
      <c r="H12" s="30" t="n">
        <f aca="false">H10*Assumptions!$C$37</f>
        <v>16.4814446684</v>
      </c>
      <c r="I12" s="30" t="n">
        <f aca="false">I10*Assumptions!$C$37</f>
        <v>16.914695621664</v>
      </c>
      <c r="J12" s="30" t="n">
        <f aca="false">J10*Assumptions!$C$37</f>
        <v>17.3661400782057</v>
      </c>
      <c r="K12" s="30" t="n">
        <f aca="false">K10*Assumptions!$C$37</f>
        <v>17.8278186510858</v>
      </c>
    </row>
    <row r="13" customFormat="false" ht="15" hidden="false" customHeight="false" outlineLevel="0" collapsed="false">
      <c r="A13" s="9" t="s">
        <v>362</v>
      </c>
      <c r="B13" s="9" t="s">
        <v>118</v>
      </c>
      <c r="C13" s="30" t="n">
        <f aca="false">ROUND(Assumptions!$C$30*Assumptions!$C$102,0)</f>
        <v>8</v>
      </c>
      <c r="D13" s="30" t="n">
        <f aca="false">D12*Assumptions!$C$38</f>
        <v>10.948</v>
      </c>
      <c r="E13" s="30" t="n">
        <f aca="false">E12*Assumptions!$C$38</f>
        <v>10.51008</v>
      </c>
      <c r="F13" s="30" t="n">
        <f aca="false">F12*Assumptions!$C$38</f>
        <v>10.9841284</v>
      </c>
      <c r="G13" s="30" t="n">
        <f aca="false">G12*Assumptions!$C$38</f>
        <v>11.22454648</v>
      </c>
      <c r="H13" s="30" t="n">
        <f aca="false">H12*Assumptions!$C$38</f>
        <v>11.53701126788</v>
      </c>
      <c r="I13" s="30" t="n">
        <f aca="false">I12*Assumptions!$C$38</f>
        <v>11.8402869351648</v>
      </c>
      <c r="J13" s="30" t="n">
        <f aca="false">J12*Assumptions!$C$38</f>
        <v>12.156298054744</v>
      </c>
      <c r="K13" s="30" t="n">
        <f aca="false">K12*Assumptions!$C$38</f>
        <v>12.47947305576</v>
      </c>
    </row>
    <row r="14" customFormat="false" ht="15" hidden="false" customHeight="false" outlineLevel="0" collapsed="false">
      <c r="A14" s="9" t="s">
        <v>363</v>
      </c>
      <c r="B14" s="9" t="s">
        <v>118</v>
      </c>
      <c r="D14" s="30" t="n">
        <f aca="false">D12-D13</f>
        <v>4.692</v>
      </c>
      <c r="E14" s="30" t="n">
        <f aca="false">E12-E13</f>
        <v>4.50432</v>
      </c>
      <c r="F14" s="30" t="n">
        <f aca="false">F12-F13</f>
        <v>4.7074836</v>
      </c>
      <c r="G14" s="30" t="n">
        <f aca="false">G12-G13</f>
        <v>4.81051992</v>
      </c>
      <c r="H14" s="30" t="n">
        <f aca="false">H12-H13</f>
        <v>4.94443340052</v>
      </c>
      <c r="I14" s="30" t="n">
        <f aca="false">I12-I13</f>
        <v>5.0744086864992</v>
      </c>
      <c r="J14" s="30" t="n">
        <f aca="false">J12-J13</f>
        <v>5.20984202346172</v>
      </c>
      <c r="K14" s="30" t="n">
        <f aca="false">K12-K13</f>
        <v>5.34834559532574</v>
      </c>
    </row>
    <row r="15" customFormat="false" ht="15" hidden="false" customHeight="false" outlineLevel="0" collapsed="false">
      <c r="A15" s="9" t="s">
        <v>364</v>
      </c>
      <c r="B15" s="9" t="s">
        <v>118</v>
      </c>
      <c r="D15" s="30" t="n">
        <f aca="false">D6*Assumptions!$C$34</f>
        <v>8</v>
      </c>
      <c r="E15" s="30" t="n">
        <f aca="false">E6*Assumptions!$C$34</f>
        <v>7.68</v>
      </c>
      <c r="F15" s="30" t="n">
        <f aca="false">F6*Assumptions!$C$34</f>
        <v>8.0264</v>
      </c>
      <c r="G15" s="30" t="n">
        <f aca="false">G6*Assumptions!$C$34</f>
        <v>8.20208</v>
      </c>
      <c r="H15" s="30" t="n">
        <f aca="false">H6*Assumptions!$C$34</f>
        <v>8.43040648</v>
      </c>
      <c r="I15" s="30" t="n">
        <f aca="false">I6*Assumptions!$C$34</f>
        <v>8.6520182208</v>
      </c>
      <c r="J15" s="30" t="n">
        <f aca="false">J6*Assumptions!$C$34</f>
        <v>8.882936101384</v>
      </c>
      <c r="K15" s="30" t="n">
        <f aca="false">K6*Assumptions!$C$34</f>
        <v>9.1190888240848</v>
      </c>
    </row>
    <row r="16" customFormat="false" ht="15" hidden="false" customHeight="false" outlineLevel="0" collapsed="false">
      <c r="A16" s="9" t="s">
        <v>365</v>
      </c>
      <c r="B16" s="9" t="s">
        <v>118</v>
      </c>
      <c r="D16" s="30" t="n">
        <f aca="false">D6*Assumptions!$C$35*Scenarios!$F$12</f>
        <v>1.6</v>
      </c>
      <c r="E16" s="30" t="n">
        <f aca="false">E6*Assumptions!$C$35*Scenarios!$F$12</f>
        <v>1.536</v>
      </c>
      <c r="F16" s="30" t="n">
        <f aca="false">F6*Assumptions!$C$35*Scenarios!$F$12</f>
        <v>1.60528</v>
      </c>
      <c r="G16" s="30" t="n">
        <f aca="false">G6*Assumptions!$C$35*Scenarios!$F$12</f>
        <v>1.640416</v>
      </c>
      <c r="H16" s="30" t="n">
        <f aca="false">H6*Assumptions!$C$35*Scenarios!$F$12</f>
        <v>1.686081296</v>
      </c>
      <c r="I16" s="30" t="n">
        <f aca="false">I6*Assumptions!$C$35*Scenarios!$F$12</f>
        <v>1.73040364416</v>
      </c>
      <c r="J16" s="30" t="n">
        <f aca="false">J6*Assumptions!$C$35*Scenarios!$F$12</f>
        <v>1.7765872202768</v>
      </c>
      <c r="K16" s="30" t="n">
        <f aca="false">K6*Assumptions!$C$35*Scenarios!$F$12</f>
        <v>1.82381776481696</v>
      </c>
    </row>
    <row r="17" customFormat="false" ht="15" hidden="false" customHeight="false" outlineLevel="0" collapsed="false">
      <c r="A17" s="9" t="s">
        <v>366</v>
      </c>
      <c r="B17" s="9" t="s">
        <v>367</v>
      </c>
      <c r="D17" s="30" t="n">
        <f aca="false">0.5*D13+C13</f>
        <v>13.474</v>
      </c>
      <c r="E17" s="30" t="n">
        <f aca="false">0.5*E13+D13</f>
        <v>16.20304</v>
      </c>
      <c r="F17" s="30" t="n">
        <f aca="false">0.5*F13+E13</f>
        <v>16.0021442</v>
      </c>
      <c r="G17" s="30" t="n">
        <f aca="false">0.5*G13+F13</f>
        <v>16.59640164</v>
      </c>
      <c r="H17" s="30" t="n">
        <f aca="false">0.5*H13+G13</f>
        <v>16.99305211394</v>
      </c>
      <c r="I17" s="30" t="n">
        <f aca="false">0.5*I13+H13</f>
        <v>17.4571547354624</v>
      </c>
      <c r="J17" s="30" t="n">
        <f aca="false">0.5*J13+I13</f>
        <v>17.9184359625368</v>
      </c>
      <c r="K17" s="30" t="n">
        <f aca="false">0.5*K13+J13</f>
        <v>18.396034582624</v>
      </c>
    </row>
    <row r="18" customFormat="false" ht="15" hidden="false" customHeight="false" outlineLevel="0" collapsed="false">
      <c r="A18" s="9" t="s">
        <v>368</v>
      </c>
      <c r="B18" s="9" t="s">
        <v>369</v>
      </c>
      <c r="D18" s="36" t="n">
        <f aca="false">D6*D8*Assumptions!$C$33*Scenarios!$F$11</f>
        <v>119000</v>
      </c>
      <c r="E18" s="36" t="n">
        <f aca="false">E6*E8*Assumptions!$C$33*Scenarios!$F$11</f>
        <v>114240</v>
      </c>
      <c r="F18" s="36" t="n">
        <f aca="false">F6*F8*Assumptions!$C$33*Scenarios!$F$11</f>
        <v>119392.7</v>
      </c>
      <c r="G18" s="36" t="n">
        <f aca="false">G6*G8*Assumptions!$C$33*Scenarios!$F$11</f>
        <v>122005.94</v>
      </c>
      <c r="H18" s="36" t="n">
        <f aca="false">H6*H8*Assumptions!$C$33*Scenarios!$F$11</f>
        <v>125402.29639</v>
      </c>
      <c r="I18" s="36" t="n">
        <f aca="false">I6*I8*Assumptions!$C$33*Scenarios!$F$11</f>
        <v>128698.7710344</v>
      </c>
      <c r="J18" s="36" t="n">
        <f aca="false">J6*J8*Assumptions!$C$33*Scenarios!$F$11</f>
        <v>132133.674508087</v>
      </c>
      <c r="K18" s="36" t="n">
        <f aca="false">K6*K8*Assumptions!$C$33*Scenarios!$F$11</f>
        <v>135646.446258261</v>
      </c>
    </row>
    <row r="19" customFormat="false" ht="15" hidden="false" customHeight="false" outlineLevel="0" collapsed="false">
      <c r="A19" s="3" t="s">
        <v>370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customFormat="false" ht="15" hidden="false" customHeight="false" outlineLevel="0" collapsed="false">
      <c r="A20" s="9" t="s">
        <v>371</v>
      </c>
      <c r="B20" s="9" t="s">
        <v>118</v>
      </c>
      <c r="C20" s="38" t="n">
        <f aca="false">Assumptions!$C$43</f>
        <v>30</v>
      </c>
      <c r="D20" s="39" t="n">
        <f aca="false">C20</f>
        <v>30</v>
      </c>
      <c r="E20" s="39" t="n">
        <f aca="false">D20*(1-D21)+C26</f>
        <v>31.5</v>
      </c>
      <c r="F20" s="39" t="n">
        <f aca="false">E20*(1-E21)+D26</f>
        <v>32.295</v>
      </c>
      <c r="G20" s="39" t="n">
        <f aca="false">F20*(1-F21)+E26</f>
        <v>33.24675</v>
      </c>
      <c r="H20" s="39" t="n">
        <f aca="false">G20*(1-G21)+F26</f>
        <v>34.2020175</v>
      </c>
      <c r="I20" s="39" t="n">
        <f aca="false">H20*(1-H21)+G26</f>
        <v>35.189116875</v>
      </c>
      <c r="J20" s="39" t="n">
        <f aca="false">I20*(1-I21)+H26</f>
        <v>36.20392056375</v>
      </c>
      <c r="K20" s="39" t="n">
        <f aca="false">J20*(1-J21)+I26</f>
        <v>37.2481299841875</v>
      </c>
    </row>
    <row r="21" customFormat="false" ht="15" hidden="false" customHeight="false" outlineLevel="0" collapsed="false">
      <c r="A21" s="9" t="s">
        <v>356</v>
      </c>
      <c r="B21" s="9" t="s">
        <v>72</v>
      </c>
      <c r="D21" s="35" t="n">
        <f aca="false">Assumptions!$C$50+Assumptions!$C$51*Scenarios!$F$12</f>
        <v>0.15</v>
      </c>
      <c r="E21" s="35" t="n">
        <f aca="false">Assumptions!$C$50+Assumptions!$C$51*Scenarios!$F$12</f>
        <v>0.15</v>
      </c>
      <c r="F21" s="35" t="n">
        <f aca="false">Assumptions!$C$50+Assumptions!$C$51*Scenarios!$F$12</f>
        <v>0.15</v>
      </c>
      <c r="G21" s="35" t="n">
        <f aca="false">Assumptions!$C$50+Assumptions!$C$51*Scenarios!$F$12</f>
        <v>0.15</v>
      </c>
      <c r="H21" s="35" t="n">
        <f aca="false">Assumptions!$C$50+Assumptions!$C$51*Scenarios!$F$12</f>
        <v>0.15</v>
      </c>
      <c r="I21" s="35" t="n">
        <f aca="false">Assumptions!$C$50+Assumptions!$C$51*Scenarios!$F$12</f>
        <v>0.15</v>
      </c>
      <c r="J21" s="35" t="n">
        <f aca="false">Assumptions!$C$50+Assumptions!$C$51*Scenarios!$F$12</f>
        <v>0.15</v>
      </c>
      <c r="K21" s="35" t="n">
        <f aca="false">Assumptions!$C$50+Assumptions!$C$51*Scenarios!$F$12</f>
        <v>0.15</v>
      </c>
    </row>
    <row r="22" customFormat="false" ht="15" hidden="false" customHeight="false" outlineLevel="0" collapsed="false">
      <c r="A22" s="9" t="s">
        <v>357</v>
      </c>
      <c r="B22" s="9" t="s">
        <v>72</v>
      </c>
      <c r="D22" s="35" t="n">
        <f aca="false">MIN(0.95,MAX(0,Assumptions!$C$48+Scenarios!$F$10))</f>
        <v>0.8</v>
      </c>
      <c r="E22" s="35" t="n">
        <f aca="false">MIN(0.95,MAX(0,Assumptions!$C$48+Scenarios!$F$10))</f>
        <v>0.8</v>
      </c>
      <c r="F22" s="35" t="n">
        <f aca="false">MIN(0.95,MAX(0,Assumptions!$C$48+Scenarios!$F$10))</f>
        <v>0.8</v>
      </c>
      <c r="G22" s="35" t="n">
        <f aca="false">MIN(0.95,MAX(0,Assumptions!$C$48+Scenarios!$F$10))</f>
        <v>0.8</v>
      </c>
      <c r="H22" s="35" t="n">
        <f aca="false">MIN(0.95,MAX(0,Assumptions!$C$48+Scenarios!$F$10))</f>
        <v>0.8</v>
      </c>
      <c r="I22" s="35" t="n">
        <f aca="false">MIN(0.95,MAX(0,Assumptions!$C$48+Scenarios!$F$10))</f>
        <v>0.8</v>
      </c>
      <c r="J22" s="35" t="n">
        <f aca="false">MIN(0.95,MAX(0,Assumptions!$C$48+Scenarios!$F$10))</f>
        <v>0.8</v>
      </c>
      <c r="K22" s="35" t="n">
        <f aca="false">MIN(0.95,MAX(0,Assumptions!$C$48+Scenarios!$F$10))</f>
        <v>0.8</v>
      </c>
    </row>
    <row r="23" customFormat="false" ht="15" hidden="false" customHeight="false" outlineLevel="0" collapsed="false">
      <c r="A23" s="9" t="s">
        <v>358</v>
      </c>
      <c r="B23" s="9" t="s">
        <v>118</v>
      </c>
      <c r="D23" s="30" t="n">
        <f aca="false">D20*D22</f>
        <v>24</v>
      </c>
      <c r="E23" s="30" t="n">
        <f aca="false">E20*E22</f>
        <v>25.2</v>
      </c>
      <c r="F23" s="30" t="n">
        <f aca="false">F20*F22</f>
        <v>25.836</v>
      </c>
      <c r="G23" s="30" t="n">
        <f aca="false">G20*G22</f>
        <v>26.5974</v>
      </c>
      <c r="H23" s="30" t="n">
        <f aca="false">H20*H22</f>
        <v>27.361614</v>
      </c>
      <c r="I23" s="30" t="n">
        <f aca="false">I20*I22</f>
        <v>28.1512935</v>
      </c>
      <c r="J23" s="30" t="n">
        <f aca="false">J20*J22</f>
        <v>28.963136451</v>
      </c>
      <c r="K23" s="30" t="n">
        <f aca="false">K20*K22</f>
        <v>29.79850398735</v>
      </c>
    </row>
    <row r="24" customFormat="false" ht="15" hidden="false" customHeight="false" outlineLevel="0" collapsed="false">
      <c r="A24" s="9" t="s">
        <v>372</v>
      </c>
      <c r="B24" s="9" t="s">
        <v>118</v>
      </c>
      <c r="D24" s="30" t="n">
        <f aca="false">D23*(1-Assumptions!$C$49*Scenarios!$F$12)</f>
        <v>22.08</v>
      </c>
      <c r="E24" s="30" t="n">
        <f aca="false">E23*(1-Assumptions!$C$49*Scenarios!$F$12)</f>
        <v>23.184</v>
      </c>
      <c r="F24" s="30" t="n">
        <f aca="false">F23*(1-Assumptions!$C$49*Scenarios!$F$12)</f>
        <v>23.76912</v>
      </c>
      <c r="G24" s="30" t="n">
        <f aca="false">G23*(1-Assumptions!$C$49*Scenarios!$F$12)</f>
        <v>24.469608</v>
      </c>
      <c r="H24" s="30" t="n">
        <f aca="false">H23*(1-Assumptions!$C$49*Scenarios!$F$12)</f>
        <v>25.17268488</v>
      </c>
      <c r="I24" s="30" t="n">
        <f aca="false">I23*(1-Assumptions!$C$49*Scenarios!$F$12)</f>
        <v>25.89919002</v>
      </c>
      <c r="J24" s="30" t="n">
        <f aca="false">J23*(1-Assumptions!$C$49*Scenarios!$F$12)</f>
        <v>26.64608553492</v>
      </c>
      <c r="K24" s="30" t="n">
        <f aca="false">K23*(1-Assumptions!$C$49*Scenarios!$F$12)</f>
        <v>27.414623668362</v>
      </c>
    </row>
    <row r="25" customFormat="false" ht="15" hidden="false" customHeight="false" outlineLevel="0" collapsed="false">
      <c r="A25" s="9" t="s">
        <v>361</v>
      </c>
      <c r="B25" s="9" t="s">
        <v>118</v>
      </c>
      <c r="D25" s="30" t="n">
        <f aca="false">D24*Assumptions!$C$37</f>
        <v>11.04</v>
      </c>
      <c r="E25" s="30" t="n">
        <f aca="false">E24*Assumptions!$C$37</f>
        <v>11.592</v>
      </c>
      <c r="F25" s="30" t="n">
        <f aca="false">F24*Assumptions!$C$37</f>
        <v>11.88456</v>
      </c>
      <c r="G25" s="30" t="n">
        <f aca="false">G24*Assumptions!$C$37</f>
        <v>12.234804</v>
      </c>
      <c r="H25" s="30" t="n">
        <f aca="false">H24*Assumptions!$C$37</f>
        <v>12.58634244</v>
      </c>
      <c r="I25" s="30" t="n">
        <f aca="false">I24*Assumptions!$C$37</f>
        <v>12.94959501</v>
      </c>
      <c r="J25" s="30" t="n">
        <f aca="false">J24*Assumptions!$C$37</f>
        <v>13.32304276746</v>
      </c>
      <c r="K25" s="30" t="n">
        <f aca="false">K24*Assumptions!$C$37</f>
        <v>13.707311834181</v>
      </c>
    </row>
    <row r="26" customFormat="false" ht="15" hidden="false" customHeight="false" outlineLevel="0" collapsed="false">
      <c r="A26" s="9" t="s">
        <v>362</v>
      </c>
      <c r="B26" s="9" t="s">
        <v>118</v>
      </c>
      <c r="C26" s="30" t="n">
        <f aca="false">ROUND(Assumptions!$C$43*Assumptions!$C$102,0)</f>
        <v>6</v>
      </c>
      <c r="D26" s="30" t="n">
        <f aca="false">D25*Assumptions!$C$52</f>
        <v>5.52</v>
      </c>
      <c r="E26" s="30" t="n">
        <f aca="false">E25*Assumptions!$C$52</f>
        <v>5.796</v>
      </c>
      <c r="F26" s="30" t="n">
        <f aca="false">F25*Assumptions!$C$52</f>
        <v>5.94228</v>
      </c>
      <c r="G26" s="30" t="n">
        <f aca="false">G25*Assumptions!$C$52</f>
        <v>6.117402</v>
      </c>
      <c r="H26" s="30" t="n">
        <f aca="false">H25*Assumptions!$C$52</f>
        <v>6.29317122</v>
      </c>
      <c r="I26" s="30" t="n">
        <f aca="false">I25*Assumptions!$C$52</f>
        <v>6.474797505</v>
      </c>
      <c r="J26" s="30" t="n">
        <f aca="false">J25*Assumptions!$C$52</f>
        <v>6.66152138373</v>
      </c>
      <c r="K26" s="30" t="n">
        <f aca="false">K25*Assumptions!$C$52</f>
        <v>6.8536559170905</v>
      </c>
    </row>
    <row r="27" customFormat="false" ht="15" hidden="false" customHeight="false" outlineLevel="0" collapsed="false">
      <c r="A27" s="9" t="s">
        <v>373</v>
      </c>
      <c r="B27" s="9" t="s">
        <v>118</v>
      </c>
      <c r="D27" s="30" t="n">
        <f aca="false">D24-D26</f>
        <v>16.56</v>
      </c>
      <c r="E27" s="30" t="n">
        <f aca="false">E24-E26</f>
        <v>17.388</v>
      </c>
      <c r="F27" s="30" t="n">
        <f aca="false">F24-F26</f>
        <v>17.82684</v>
      </c>
      <c r="G27" s="30" t="n">
        <f aca="false">G24-G26</f>
        <v>18.352206</v>
      </c>
      <c r="H27" s="30" t="n">
        <f aca="false">H24-H26</f>
        <v>18.87951366</v>
      </c>
      <c r="I27" s="30" t="n">
        <f aca="false">I24-I26</f>
        <v>19.424392515</v>
      </c>
      <c r="J27" s="30" t="n">
        <f aca="false">J24-J26</f>
        <v>19.98456415119</v>
      </c>
      <c r="K27" s="30" t="n">
        <f aca="false">K24-K26</f>
        <v>20.5609677512715</v>
      </c>
    </row>
    <row r="28" customFormat="false" ht="15" hidden="false" customHeight="false" outlineLevel="0" collapsed="false">
      <c r="A28" s="9" t="s">
        <v>364</v>
      </c>
      <c r="B28" s="9" t="s">
        <v>118</v>
      </c>
      <c r="D28" s="30" t="n">
        <f aca="false">D20*Assumptions!$C$50</f>
        <v>3.6</v>
      </c>
      <c r="E28" s="30" t="n">
        <f aca="false">E20*Assumptions!$C$50</f>
        <v>3.78</v>
      </c>
      <c r="F28" s="30" t="n">
        <f aca="false">F20*Assumptions!$C$50</f>
        <v>3.8754</v>
      </c>
      <c r="G28" s="30" t="n">
        <f aca="false">G20*Assumptions!$C$50</f>
        <v>3.98961</v>
      </c>
      <c r="H28" s="30" t="n">
        <f aca="false">H20*Assumptions!$C$50</f>
        <v>4.1042421</v>
      </c>
      <c r="I28" s="30" t="n">
        <f aca="false">I20*Assumptions!$C$50</f>
        <v>4.222694025</v>
      </c>
      <c r="J28" s="30" t="n">
        <f aca="false">J20*Assumptions!$C$50</f>
        <v>4.34447046765</v>
      </c>
      <c r="K28" s="30" t="n">
        <f aca="false">K20*Assumptions!$C$50</f>
        <v>4.4697755981025</v>
      </c>
    </row>
    <row r="29" customFormat="false" ht="15" hidden="false" customHeight="false" outlineLevel="0" collapsed="false">
      <c r="A29" s="9" t="s">
        <v>365</v>
      </c>
      <c r="B29" s="9" t="s">
        <v>118</v>
      </c>
      <c r="D29" s="30" t="n">
        <f aca="false">D20*Assumptions!$C$51*Scenarios!$F$12</f>
        <v>0.9</v>
      </c>
      <c r="E29" s="30" t="n">
        <f aca="false">E20*Assumptions!$C$51*Scenarios!$F$12</f>
        <v>0.945</v>
      </c>
      <c r="F29" s="30" t="n">
        <f aca="false">F20*Assumptions!$C$51*Scenarios!$F$12</f>
        <v>0.96885</v>
      </c>
      <c r="G29" s="30" t="n">
        <f aca="false">G20*Assumptions!$C$51*Scenarios!$F$12</f>
        <v>0.9974025</v>
      </c>
      <c r="H29" s="30" t="n">
        <f aca="false">H20*Assumptions!$C$51*Scenarios!$F$12</f>
        <v>1.026060525</v>
      </c>
      <c r="I29" s="30" t="n">
        <f aca="false">I20*Assumptions!$C$51*Scenarios!$F$12</f>
        <v>1.05567350625</v>
      </c>
      <c r="J29" s="30" t="n">
        <f aca="false">J20*Assumptions!$C$51*Scenarios!$F$12</f>
        <v>1.0861176169125</v>
      </c>
      <c r="K29" s="30" t="n">
        <f aca="false">K20*Assumptions!$C$51*Scenarios!$F$12</f>
        <v>1.11744389952562</v>
      </c>
    </row>
    <row r="30" customFormat="false" ht="15" hidden="false" customHeight="false" outlineLevel="0" collapsed="false">
      <c r="A30" s="9" t="s">
        <v>366</v>
      </c>
      <c r="B30" s="9" t="s">
        <v>367</v>
      </c>
      <c r="D30" s="30" t="n">
        <f aca="false">0.5*D26+C26</f>
        <v>8.76</v>
      </c>
      <c r="E30" s="30" t="n">
        <f aca="false">0.5*E26+D26</f>
        <v>8.418</v>
      </c>
      <c r="F30" s="30" t="n">
        <f aca="false">0.5*F26+E26</f>
        <v>8.76714</v>
      </c>
      <c r="G30" s="30" t="n">
        <f aca="false">0.5*G26+F26</f>
        <v>9.000981</v>
      </c>
      <c r="H30" s="30" t="n">
        <f aca="false">0.5*H26+G26</f>
        <v>9.26398761</v>
      </c>
      <c r="I30" s="30" t="n">
        <f aca="false">0.5*I26+H26</f>
        <v>9.5305699725</v>
      </c>
      <c r="J30" s="30" t="n">
        <f aca="false">0.5*J26+I26</f>
        <v>9.805558196865</v>
      </c>
      <c r="K30" s="30" t="n">
        <f aca="false">0.5*K26+J26</f>
        <v>10.0883493422752</v>
      </c>
    </row>
    <row r="31" customFormat="false" ht="15" hidden="false" customHeight="false" outlineLevel="0" collapsed="false">
      <c r="A31" s="9" t="s">
        <v>374</v>
      </c>
      <c r="B31" s="9" t="s">
        <v>166</v>
      </c>
      <c r="D31" s="27" t="n">
        <f aca="false">D27*Assumptions!$C$53</f>
        <v>2484</v>
      </c>
      <c r="E31" s="27" t="n">
        <f aca="false">E27*Assumptions!$C$53</f>
        <v>2608.2</v>
      </c>
      <c r="F31" s="27" t="n">
        <f aca="false">F27*Assumptions!$C$53</f>
        <v>2674.026</v>
      </c>
      <c r="G31" s="27" t="n">
        <f aca="false">G27*Assumptions!$C$53</f>
        <v>2752.8309</v>
      </c>
      <c r="H31" s="27" t="n">
        <f aca="false">H27*Assumptions!$C$53</f>
        <v>2831.927049</v>
      </c>
      <c r="I31" s="27" t="n">
        <f aca="false">I27*Assumptions!$C$53</f>
        <v>2913.65887725</v>
      </c>
      <c r="J31" s="27" t="n">
        <f aca="false">J27*Assumptions!$C$53</f>
        <v>2997.6846226785</v>
      </c>
      <c r="K31" s="27" t="n">
        <f aca="false">K27*Assumptions!$C$53</f>
        <v>3084.14516269072</v>
      </c>
    </row>
    <row r="32" customFormat="false" ht="15" hidden="false" customHeight="false" outlineLevel="0" collapsed="false">
      <c r="A32" s="3" t="s">
        <v>375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customFormat="false" ht="15" hidden="false" customHeight="false" outlineLevel="0" collapsed="false">
      <c r="A33" s="9" t="s">
        <v>376</v>
      </c>
      <c r="B33" s="9" t="s">
        <v>118</v>
      </c>
      <c r="C33" s="39" t="n">
        <f aca="false">C6+C20</f>
        <v>70</v>
      </c>
      <c r="D33" s="39" t="n">
        <f aca="false">D6+D20</f>
        <v>70</v>
      </c>
      <c r="E33" s="39" t="n">
        <f aca="false">E6+E20</f>
        <v>69.9</v>
      </c>
      <c r="F33" s="39" t="n">
        <f aca="false">F6+F20</f>
        <v>72.427</v>
      </c>
      <c r="G33" s="39" t="n">
        <f aca="false">G6+G20</f>
        <v>74.25715</v>
      </c>
      <c r="H33" s="39" t="n">
        <f aca="false">H6+H20</f>
        <v>76.3540499</v>
      </c>
      <c r="I33" s="39" t="n">
        <f aca="false">I6+I20</f>
        <v>78.449207979</v>
      </c>
      <c r="J33" s="39" t="n">
        <f aca="false">J6+J20</f>
        <v>80.61860107067</v>
      </c>
      <c r="K33" s="39" t="n">
        <f aca="false">K6+K20</f>
        <v>82.8435741046115</v>
      </c>
    </row>
    <row r="34" customFormat="false" ht="15" hidden="false" customHeight="false" outlineLevel="0" collapsed="false">
      <c r="A34" s="9" t="s">
        <v>377</v>
      </c>
      <c r="B34" s="9" t="s">
        <v>367</v>
      </c>
      <c r="D34" s="30" t="n">
        <f aca="false">D17+D30</f>
        <v>22.234</v>
      </c>
      <c r="E34" s="30" t="n">
        <f aca="false">E17+E30</f>
        <v>24.62104</v>
      </c>
      <c r="F34" s="30" t="n">
        <f aca="false">F17+F30</f>
        <v>24.7692842</v>
      </c>
      <c r="G34" s="30" t="n">
        <f aca="false">G17+G30</f>
        <v>25.59738264</v>
      </c>
      <c r="H34" s="30" t="n">
        <f aca="false">H17+H30</f>
        <v>26.25703972394</v>
      </c>
      <c r="I34" s="30" t="n">
        <f aca="false">I17+I30</f>
        <v>26.9877247079624</v>
      </c>
      <c r="J34" s="30" t="n">
        <f aca="false">J17+J30</f>
        <v>27.7239941594018</v>
      </c>
      <c r="K34" s="30" t="n">
        <f aca="false">K17+K30</f>
        <v>28.4843839248993</v>
      </c>
    </row>
    <row r="35" customFormat="false" ht="15" hidden="false" customHeight="false" outlineLevel="0" collapsed="false">
      <c r="A35" s="9" t="s">
        <v>378</v>
      </c>
      <c r="B35" s="9" t="s">
        <v>118</v>
      </c>
      <c r="D35" s="30" t="n">
        <f aca="false">D11+D14+D15+D27+D28</f>
        <v>48.492</v>
      </c>
      <c r="E35" s="30" t="n">
        <f aca="false">E11+E14+E15+E27+E28</f>
        <v>48.36672</v>
      </c>
      <c r="F35" s="30" t="n">
        <f aca="false">F11+F14+F15+F27+F28</f>
        <v>50.1277356</v>
      </c>
      <c r="G35" s="30" t="n">
        <f aca="false">G11+G14+G15+G27+G28</f>
        <v>51.38948232</v>
      </c>
      <c r="H35" s="30" t="n">
        <f aca="false">H11+H14+H15+H27+H28</f>
        <v>52.84004030892</v>
      </c>
      <c r="I35" s="30" t="n">
        <f aca="false">I11+I14+I15+I27+I28</f>
        <v>54.2882090689632</v>
      </c>
      <c r="J35" s="30" t="n">
        <f aca="false">J11+J14+J15+J27+J28</f>
        <v>55.7879528218914</v>
      </c>
      <c r="K35" s="30" t="n">
        <f aca="false">K11+K14+K15+K27+K28</f>
        <v>57.3259964198703</v>
      </c>
    </row>
    <row r="36" customFormat="false" ht="15" hidden="false" customHeight="false" outlineLevel="0" collapsed="false">
      <c r="A36" s="9" t="s">
        <v>379</v>
      </c>
      <c r="B36" s="9" t="s">
        <v>103</v>
      </c>
      <c r="D36" s="30" t="n">
        <f aca="false">D20*Assumptions!$C$27+D6*Assumptions!$C$28+D34*Assumptions!$C$27*0.5</f>
        <v>118.7925</v>
      </c>
      <c r="E36" s="30" t="n">
        <f aca="false">E20*Assumptions!$C$27+E6*Assumptions!$C$28+E34*Assumptions!$C$27*0.5</f>
        <v>124.8863</v>
      </c>
      <c r="F36" s="30" t="n">
        <f aca="false">F20*Assumptions!$C$27+F6*Assumptions!$C$28+F34*Assumptions!$C$27*0.5</f>
        <v>127.75190525</v>
      </c>
      <c r="G36" s="30" t="n">
        <f aca="false">G20*Assumptions!$C$27+G6*Assumptions!$C$28+G34*Assumptions!$C$27*0.5</f>
        <v>131.5177633</v>
      </c>
      <c r="H36" s="30" t="n">
        <f aca="false">H20*Assumptions!$C$27+H6*Assumptions!$C$28+H34*Assumptions!$C$27*0.5</f>
        <v>135.187156364925</v>
      </c>
      <c r="I36" s="30" t="n">
        <f aca="false">I20*Assumptions!$C$27+I6*Assumptions!$C$28+I34*Assumptions!$C$27*0.5</f>
        <v>139.011484514053</v>
      </c>
      <c r="J36" s="30" t="n">
        <f aca="false">J20*Assumptions!$C$27+J6*Assumptions!$C$28+J34*Assumptions!$C$27*0.5</f>
        <v>142.930666311395</v>
      </c>
      <c r="K36" s="30" t="n">
        <f aca="false">K20*Assumptions!$C$27+K6*Assumptions!$C$28+K34*Assumptions!$C$27*0.5</f>
        <v>146.963982514762</v>
      </c>
    </row>
    <row r="37" customFormat="false" ht="15" hidden="false" customHeight="false" outlineLevel="0" collapsed="false">
      <c r="A37" s="9" t="s">
        <v>380</v>
      </c>
      <c r="B37" s="9" t="s">
        <v>103</v>
      </c>
      <c r="D37" s="40" t="n">
        <f aca="false">Assumptions!$C$23</f>
        <v>150</v>
      </c>
      <c r="E37" s="40" t="n">
        <f aca="false">Assumptions!$C$23</f>
        <v>150</v>
      </c>
      <c r="F37" s="40" t="n">
        <f aca="false">Assumptions!$C$23</f>
        <v>150</v>
      </c>
      <c r="G37" s="40" t="n">
        <f aca="false">Assumptions!$C$23</f>
        <v>150</v>
      </c>
      <c r="H37" s="40" t="n">
        <f aca="false">Assumptions!$C$23</f>
        <v>150</v>
      </c>
      <c r="I37" s="40" t="n">
        <f aca="false">Assumptions!$C$23</f>
        <v>150</v>
      </c>
      <c r="J37" s="40" t="n">
        <f aca="false">Assumptions!$C$23</f>
        <v>150</v>
      </c>
      <c r="K37" s="40" t="n">
        <f aca="false">Assumptions!$C$23</f>
        <v>150</v>
      </c>
    </row>
    <row r="38" customFormat="false" ht="15" hidden="false" customHeight="false" outlineLevel="0" collapsed="false">
      <c r="A38" s="9" t="s">
        <v>381</v>
      </c>
      <c r="B38" s="9" t="s">
        <v>72</v>
      </c>
      <c r="D38" s="35" t="n">
        <f aca="false">IF(D37&gt;0,D36/D37,0)</f>
        <v>0.79195</v>
      </c>
      <c r="E38" s="35" t="n">
        <f aca="false">IF(E37&gt;0,E36/E37,0)</f>
        <v>0.832575333333333</v>
      </c>
      <c r="F38" s="35" t="n">
        <f aca="false">IF(F37&gt;0,F36/F37,0)</f>
        <v>0.851679368333334</v>
      </c>
      <c r="G38" s="35" t="n">
        <f aca="false">IF(G37&gt;0,G36/G37,0)</f>
        <v>0.876785088666667</v>
      </c>
      <c r="H38" s="35" t="n">
        <f aca="false">IF(H37&gt;0,H36/H37,0)</f>
        <v>0.9012477090995</v>
      </c>
      <c r="I38" s="35" t="n">
        <f aca="false">IF(I37&gt;0,I36/I37,0)</f>
        <v>0.926743230093687</v>
      </c>
      <c r="J38" s="35" t="n">
        <f aca="false">IF(J37&gt;0,J36/J37,0)</f>
        <v>0.952871108742635</v>
      </c>
      <c r="K38" s="35" t="n">
        <f aca="false">IF(K37&gt;0,K36/K37,0)</f>
        <v>0.97975988343175</v>
      </c>
    </row>
    <row r="39" customFormat="false" ht="15" hidden="false" customHeight="false" outlineLevel="0" collapsed="false">
      <c r="A39" s="9" t="s">
        <v>382</v>
      </c>
      <c r="B39" s="9"/>
      <c r="D39" s="41" t="str">
        <f aca="false">IF(D38&gt;1,"OVER CAPACITY","OK")</f>
        <v>OK</v>
      </c>
      <c r="E39" s="41" t="str">
        <f aca="false">IF(E38&gt;1,"OVER CAPACITY","OK")</f>
        <v>OK</v>
      </c>
      <c r="F39" s="41" t="str">
        <f aca="false">IF(F38&gt;1,"OVER CAPACITY","OK")</f>
        <v>OK</v>
      </c>
      <c r="G39" s="41" t="str">
        <f aca="false">IF(G38&gt;1,"OVER CAPACITY","OK")</f>
        <v>OK</v>
      </c>
      <c r="H39" s="41" t="str">
        <f aca="false">IF(H38&gt;1,"OVER CAPACITY","OK")</f>
        <v>OK</v>
      </c>
      <c r="I39" s="41" t="str">
        <f aca="false">IF(I38&gt;1,"OVER CAPACITY","OK")</f>
        <v>OK</v>
      </c>
      <c r="J39" s="41" t="str">
        <f aca="false">IF(J38&gt;1,"OVER CAPACITY","OK")</f>
        <v>OK</v>
      </c>
      <c r="K39" s="41" t="str">
        <f aca="false">IF(K38&gt;1,"OVER CAPACITY","OK")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383</v>
      </c>
    </row>
    <row r="2" customFormat="false" ht="15" hidden="false" customHeight="false" outlineLevel="0" collapsed="false">
      <c r="A2" s="2" t="s">
        <v>384</v>
      </c>
    </row>
    <row r="4" customFormat="false" ht="15" hidden="false" customHeight="false" outlineLevel="0" collapsed="false">
      <c r="A4" s="7" t="s">
        <v>353</v>
      </c>
      <c r="B4" s="8" t="s">
        <v>60</v>
      </c>
      <c r="C4" s="37" t="n">
        <v>0</v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</row>
    <row r="5" customFormat="false" ht="15" hidden="false" customHeight="false" outlineLevel="0" collapsed="false">
      <c r="A5" s="3" t="s">
        <v>385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A6" s="9" t="s">
        <v>386</v>
      </c>
      <c r="B6" s="9" t="s">
        <v>387</v>
      </c>
      <c r="D6" s="42" t="n">
        <f aca="false">(1+Assumptions!$C$10)^(D$4-1)</f>
        <v>1</v>
      </c>
      <c r="E6" s="42" t="n">
        <f aca="false">(1+Assumptions!$C$10)^(E$4-1)</f>
        <v>1.05</v>
      </c>
      <c r="F6" s="42" t="n">
        <f aca="false">(1+Assumptions!$C$10)^(F$4-1)</f>
        <v>1.1025</v>
      </c>
      <c r="G6" s="42" t="n">
        <f aca="false">(1+Assumptions!$C$10)^(G$4-1)</f>
        <v>1.157625</v>
      </c>
      <c r="H6" s="42" t="n">
        <f aca="false">(1+Assumptions!$C$10)^(H$4-1)</f>
        <v>1.21550625</v>
      </c>
      <c r="I6" s="42" t="n">
        <f aca="false">(1+Assumptions!$C$10)^(I$4-1)</f>
        <v>1.2762815625</v>
      </c>
      <c r="J6" s="42" t="n">
        <f aca="false">(1+Assumptions!$C$10)^(J$4-1)</f>
        <v>1.340095640625</v>
      </c>
      <c r="K6" s="42" t="n">
        <f aca="false">(1+Assumptions!$C$10)^(K$4-1)</f>
        <v>1.40710042265625</v>
      </c>
    </row>
    <row r="7" customFormat="false" ht="15" hidden="false" customHeight="false" outlineLevel="0" collapsed="false">
      <c r="A7" s="9" t="s">
        <v>388</v>
      </c>
      <c r="B7" s="9" t="s">
        <v>387</v>
      </c>
      <c r="D7" s="42" t="n">
        <f aca="false">(1+Assumptions!$C$11)^(D$4-1)</f>
        <v>1</v>
      </c>
      <c r="E7" s="42" t="n">
        <f aca="false">(1+Assumptions!$C$11)^(E$4-1)</f>
        <v>1.05</v>
      </c>
      <c r="F7" s="42" t="n">
        <f aca="false">(1+Assumptions!$C$11)^(F$4-1)</f>
        <v>1.1025</v>
      </c>
      <c r="G7" s="42" t="n">
        <f aca="false">(1+Assumptions!$C$11)^(G$4-1)</f>
        <v>1.157625</v>
      </c>
      <c r="H7" s="42" t="n">
        <f aca="false">(1+Assumptions!$C$11)^(H$4-1)</f>
        <v>1.21550625</v>
      </c>
      <c r="I7" s="42" t="n">
        <f aca="false">(1+Assumptions!$C$11)^(I$4-1)</f>
        <v>1.2762815625</v>
      </c>
      <c r="J7" s="42" t="n">
        <f aca="false">(1+Assumptions!$C$11)^(J$4-1)</f>
        <v>1.340095640625</v>
      </c>
      <c r="K7" s="42" t="n">
        <f aca="false">(1+Assumptions!$C$11)^(K$4-1)</f>
        <v>1.40710042265625</v>
      </c>
    </row>
    <row r="8" customFormat="false" ht="15" hidden="false" customHeight="false" outlineLevel="0" collapsed="false">
      <c r="A8" s="9" t="s">
        <v>389</v>
      </c>
      <c r="B8" s="9" t="s">
        <v>387</v>
      </c>
      <c r="D8" s="42" t="n">
        <f aca="false">(1+Assumptions!$C$12)^(D$4-1)</f>
        <v>1</v>
      </c>
      <c r="E8" s="42" t="n">
        <f aca="false">(1+Assumptions!$C$12)^(E$4-1)</f>
        <v>1.05</v>
      </c>
      <c r="F8" s="42" t="n">
        <f aca="false">(1+Assumptions!$C$12)^(F$4-1)</f>
        <v>1.1025</v>
      </c>
      <c r="G8" s="42" t="n">
        <f aca="false">(1+Assumptions!$C$12)^(G$4-1)</f>
        <v>1.157625</v>
      </c>
      <c r="H8" s="42" t="n">
        <f aca="false">(1+Assumptions!$C$12)^(H$4-1)</f>
        <v>1.21550625</v>
      </c>
      <c r="I8" s="42" t="n">
        <f aca="false">(1+Assumptions!$C$12)^(I$4-1)</f>
        <v>1.2762815625</v>
      </c>
      <c r="J8" s="42" t="n">
        <f aca="false">(1+Assumptions!$C$12)^(J$4-1)</f>
        <v>1.340095640625</v>
      </c>
      <c r="K8" s="42" t="n">
        <f aca="false">(1+Assumptions!$C$12)^(K$4-1)</f>
        <v>1.40710042265625</v>
      </c>
    </row>
    <row r="9" customFormat="false" ht="15" hidden="false" customHeight="false" outlineLevel="0" collapsed="false">
      <c r="A9" s="3" t="s">
        <v>390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customFormat="false" ht="15" hidden="false" customHeight="false" outlineLevel="0" collapsed="false">
      <c r="A10" s="9" t="s">
        <v>391</v>
      </c>
      <c r="B10" s="9"/>
      <c r="D10" s="27" t="n">
        <f aca="false">Herd!D18*(1-Assumptions!$C$59)*Assumptions!$C$58*Scenarios!$F$6*D6</f>
        <v>64260</v>
      </c>
      <c r="E10" s="27" t="n">
        <f aca="false">Herd!E18*(1-Assumptions!$C$59)*Assumptions!$C$58*Scenarios!$F$6*E6</f>
        <v>64774.08</v>
      </c>
      <c r="F10" s="27" t="n">
        <f aca="false">Herd!F18*(1-Assumptions!$C$59)*Assumptions!$C$58*Scenarios!$F$6*F6</f>
        <v>71080.443945</v>
      </c>
      <c r="G10" s="27" t="n">
        <f aca="false">Herd!G18*(1-Assumptions!$C$59)*Assumptions!$C$58*Scenarios!$F$6*G6</f>
        <v>76268.04819795</v>
      </c>
      <c r="H10" s="27" t="n">
        <f aca="false">Herd!H18*(1-Assumptions!$C$59)*Assumptions!$C$58*Scenarios!$F$6*H6</f>
        <v>82310.7285142546</v>
      </c>
      <c r="I10" s="27" t="n">
        <f aca="false">Herd!I18*(1-Assumptions!$C$59)*Assumptions!$C$58*Scenarios!$F$6*I6</f>
        <v>88698.1690373115</v>
      </c>
      <c r="J10" s="27" t="n">
        <f aca="false">Herd!J18*(1-Assumptions!$C$59)*Assumptions!$C$58*Scenarios!$F$6*J6</f>
        <v>95618.7510415471</v>
      </c>
      <c r="K10" s="27" t="n">
        <f aca="false">Herd!K18*(1-Assumptions!$C$59)*Assumptions!$C$58*Scenarios!$F$6*K6</f>
        <v>103068.812805382</v>
      </c>
    </row>
    <row r="11" customFormat="false" ht="15" hidden="false" customHeight="false" outlineLevel="0" collapsed="false">
      <c r="A11" s="9" t="s">
        <v>392</v>
      </c>
      <c r="B11" s="9"/>
      <c r="D11" s="27" t="n">
        <f aca="false">Herd!D18*Assumptions!$C$59*Assumptions!$C$58*Assumptions!$C$60*Scenarios!$F$6*D6</f>
        <v>15708</v>
      </c>
      <c r="E11" s="27" t="n">
        <f aca="false">Herd!E18*Assumptions!$C$59*Assumptions!$C$58*Assumptions!$C$60*Scenarios!$F$6*E6</f>
        <v>15833.664</v>
      </c>
      <c r="F11" s="27" t="n">
        <f aca="false">Herd!F18*Assumptions!$C$59*Assumptions!$C$58*Assumptions!$C$60*Scenarios!$F$6*F6</f>
        <v>17375.219631</v>
      </c>
      <c r="G11" s="27" t="n">
        <f aca="false">Herd!G18*Assumptions!$C$59*Assumptions!$C$58*Assumptions!$C$60*Scenarios!$F$6*G6</f>
        <v>18643.30067061</v>
      </c>
      <c r="H11" s="27" t="n">
        <f aca="false">Herd!H18*Assumptions!$C$59*Assumptions!$C$58*Assumptions!$C$60*Scenarios!$F$6*H6</f>
        <v>20120.4003034845</v>
      </c>
      <c r="I11" s="27" t="n">
        <f aca="false">Herd!I18*Assumptions!$C$59*Assumptions!$C$58*Assumptions!$C$60*Scenarios!$F$6*I6</f>
        <v>21681.774653565</v>
      </c>
      <c r="J11" s="27" t="n">
        <f aca="false">Herd!J18*Assumptions!$C$59*Assumptions!$C$58*Assumptions!$C$60*Scenarios!$F$6*J6</f>
        <v>23373.4724768226</v>
      </c>
      <c r="K11" s="27" t="n">
        <f aca="false">Herd!K18*Assumptions!$C$59*Assumptions!$C$58*Assumptions!$C$60*Scenarios!$F$6*K6</f>
        <v>25194.59868576</v>
      </c>
    </row>
    <row r="12" customFormat="false" ht="15" hidden="false" customHeight="false" outlineLevel="0" collapsed="false">
      <c r="A12" s="9" t="s">
        <v>393</v>
      </c>
      <c r="B12" s="9"/>
      <c r="D12" s="27" t="n">
        <f aca="false">Herd!D11*Assumptions!$C$39*Scenarios!$F$7*D7</f>
        <v>1876.8</v>
      </c>
      <c r="E12" s="27" t="n">
        <f aca="false">Herd!E11*Assumptions!$C$39*Scenarios!$F$7*E7</f>
        <v>1891.8144</v>
      </c>
      <c r="F12" s="27" t="n">
        <f aca="false">Herd!F11*Assumptions!$C$39*Scenarios!$F$7*F7</f>
        <v>2076.0002676</v>
      </c>
      <c r="G12" s="27" t="n">
        <f aca="false">Herd!G11*Assumptions!$C$39*Scenarios!$F$7*G7</f>
        <v>2227.511248956</v>
      </c>
      <c r="H12" s="27" t="n">
        <f aca="false">Herd!H11*Assumptions!$C$39*Scenarios!$F$7*H7</f>
        <v>2403.99588041633</v>
      </c>
      <c r="I12" s="27" t="n">
        <f aca="false">Herd!I11*Assumptions!$C$39*Scenarios!$F$7*I7</f>
        <v>2590.54969886751</v>
      </c>
      <c r="J12" s="27" t="n">
        <f aca="false">Herd!J11*Assumptions!$C$39*Scenarios!$F$7*J7</f>
        <v>2792.67463359439</v>
      </c>
      <c r="K12" s="27" t="n">
        <f aca="false">Herd!K11*Assumptions!$C$39*Scenarios!$F$7*K7</f>
        <v>3010.26373907781</v>
      </c>
    </row>
    <row r="13" customFormat="false" ht="15" hidden="false" customHeight="false" outlineLevel="0" collapsed="false">
      <c r="A13" s="9" t="s">
        <v>394</v>
      </c>
      <c r="B13" s="9"/>
      <c r="D13" s="27" t="n">
        <f aca="false">Herd!D14*Assumptions!$C$40*Scenarios!$F$7*D7</f>
        <v>1876.8</v>
      </c>
      <c r="E13" s="27" t="n">
        <f aca="false">Herd!E14*Assumptions!$C$40*Scenarios!$F$7*E7</f>
        <v>1891.8144</v>
      </c>
      <c r="F13" s="27" t="n">
        <f aca="false">Herd!F14*Assumptions!$C$40*Scenarios!$F$7*F7</f>
        <v>2076.0002676</v>
      </c>
      <c r="G13" s="27" t="n">
        <f aca="false">Herd!G14*Assumptions!$C$40*Scenarios!$F$7*G7</f>
        <v>2227.511248956</v>
      </c>
      <c r="H13" s="27" t="n">
        <f aca="false">Herd!H14*Assumptions!$C$40*Scenarios!$F$7*H7</f>
        <v>2403.99588041633</v>
      </c>
      <c r="I13" s="27" t="n">
        <f aca="false">Herd!I14*Assumptions!$C$40*Scenarios!$F$7*I7</f>
        <v>2590.54969886751</v>
      </c>
      <c r="J13" s="27" t="n">
        <f aca="false">Herd!J14*Assumptions!$C$40*Scenarios!$F$7*J7</f>
        <v>2792.67463359439</v>
      </c>
      <c r="K13" s="27" t="n">
        <f aca="false">Herd!K14*Assumptions!$C$40*Scenarios!$F$7*K7</f>
        <v>3010.26373907782</v>
      </c>
    </row>
    <row r="14" customFormat="false" ht="15" hidden="false" customHeight="false" outlineLevel="0" collapsed="false">
      <c r="A14" s="9" t="s">
        <v>395</v>
      </c>
      <c r="B14" s="9"/>
      <c r="D14" s="27" t="n">
        <f aca="false">Herd!D15*Assumptions!$C$41*Scenarios!$F$7*D7</f>
        <v>4400</v>
      </c>
      <c r="E14" s="27" t="n">
        <f aca="false">Herd!E15*Assumptions!$C$41*Scenarios!$F$7*E7</f>
        <v>4435.2</v>
      </c>
      <c r="F14" s="27" t="n">
        <f aca="false">Herd!F15*Assumptions!$C$41*Scenarios!$F$7*F7</f>
        <v>4867.0083</v>
      </c>
      <c r="G14" s="27" t="n">
        <f aca="false">Herd!G15*Assumptions!$C$41*Scenarios!$F$7*G7</f>
        <v>5222.213073</v>
      </c>
      <c r="H14" s="27" t="n">
        <f aca="false">Herd!H15*Assumptions!$C$41*Scenarios!$F$7*H7</f>
        <v>5635.96647156428</v>
      </c>
      <c r="I14" s="27" t="n">
        <f aca="false">Herd!I15*Assumptions!$C$41*Scenarios!$F$7*I7</f>
        <v>6073.3262334916</v>
      </c>
      <c r="J14" s="27" t="n">
        <f aca="false">Herd!J15*Assumptions!$C$41*Scenarios!$F$7*J7</f>
        <v>6547.19116997832</v>
      </c>
      <c r="K14" s="27" t="n">
        <f aca="false">Herd!K15*Assumptions!$C$41*Scenarios!$F$7*K7</f>
        <v>7057.31055623529</v>
      </c>
    </row>
    <row r="15" customFormat="false" ht="15" hidden="false" customHeight="false" outlineLevel="0" collapsed="false">
      <c r="A15" s="9" t="s">
        <v>396</v>
      </c>
      <c r="B15" s="9"/>
      <c r="D15" s="27" t="n">
        <f aca="false">Herd!D6*Assumptions!$C$63*Assumptions!$C$64*D8</f>
        <v>960</v>
      </c>
      <c r="E15" s="27" t="n">
        <f aca="false">Herd!E6*Assumptions!$C$63*Assumptions!$C$64*E8</f>
        <v>967.68</v>
      </c>
      <c r="F15" s="27" t="n">
        <f aca="false">Herd!F6*Assumptions!$C$63*Assumptions!$C$64*F8</f>
        <v>1061.89272</v>
      </c>
      <c r="G15" s="27" t="n">
        <f aca="false">Herd!G6*Assumptions!$C$63*Assumptions!$C$64*G8</f>
        <v>1139.3919432</v>
      </c>
      <c r="H15" s="27" t="n">
        <f aca="false">Herd!H6*Assumptions!$C$63*Assumptions!$C$64*H8</f>
        <v>1229.66541197766</v>
      </c>
      <c r="I15" s="27" t="n">
        <f aca="false">Herd!I6*Assumptions!$C$63*Assumptions!$C$64*I8</f>
        <v>1325.08936003453</v>
      </c>
      <c r="J15" s="27" t="n">
        <f aca="false">Herd!J6*Assumptions!$C$63*Assumptions!$C$64*J8</f>
        <v>1428.47807344982</v>
      </c>
      <c r="K15" s="27" t="n">
        <f aca="false">Herd!K6*Assumptions!$C$63*Assumptions!$C$64*K8</f>
        <v>1539.77684863315</v>
      </c>
    </row>
    <row r="16" customFormat="false" ht="15" hidden="false" customHeight="false" outlineLevel="0" collapsed="false">
      <c r="A16" s="3" t="s">
        <v>397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customFormat="false" ht="15" hidden="false" customHeight="false" outlineLevel="0" collapsed="false">
      <c r="A17" s="9" t="s">
        <v>398</v>
      </c>
      <c r="B17" s="9"/>
      <c r="D17" s="27" t="n">
        <f aca="false">Herd!D31*Assumptions!$C$54*Scenarios!$F$7*D7</f>
        <v>5961.6</v>
      </c>
      <c r="E17" s="27" t="n">
        <f aca="false">Herd!E31*Assumptions!$C$54*Scenarios!$F$7*E7</f>
        <v>6572.664</v>
      </c>
      <c r="F17" s="27" t="n">
        <f aca="false">Herd!F31*Assumptions!$C$54*Scenarios!$F$7*F7</f>
        <v>7075.472796</v>
      </c>
      <c r="G17" s="27" t="n">
        <f aca="false">Herd!G31*Assumptions!$C$54*Scenarios!$F$7*G7</f>
        <v>7648.19008947</v>
      </c>
      <c r="H17" s="27" t="n">
        <f aca="false">Herd!H31*Assumptions!$C$54*Scenarios!$F$7*H7</f>
        <v>8261.34006624854</v>
      </c>
      <c r="I17" s="27" t="n">
        <f aca="false">Herd!I31*Assumptions!$C$54*Scenarios!$F$7*I7</f>
        <v>8924.7578506767</v>
      </c>
      <c r="J17" s="27" t="n">
        <f aca="false">Herd!J31*Assumptions!$C$54*Scenarios!$F$7*J7</f>
        <v>9641.24182756814</v>
      </c>
      <c r="K17" s="27" t="n">
        <f aca="false">Herd!K31*Assumptions!$C$54*Scenarios!$F$7*K7</f>
        <v>10415.2847086928</v>
      </c>
    </row>
    <row r="18" customFormat="false" ht="15" hidden="false" customHeight="false" outlineLevel="0" collapsed="false">
      <c r="A18" s="9" t="s">
        <v>399</v>
      </c>
      <c r="B18" s="9"/>
      <c r="D18" s="27" t="n">
        <f aca="false">Herd!D28*Assumptions!$C$55*Assumptions!$C$56*Scenarios!$F$7*D7</f>
        <v>2599.2</v>
      </c>
      <c r="E18" s="27" t="n">
        <f aca="false">Herd!E28*Assumptions!$C$55*Assumptions!$C$56*Scenarios!$F$7*E7</f>
        <v>2865.618</v>
      </c>
      <c r="F18" s="27" t="n">
        <f aca="false">Herd!F28*Assumptions!$C$55*Assumptions!$C$56*Scenarios!$F$7*F7</f>
        <v>3084.837777</v>
      </c>
      <c r="G18" s="27" t="n">
        <f aca="false">Herd!G28*Assumptions!$C$55*Assumptions!$C$56*Scenarios!$F$7*G7</f>
        <v>3334.5369834525</v>
      </c>
      <c r="H18" s="27" t="n">
        <f aca="false">Herd!H28*Assumptions!$C$55*Assumptions!$C$56*Scenarios!$F$7*H7</f>
        <v>3601.86444917358</v>
      </c>
      <c r="I18" s="27" t="n">
        <f aca="false">Herd!I28*Assumptions!$C$55*Assumptions!$C$56*Scenarios!$F$7*I7</f>
        <v>3891.10819335059</v>
      </c>
      <c r="J18" s="27" t="n">
        <f aca="false">Herd!J28*Assumptions!$C$55*Assumptions!$C$56*Scenarios!$F$7*J7</f>
        <v>4203.48828472475</v>
      </c>
      <c r="K18" s="27" t="n">
        <f aca="false">Herd!K28*Assumptions!$C$55*Assumptions!$C$56*Scenarios!$F$7*K7</f>
        <v>4540.96350221994</v>
      </c>
    </row>
    <row r="19" customFormat="false" ht="15" hidden="false" customHeight="false" outlineLevel="0" collapsed="false">
      <c r="A19" s="3" t="s">
        <v>400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customFormat="false" ht="15" hidden="false" customHeight="false" outlineLevel="0" collapsed="false">
      <c r="A20" s="9" t="s">
        <v>401</v>
      </c>
      <c r="B20" s="9"/>
      <c r="D20" s="27" t="n">
        <f aca="false">Assumptions!$C$65*Assumptions!$C$66*D8</f>
        <v>900</v>
      </c>
      <c r="E20" s="27" t="n">
        <f aca="false">Assumptions!$C$65*Assumptions!$C$66*E8</f>
        <v>945</v>
      </c>
      <c r="F20" s="27" t="n">
        <f aca="false">Assumptions!$C$65*Assumptions!$C$66*F8</f>
        <v>992.25</v>
      </c>
      <c r="G20" s="27" t="n">
        <f aca="false">Assumptions!$C$65*Assumptions!$C$66*G8</f>
        <v>1041.8625</v>
      </c>
      <c r="H20" s="27" t="n">
        <f aca="false">Assumptions!$C$65*Assumptions!$C$66*H8</f>
        <v>1093.955625</v>
      </c>
      <c r="I20" s="27" t="n">
        <f aca="false">Assumptions!$C$65*Assumptions!$C$66*I8</f>
        <v>1148.65340625</v>
      </c>
      <c r="J20" s="27" t="n">
        <f aca="false">Assumptions!$C$65*Assumptions!$C$66*J8</f>
        <v>1206.0860765625</v>
      </c>
      <c r="K20" s="27" t="n">
        <f aca="false">Assumptions!$C$65*Assumptions!$C$66*K8</f>
        <v>1266.39038039063</v>
      </c>
    </row>
    <row r="21" customFormat="false" ht="15" hidden="false" customHeight="false" outlineLevel="0" collapsed="false">
      <c r="A21" s="9" t="s">
        <v>402</v>
      </c>
      <c r="B21" s="9"/>
      <c r="D21" s="27" t="n">
        <f aca="false">Assumptions!$C$67*D8</f>
        <v>0</v>
      </c>
      <c r="E21" s="27" t="n">
        <f aca="false">Assumptions!$C$67*E8</f>
        <v>0</v>
      </c>
      <c r="F21" s="27" t="n">
        <f aca="false">Assumptions!$C$67*F8</f>
        <v>0</v>
      </c>
      <c r="G21" s="27" t="n">
        <f aca="false">Assumptions!$C$67*G8</f>
        <v>0</v>
      </c>
      <c r="H21" s="27" t="n">
        <f aca="false">Assumptions!$C$67*H8</f>
        <v>0</v>
      </c>
      <c r="I21" s="27" t="n">
        <f aca="false">Assumptions!$C$67*I8</f>
        <v>0</v>
      </c>
      <c r="J21" s="27" t="n">
        <f aca="false">Assumptions!$C$67*J8</f>
        <v>0</v>
      </c>
      <c r="K21" s="27" t="n">
        <f aca="false">Assumptions!$C$67*K8</f>
        <v>0</v>
      </c>
    </row>
    <row r="22" customFormat="false" ht="15" hidden="false" customHeight="false" outlineLevel="0" collapsed="false">
      <c r="A22" s="3" t="s">
        <v>403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customFormat="false" ht="15" hidden="false" customHeight="false" outlineLevel="0" collapsed="false">
      <c r="A23" s="32" t="s">
        <v>404</v>
      </c>
      <c r="B23" s="43"/>
      <c r="C23" s="33"/>
      <c r="D23" s="34" t="n">
        <f aca="false">D10+D11+D12+D13+D14+D15+D17+D18+D20+D21</f>
        <v>98542.4</v>
      </c>
      <c r="E23" s="34" t="n">
        <f aca="false">E10+E11+E12+E13+E14+E15+E17+E18+E20+E21</f>
        <v>100177.5348</v>
      </c>
      <c r="F23" s="34" t="n">
        <f aca="false">F10+F11+F12+F13+F14+F15+F17+F18+F20+F21</f>
        <v>109689.1257042</v>
      </c>
      <c r="G23" s="34" t="n">
        <f aca="false">G10+G11+G12+G13+G14+G15+G17+G18+G20+G21</f>
        <v>117752.565955594</v>
      </c>
      <c r="H23" s="34" t="n">
        <f aca="false">H10+H11+H12+H13+H14+H15+H17+H18+H20+H21</f>
        <v>127061.912602536</v>
      </c>
      <c r="I23" s="34" t="n">
        <f aca="false">I10+I11+I12+I13+I14+I15+I17+I18+I20+I21</f>
        <v>136923.978132415</v>
      </c>
      <c r="J23" s="34" t="n">
        <f aca="false">J10+J11+J12+J13+J14+J15+J17+J18+J20+J21</f>
        <v>147604.058217842</v>
      </c>
      <c r="K23" s="34" t="n">
        <f aca="false">K10+K11+K12+K13+K14+K15+K17+K18+K20+K21</f>
        <v>159103.664965469</v>
      </c>
    </row>
    <row r="24" customFormat="false" ht="15" hidden="false" customHeight="false" outlineLevel="0" collapsed="false">
      <c r="A24" s="9" t="s">
        <v>405</v>
      </c>
      <c r="B24" s="9" t="s">
        <v>72</v>
      </c>
      <c r="E24" s="35" t="n">
        <f aca="false">IF(D23&gt;0,E23/D23-1,0)</f>
        <v>0.0165932106382634</v>
      </c>
      <c r="F24" s="35" t="n">
        <f aca="false">IF(E23&gt;0,F23/E23-1,0)</f>
        <v>0.0949473444639006</v>
      </c>
      <c r="G24" s="35" t="n">
        <f aca="false">IF(F23&gt;0,G23/F23-1,0)</f>
        <v>0.0735117560617564</v>
      </c>
      <c r="H24" s="35" t="n">
        <f aca="false">IF(G23&gt;0,H23/G23-1,0)</f>
        <v>0.0790585459551851</v>
      </c>
      <c r="I24" s="35" t="n">
        <f aca="false">IF(H23&gt;0,I23/H23-1,0)</f>
        <v>0.0776162213198284</v>
      </c>
      <c r="J24" s="35" t="n">
        <f aca="false">IF(I23&gt;0,J23/I23-1,0)</f>
        <v>0.0780000715075535</v>
      </c>
      <c r="K24" s="35" t="n">
        <f aca="false">IF(J23&gt;0,K23/J23-1,0)</f>
        <v>0.0779084727511719</v>
      </c>
    </row>
    <row r="25" customFormat="false" ht="15" hidden="false" customHeight="false" outlineLevel="0" collapsed="false">
      <c r="A25" s="9" t="s">
        <v>406</v>
      </c>
      <c r="B25" s="9"/>
      <c r="D25" s="27" t="n">
        <f aca="false">D10+D11+D12+D13+D14+D15</f>
        <v>89081.6</v>
      </c>
      <c r="E25" s="27" t="n">
        <f aca="false">E10+E11+E12+E13+E14+E15</f>
        <v>89794.2528</v>
      </c>
      <c r="F25" s="27" t="n">
        <f aca="false">F10+F11+F12+F13+F14+F15</f>
        <v>98536.5651312</v>
      </c>
      <c r="G25" s="27" t="n">
        <f aca="false">G10+G11+G12+G13+G14+G15</f>
        <v>105727.976382672</v>
      </c>
      <c r="H25" s="27" t="n">
        <f aca="false">H10+H11+H12+H13+H14+H15</f>
        <v>114104.752462114</v>
      </c>
      <c r="I25" s="27" t="n">
        <f aca="false">I10+I11+I12+I13+I14+I15</f>
        <v>122959.458682138</v>
      </c>
      <c r="J25" s="27" t="n">
        <f aca="false">J10+J11+J12+J13+J14+J15</f>
        <v>132553.242028987</v>
      </c>
      <c r="K25" s="27" t="n">
        <f aca="false">K10+K11+K12+K13+K14+K15</f>
        <v>142881.026374166</v>
      </c>
    </row>
    <row r="26" customFormat="false" ht="15" hidden="false" customHeight="false" outlineLevel="0" collapsed="false">
      <c r="A26" s="9" t="s">
        <v>407</v>
      </c>
      <c r="B26" s="9"/>
      <c r="D26" s="27" t="n">
        <f aca="false">D17+D18</f>
        <v>8560.8</v>
      </c>
      <c r="E26" s="27" t="n">
        <f aca="false">E17+E18</f>
        <v>9438.282</v>
      </c>
      <c r="F26" s="27" t="n">
        <f aca="false">F17+F18</f>
        <v>10160.310573</v>
      </c>
      <c r="G26" s="27" t="n">
        <f aca="false">G17+G18</f>
        <v>10982.7270729225</v>
      </c>
      <c r="H26" s="27" t="n">
        <f aca="false">H17+H18</f>
        <v>11863.2045154221</v>
      </c>
      <c r="I26" s="27" t="n">
        <f aca="false">I17+I18</f>
        <v>12815.8660440273</v>
      </c>
      <c r="J26" s="27" t="n">
        <f aca="false">J17+J18</f>
        <v>13844.7301122929</v>
      </c>
      <c r="K26" s="27" t="n">
        <f aca="false">K17+K18</f>
        <v>14956.2482109128</v>
      </c>
    </row>
    <row r="27" customFormat="false" ht="15" hidden="false" customHeight="false" outlineLevel="0" collapsed="false">
      <c r="A27" s="9" t="s">
        <v>408</v>
      </c>
      <c r="B27" s="9"/>
      <c r="D27" s="27" t="n">
        <f aca="false">D20+D21</f>
        <v>900</v>
      </c>
      <c r="E27" s="27" t="n">
        <f aca="false">E20+E21</f>
        <v>945</v>
      </c>
      <c r="F27" s="27" t="n">
        <f aca="false">F20+F21</f>
        <v>992.25</v>
      </c>
      <c r="G27" s="27" t="n">
        <f aca="false">G20+G21</f>
        <v>1041.8625</v>
      </c>
      <c r="H27" s="27" t="n">
        <f aca="false">H20+H21</f>
        <v>1093.955625</v>
      </c>
      <c r="I27" s="27" t="n">
        <f aca="false">I20+I21</f>
        <v>1148.65340625</v>
      </c>
      <c r="J27" s="27" t="n">
        <f aca="false">J20+J21</f>
        <v>1206.0860765625</v>
      </c>
      <c r="K27" s="27" t="n">
        <f aca="false">K20+K21</f>
        <v>1266.39038039063</v>
      </c>
    </row>
    <row r="28" customFormat="false" ht="15" hidden="false" customHeight="false" outlineLevel="0" collapsed="false">
      <c r="A28" s="9" t="s">
        <v>409</v>
      </c>
      <c r="B28" s="9" t="s">
        <v>72</v>
      </c>
      <c r="D28" s="35" t="n">
        <f aca="false">IF(D23&gt;0,(D10+D11)/D23,0)</f>
        <v>0.811508548604459</v>
      </c>
      <c r="E28" s="35" t="n">
        <f aca="false">IF(E23&gt;0,(E10+E11)/E23,0)</f>
        <v>0.804648908170178</v>
      </c>
      <c r="F28" s="35" t="n">
        <f aca="false">IF(F23&gt;0,(F10+F11)/F23,0)</f>
        <v>0.806421447961391</v>
      </c>
      <c r="G28" s="35" t="n">
        <f aca="false">IF(G23&gt;0,(G10+G11)/G23,0)</f>
        <v>0.80602361484294</v>
      </c>
      <c r="H28" s="35" t="n">
        <f aca="false">IF(H23&gt;0,(H10+H11)/H23,0)</f>
        <v>0.806151321979194</v>
      </c>
      <c r="I28" s="35" t="n">
        <f aca="false">IF(I23&gt;0,(I10+I11)/I23,0)</f>
        <v>0.806140350261599</v>
      </c>
      <c r="J28" s="35" t="n">
        <f aca="false">IF(J23&gt;0,(J10+J11)/J23,0)</f>
        <v>0.806158211061884</v>
      </c>
      <c r="K28" s="35" t="n">
        <f aca="false">IF(K23&gt;0,(K10+K11)/K23,0)</f>
        <v>0.806162520008443</v>
      </c>
    </row>
    <row r="29" customFormat="false" ht="15" hidden="false" customHeight="false" outlineLevel="0" collapsed="false">
      <c r="A29" s="9" t="s">
        <v>410</v>
      </c>
      <c r="B29" s="9" t="s">
        <v>72</v>
      </c>
      <c r="D29" s="35" t="n">
        <f aca="false">IF(D23&gt;0,(D12+D13+D14+D17+D18)/D23,0)</f>
        <v>0.169616327590966</v>
      </c>
      <c r="E29" s="35" t="n">
        <f aca="false">IF(E23&gt;0,(E12+E13+E14+E17+E18)/E23,0)</f>
        <v>0.17625818837778</v>
      </c>
      <c r="F29" s="35" t="n">
        <f aca="false">IF(F23&gt;0,(F12+F13+F14+F17+F18)/F23,0)</f>
        <v>0.174851602518203</v>
      </c>
      <c r="G29" s="35" t="n">
        <f aca="false">IF(G23&gt;0,(G12+G13+G14+G17+G18)/G23,0)</f>
        <v>0.175452334954854</v>
      </c>
      <c r="H29" s="35" t="n">
        <f aca="false">IF(H23&gt;0,(H12+H13+H14+H17+H18)/H23,0)</f>
        <v>0.17556136446331</v>
      </c>
      <c r="I29" s="35" t="n">
        <f aca="false">IF(I23&gt;0,(I12+I13+I14+I17+I18)/I23,0)</f>
        <v>0.175793107997317</v>
      </c>
      <c r="J29" s="35" t="n">
        <f aca="false">IF(J23&gt;0,(J12+J13+J14+J17+J18)/J23,0)</f>
        <v>0.175992929077338</v>
      </c>
      <c r="K29" s="35" t="n">
        <f aca="false">IF(K23&gt;0,(K12+K13+K14+K17+K18)/K23,0)</f>
        <v>0.176200128710976</v>
      </c>
    </row>
    <row r="30" customFormat="false" ht="15" hidden="false" customHeight="false" outlineLevel="0" collapsed="false">
      <c r="A30" s="9" t="s">
        <v>411</v>
      </c>
      <c r="B30" s="9" t="s">
        <v>72</v>
      </c>
      <c r="D30" s="35" t="n">
        <f aca="false">IF(D23&gt;0,(D15+D20+D21)/D23,0)</f>
        <v>0.0188751238045755</v>
      </c>
      <c r="E30" s="35" t="n">
        <f aca="false">IF(E23&gt;0,(E15+E20+E21)/E23,0)</f>
        <v>0.0190929034520422</v>
      </c>
      <c r="F30" s="35" t="n">
        <f aca="false">IF(F23&gt;0,(F15+F20+F21)/F23,0)</f>
        <v>0.0187269495204058</v>
      </c>
      <c r="G30" s="35" t="n">
        <f aca="false">IF(G23&gt;0,(G15+G20+G21)/G23,0)</f>
        <v>0.018524050202206</v>
      </c>
      <c r="H30" s="35" t="n">
        <f aca="false">IF(H23&gt;0,(H15+H20+H21)/H23,0)</f>
        <v>0.0182873135574955</v>
      </c>
      <c r="I30" s="35" t="n">
        <f aca="false">IF(I23&gt;0,(I15+I20+I21)/I23,0)</f>
        <v>0.0180665417410839</v>
      </c>
      <c r="J30" s="35" t="n">
        <f aca="false">IF(J23&gt;0,(J15+J20+J21)/J23,0)</f>
        <v>0.0178488598607776</v>
      </c>
      <c r="K30" s="35" t="n">
        <f aca="false">IF(K23&gt;0,(K15+K20+K21)/K23,0)</f>
        <v>0.0176373512805806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412</v>
      </c>
    </row>
    <row r="2" customFormat="false" ht="15" hidden="false" customHeight="false" outlineLevel="0" collapsed="false">
      <c r="A2" s="2" t="s">
        <v>413</v>
      </c>
    </row>
    <row r="4" customFormat="false" ht="15" hidden="false" customHeight="false" outlineLevel="0" collapsed="false">
      <c r="A4" s="7" t="s">
        <v>353</v>
      </c>
      <c r="B4" s="8" t="s">
        <v>60</v>
      </c>
      <c r="C4" s="37" t="n">
        <v>0</v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</row>
    <row r="5" customFormat="false" ht="15" hidden="false" customHeight="false" outlineLevel="0" collapsed="false">
      <c r="A5" s="3" t="s">
        <v>414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A6" s="9" t="s">
        <v>415</v>
      </c>
      <c r="B6" s="9" t="s">
        <v>387</v>
      </c>
      <c r="D6" s="42" t="n">
        <f aca="false">(1+Assumptions!$C$12)^(D$4-1)</f>
        <v>1</v>
      </c>
      <c r="E6" s="42" t="n">
        <f aca="false">(1+Assumptions!$C$12)^(E$4-1)</f>
        <v>1.05</v>
      </c>
      <c r="F6" s="42" t="n">
        <f aca="false">(1+Assumptions!$C$12)^(F$4-1)</f>
        <v>1.1025</v>
      </c>
      <c r="G6" s="42" t="n">
        <f aca="false">(1+Assumptions!$C$12)^(G$4-1)</f>
        <v>1.157625</v>
      </c>
      <c r="H6" s="42" t="n">
        <f aca="false">(1+Assumptions!$C$12)^(H$4-1)</f>
        <v>1.21550625</v>
      </c>
      <c r="I6" s="42" t="n">
        <f aca="false">(1+Assumptions!$C$12)^(I$4-1)</f>
        <v>1.2762815625</v>
      </c>
      <c r="J6" s="42" t="n">
        <f aca="false">(1+Assumptions!$C$12)^(J$4-1)</f>
        <v>1.340095640625</v>
      </c>
      <c r="K6" s="42" t="n">
        <f aca="false">(1+Assumptions!$C$12)^(K$4-1)</f>
        <v>1.40710042265625</v>
      </c>
    </row>
    <row r="7" customFormat="false" ht="15" hidden="false" customHeight="false" outlineLevel="0" collapsed="false">
      <c r="A7" s="9" t="s">
        <v>416</v>
      </c>
      <c r="B7" s="9" t="s">
        <v>227</v>
      </c>
      <c r="D7" s="30" t="n">
        <f aca="false">Herd!D6+Assumptions!$C$87*Herd!D20+Assumptions!$C$88*Herd!D34</f>
        <v>55.6702</v>
      </c>
      <c r="E7" s="30" t="n">
        <f aca="false">Herd!E6+Assumptions!$C$87*Herd!E20+Assumptions!$C$88*Herd!E34</f>
        <v>55.236312</v>
      </c>
      <c r="F7" s="30" t="n">
        <f aca="false">Herd!F6+Assumptions!$C$87*Herd!F20+Assumptions!$C$88*Herd!F34</f>
        <v>57.25128526</v>
      </c>
      <c r="G7" s="30" t="n">
        <f aca="false">Herd!G6+Assumptions!$C$87*Herd!G20+Assumptions!$C$88*Herd!G34</f>
        <v>58.663639792</v>
      </c>
      <c r="H7" s="30" t="n">
        <f aca="false">Herd!H6+Assumptions!$C$87*Herd!H20+Assumptions!$C$88*Herd!H34</f>
        <v>60.289749567182</v>
      </c>
      <c r="I7" s="30" t="n">
        <f aca="false">Herd!I6+Assumptions!$C$87*Herd!I20+Assumptions!$C$88*Herd!I34</f>
        <v>61.9131435788887</v>
      </c>
      <c r="J7" s="30" t="n">
        <f aca="false">Herd!J6+Assumptions!$C$87*Herd!J20+Assumptions!$C$88*Herd!J34</f>
        <v>63.5930549238655</v>
      </c>
      <c r="K7" s="30" t="n">
        <f aca="false">Herd!K6+Assumptions!$C$87*Herd!K20+Assumptions!$C$88*Herd!K34</f>
        <v>65.31519829315</v>
      </c>
    </row>
    <row r="8" customFormat="false" ht="15" hidden="false" customHeight="false" outlineLevel="0" collapsed="false">
      <c r="A8" s="9" t="s">
        <v>417</v>
      </c>
      <c r="B8" s="9" t="s">
        <v>220</v>
      </c>
      <c r="D8" s="27" t="n">
        <f aca="false">MAX(Assumptions!$C$85,ROUNDUP(D7/Assumptions!$C$86,0))</f>
        <v>3</v>
      </c>
      <c r="E8" s="27" t="n">
        <f aca="false">MAX(Assumptions!$C$85,ROUNDUP(E7/Assumptions!$C$86,0))</f>
        <v>3</v>
      </c>
      <c r="F8" s="27" t="n">
        <f aca="false">MAX(Assumptions!$C$85,ROUNDUP(F7/Assumptions!$C$86,0))</f>
        <v>3</v>
      </c>
      <c r="G8" s="27" t="n">
        <f aca="false">MAX(Assumptions!$C$85,ROUNDUP(G7/Assumptions!$C$86,0))</f>
        <v>3</v>
      </c>
      <c r="H8" s="27" t="n">
        <f aca="false">MAX(Assumptions!$C$85,ROUNDUP(H7/Assumptions!$C$86,0))</f>
        <v>4</v>
      </c>
      <c r="I8" s="27" t="n">
        <f aca="false">MAX(Assumptions!$C$85,ROUNDUP(I7/Assumptions!$C$86,0))</f>
        <v>4</v>
      </c>
      <c r="J8" s="27" t="n">
        <f aca="false">MAX(Assumptions!$C$85,ROUNDUP(J7/Assumptions!$C$86,0))</f>
        <v>4</v>
      </c>
      <c r="K8" s="27" t="n">
        <f aca="false">MAX(Assumptions!$C$85,ROUNDUP(K7/Assumptions!$C$86,0))</f>
        <v>4</v>
      </c>
    </row>
    <row r="9" customFormat="false" ht="15" hidden="false" customHeight="false" outlineLevel="0" collapsed="false">
      <c r="A9" s="3" t="s">
        <v>418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customFormat="false" ht="15" hidden="false" customHeight="false" outlineLevel="0" collapsed="false">
      <c r="A10" s="9" t="s">
        <v>419</v>
      </c>
      <c r="B10" s="9"/>
      <c r="D10" s="27" t="n">
        <f aca="false">Herd!D18*Assumptions!$C$69*Assumptions!$C$70*D6*Scenarios!$F$8</f>
        <v>16660</v>
      </c>
      <c r="E10" s="27" t="n">
        <f aca="false">Herd!E18*Assumptions!$C$69*Assumptions!$C$70*E6*Scenarios!$F$8</f>
        <v>16793.28</v>
      </c>
      <c r="F10" s="27" t="n">
        <f aca="false">Herd!F18*Assumptions!$C$69*Assumptions!$C$70*F6*Scenarios!$F$8</f>
        <v>18428.263245</v>
      </c>
      <c r="G10" s="27" t="n">
        <f aca="false">Herd!G18*Assumptions!$C$69*Assumptions!$C$70*G6*Scenarios!$F$8</f>
        <v>19773.19768095</v>
      </c>
      <c r="H10" s="27" t="n">
        <f aca="false">Herd!H18*Assumptions!$C$69*Assumptions!$C$70*H6*Scenarios!$F$8</f>
        <v>21339.8185036956</v>
      </c>
      <c r="I10" s="27" t="n">
        <f aca="false">Herd!I18*Assumptions!$C$69*Assumptions!$C$70*I6*Scenarios!$F$8</f>
        <v>22995.8216022659</v>
      </c>
      <c r="J10" s="27" t="n">
        <f aca="false">Herd!J18*Assumptions!$C$69*Assumptions!$C$70*J6*Scenarios!$F$8</f>
        <v>24790.046566327</v>
      </c>
      <c r="K10" s="27" t="n">
        <f aca="false">Herd!K18*Assumptions!$C$69*Assumptions!$C$70*K6*Scenarios!$F$8</f>
        <v>26721.5440606545</v>
      </c>
    </row>
    <row r="11" customFormat="false" ht="15" hidden="false" customHeight="false" outlineLevel="0" collapsed="false">
      <c r="A11" s="9" t="s">
        <v>420</v>
      </c>
      <c r="B11" s="9"/>
      <c r="D11" s="27" t="n">
        <f aca="false">Herd!D6*(Assumptions!$C$71+Assumptions!$C$72)*D6*Scenarios!$F$8</f>
        <v>7200</v>
      </c>
      <c r="E11" s="27" t="n">
        <f aca="false">Herd!E6*(Assumptions!$C$71+Assumptions!$C$72)*E6*Scenarios!$F$8</f>
        <v>7257.6</v>
      </c>
      <c r="F11" s="27" t="n">
        <f aca="false">Herd!F6*(Assumptions!$C$71+Assumptions!$C$72)*F6*Scenarios!$F$8</f>
        <v>7964.1954</v>
      </c>
      <c r="G11" s="27" t="n">
        <f aca="false">Herd!G6*(Assumptions!$C$71+Assumptions!$C$72)*G6*Scenarios!$F$8</f>
        <v>8545.439574</v>
      </c>
      <c r="H11" s="27" t="n">
        <f aca="false">Herd!H6*(Assumptions!$C$71+Assumptions!$C$72)*H6*Scenarios!$F$8</f>
        <v>9222.49058983245</v>
      </c>
      <c r="I11" s="27" t="n">
        <f aca="false">Herd!I6*(Assumptions!$C$71+Assumptions!$C$72)*I6*Scenarios!$F$8</f>
        <v>9938.17020025899</v>
      </c>
      <c r="J11" s="27" t="n">
        <f aca="false">Herd!J6*(Assumptions!$C$71+Assumptions!$C$72)*J6*Scenarios!$F$8</f>
        <v>10713.5855508736</v>
      </c>
      <c r="K11" s="27" t="n">
        <f aca="false">Herd!K6*(Assumptions!$C$71+Assumptions!$C$72)*K6*Scenarios!$F$8</f>
        <v>11548.3263647487</v>
      </c>
    </row>
    <row r="12" customFormat="false" ht="15" hidden="false" customHeight="false" outlineLevel="0" collapsed="false">
      <c r="A12" s="9" t="s">
        <v>421</v>
      </c>
      <c r="B12" s="9"/>
      <c r="D12" s="27" t="n">
        <f aca="false">Herd!D17*Assumptions!$C$75*D6*Scenarios!$F$8</f>
        <v>2694.8</v>
      </c>
      <c r="E12" s="27" t="n">
        <f aca="false">Herd!E17*Assumptions!$C$75*E6*Scenarios!$F$8</f>
        <v>3402.6384</v>
      </c>
      <c r="F12" s="27" t="n">
        <f aca="false">Herd!F17*Assumptions!$C$75*F6*Scenarios!$F$8</f>
        <v>3528.4727961</v>
      </c>
      <c r="G12" s="27" t="n">
        <f aca="false">Herd!G17*Assumptions!$C$75*G6*Scenarios!$F$8</f>
        <v>3842.481889701</v>
      </c>
      <c r="H12" s="27" t="n">
        <f aca="false">Herd!H17*Assumptions!$C$75*H6*Scenarios!$F$8</f>
        <v>4131.03221021396</v>
      </c>
      <c r="I12" s="27" t="n">
        <f aca="false">Herd!I17*Assumptions!$C$75*I6*Scenarios!$F$8</f>
        <v>4456.04894451605</v>
      </c>
      <c r="J12" s="27" t="n">
        <f aca="false">Herd!J17*Assumptions!$C$75*J6*Scenarios!$F$8</f>
        <v>4802.48358404276</v>
      </c>
      <c r="K12" s="27" t="n">
        <f aca="false">Herd!K17*Assumptions!$C$75*K6*Scenarios!$F$8</f>
        <v>5177.01360728185</v>
      </c>
    </row>
    <row r="13" customFormat="false" ht="15" hidden="false" customHeight="false" outlineLevel="0" collapsed="false">
      <c r="A13" s="9" t="s">
        <v>422</v>
      </c>
      <c r="B13" s="9"/>
      <c r="D13" s="27" t="n">
        <f aca="false">Herd!D10*Assumptions!$C$76*D6*Scenarios!$F$8</f>
        <v>2189.6</v>
      </c>
      <c r="E13" s="27" t="n">
        <f aca="false">Herd!E10*Assumptions!$C$76*E6*Scenarios!$F$8</f>
        <v>2207.1168</v>
      </c>
      <c r="F13" s="27" t="n">
        <f aca="false">Herd!F10*Assumptions!$C$76*F6*Scenarios!$F$8</f>
        <v>2422.0003122</v>
      </c>
      <c r="G13" s="27" t="n">
        <f aca="false">Herd!G10*Assumptions!$C$76*G6*Scenarios!$F$8</f>
        <v>2598.763123782</v>
      </c>
      <c r="H13" s="27" t="n">
        <f aca="false">Herd!H10*Assumptions!$C$76*H6*Scenarios!$F$8</f>
        <v>2804.66186048571</v>
      </c>
      <c r="I13" s="27" t="n">
        <f aca="false">Herd!I10*Assumptions!$C$76*I6*Scenarios!$F$8</f>
        <v>3022.30798201209</v>
      </c>
      <c r="J13" s="27" t="n">
        <f aca="false">Herd!J10*Assumptions!$C$76*J6*Scenarios!$F$8</f>
        <v>3258.12040586012</v>
      </c>
      <c r="K13" s="27" t="n">
        <f aca="false">Herd!K10*Assumptions!$C$76*K6*Scenarios!$F$8</f>
        <v>3511.97436225745</v>
      </c>
    </row>
    <row r="14" customFormat="false" ht="15" hidden="false" customHeight="false" outlineLevel="0" collapsed="false">
      <c r="A14" s="9" t="s">
        <v>423</v>
      </c>
      <c r="B14" s="9"/>
      <c r="D14" s="27" t="n">
        <f aca="false">Herd!D6*Assumptions!$C$78*D6*Scenarios!$F$9</f>
        <v>2200</v>
      </c>
      <c r="E14" s="27" t="n">
        <f aca="false">Herd!E6*Assumptions!$C$78*E6*Scenarios!$F$9</f>
        <v>2217.6</v>
      </c>
      <c r="F14" s="27" t="n">
        <f aca="false">Herd!F6*Assumptions!$C$78*F6*Scenarios!$F$9</f>
        <v>2433.50415</v>
      </c>
      <c r="G14" s="27" t="n">
        <f aca="false">Herd!G6*Assumptions!$C$78*G6*Scenarios!$F$9</f>
        <v>2611.1065365</v>
      </c>
      <c r="H14" s="27" t="n">
        <f aca="false">Herd!H6*Assumptions!$C$78*H6*Scenarios!$F$9</f>
        <v>2817.98323578214</v>
      </c>
      <c r="I14" s="27" t="n">
        <f aca="false">Herd!I6*Assumptions!$C$78*I6*Scenarios!$F$9</f>
        <v>3036.6631167458</v>
      </c>
      <c r="J14" s="27" t="n">
        <f aca="false">Herd!J6*Assumptions!$C$78*J6*Scenarios!$F$9</f>
        <v>3273.59558498916</v>
      </c>
      <c r="K14" s="27" t="n">
        <f aca="false">Herd!K6*Assumptions!$C$78*K6*Scenarios!$F$9</f>
        <v>3528.65527811764</v>
      </c>
    </row>
    <row r="15" customFormat="false" ht="15" hidden="false" customHeight="false" outlineLevel="0" collapsed="false">
      <c r="A15" s="9" t="s">
        <v>424</v>
      </c>
      <c r="B15" s="9"/>
      <c r="D15" s="27" t="n">
        <f aca="false">Herd!D6*Assumptions!$C$80*D6*Scenarios!$F$9</f>
        <v>1400</v>
      </c>
      <c r="E15" s="27" t="n">
        <f aca="false">Herd!E6*Assumptions!$C$80*E6*Scenarios!$F$9</f>
        <v>1411.2</v>
      </c>
      <c r="F15" s="27" t="n">
        <f aca="false">Herd!F6*Assumptions!$C$80*F6*Scenarios!$F$9</f>
        <v>1548.59355</v>
      </c>
      <c r="G15" s="27" t="n">
        <f aca="false">Herd!G6*Assumptions!$C$80*G6*Scenarios!$F$9</f>
        <v>1661.6132505</v>
      </c>
      <c r="H15" s="27" t="n">
        <f aca="false">Herd!H6*Assumptions!$C$80*H6*Scenarios!$F$9</f>
        <v>1793.26205913409</v>
      </c>
      <c r="I15" s="27" t="n">
        <f aca="false">Herd!I6*Assumptions!$C$80*I6*Scenarios!$F$9</f>
        <v>1932.42198338369</v>
      </c>
      <c r="J15" s="27" t="n">
        <f aca="false">Herd!J6*Assumptions!$C$80*J6*Scenarios!$F$9</f>
        <v>2083.19719044765</v>
      </c>
      <c r="K15" s="27" t="n">
        <f aca="false">Herd!K6*Assumptions!$C$80*K6*Scenarios!$F$9</f>
        <v>2245.50790425668</v>
      </c>
    </row>
    <row r="16" customFormat="false" ht="15" hidden="false" customHeight="false" outlineLevel="0" collapsed="false">
      <c r="A16" s="9" t="s">
        <v>425</v>
      </c>
      <c r="B16" s="9"/>
      <c r="D16" s="27" t="n">
        <f aca="false">Herd!D18*Assumptions!$C$59*Assumptions!$C$61*D6*Scenarios!$F$9</f>
        <v>3332</v>
      </c>
      <c r="E16" s="27" t="n">
        <f aca="false">Herd!E18*Assumptions!$C$59*Assumptions!$C$61*E6*Scenarios!$F$9</f>
        <v>3358.656</v>
      </c>
      <c r="F16" s="27" t="n">
        <f aca="false">Herd!F18*Assumptions!$C$59*Assumptions!$C$61*F6*Scenarios!$F$9</f>
        <v>3685.652649</v>
      </c>
      <c r="G16" s="27" t="n">
        <f aca="false">Herd!G18*Assumptions!$C$59*Assumptions!$C$61*G6*Scenarios!$F$9</f>
        <v>3954.63953619</v>
      </c>
      <c r="H16" s="27" t="n">
        <f aca="false">Herd!H18*Assumptions!$C$59*Assumptions!$C$61*H6*Scenarios!$F$9</f>
        <v>4267.96370073913</v>
      </c>
      <c r="I16" s="27" t="n">
        <f aca="false">Herd!I18*Assumptions!$C$59*Assumptions!$C$61*I6*Scenarios!$F$9</f>
        <v>4599.16432045319</v>
      </c>
      <c r="J16" s="27" t="n">
        <f aca="false">Herd!J18*Assumptions!$C$59*Assumptions!$C$61*J6*Scenarios!$F$9</f>
        <v>4958.0093132654</v>
      </c>
      <c r="K16" s="27" t="n">
        <f aca="false">Herd!K18*Assumptions!$C$59*Assumptions!$C$61*K6*Scenarios!$F$9</f>
        <v>5344.3088121309</v>
      </c>
    </row>
    <row r="17" customFormat="false" ht="15" hidden="false" customHeight="false" outlineLevel="0" collapsed="false">
      <c r="A17" s="9" t="s">
        <v>426</v>
      </c>
      <c r="B17" s="9"/>
      <c r="D17" s="27" t="n">
        <f aca="false">Herd!D18*Assumptions!$C$62*D6*Scenarios!$F$9</f>
        <v>3570</v>
      </c>
      <c r="E17" s="27" t="n">
        <f aca="false">Herd!E18*Assumptions!$C$62*E6*Scenarios!$F$9</f>
        <v>3598.56</v>
      </c>
      <c r="F17" s="27" t="n">
        <f aca="false">Herd!F18*Assumptions!$C$62*F6*Scenarios!$F$9</f>
        <v>3948.9135525</v>
      </c>
      <c r="G17" s="27" t="n">
        <f aca="false">Herd!G18*Assumptions!$C$62*G6*Scenarios!$F$9</f>
        <v>4237.113788775</v>
      </c>
      <c r="H17" s="27" t="n">
        <f aca="false">Herd!H18*Assumptions!$C$62*H6*Scenarios!$F$9</f>
        <v>4572.81825079192</v>
      </c>
      <c r="I17" s="27" t="n">
        <f aca="false">Herd!I18*Assumptions!$C$62*I6*Scenarios!$F$9</f>
        <v>4927.67605762841</v>
      </c>
      <c r="J17" s="27" t="n">
        <f aca="false">Herd!J18*Assumptions!$C$62*J6*Scenarios!$F$9</f>
        <v>5312.1528356415</v>
      </c>
      <c r="K17" s="27" t="n">
        <f aca="false">Herd!K18*Assumptions!$C$62*K6*Scenarios!$F$9</f>
        <v>5726.04515585454</v>
      </c>
    </row>
    <row r="18" customFormat="false" ht="15" hidden="false" customHeight="false" outlineLevel="0" collapsed="false">
      <c r="A18" s="3" t="s">
        <v>427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customFormat="false" ht="15" hidden="false" customHeight="false" outlineLevel="0" collapsed="false">
      <c r="A19" s="9" t="s">
        <v>428</v>
      </c>
      <c r="B19" s="9"/>
      <c r="D19" s="27" t="n">
        <f aca="false">Herd!D20*(Assumptions!$C$73+Assumptions!$C$74)*D6*Scenarios!$F$8</f>
        <v>2250</v>
      </c>
      <c r="E19" s="27" t="n">
        <f aca="false">Herd!E20*(Assumptions!$C$73+Assumptions!$C$74)*E6*Scenarios!$F$8</f>
        <v>2480.625</v>
      </c>
      <c r="F19" s="27" t="n">
        <f aca="false">Herd!F20*(Assumptions!$C$73+Assumptions!$C$74)*F6*Scenarios!$F$8</f>
        <v>2670.3928125</v>
      </c>
      <c r="G19" s="27" t="n">
        <f aca="false">Herd!G20*(Assumptions!$C$73+Assumptions!$C$74)*G6*Scenarios!$F$8</f>
        <v>2886.54517265625</v>
      </c>
      <c r="H19" s="27" t="n">
        <f aca="false">Herd!H20*(Assumptions!$C$73+Assumptions!$C$74)*H6*Scenarios!$F$8</f>
        <v>3117.95745253945</v>
      </c>
      <c r="I19" s="27" t="n">
        <f aca="false">Herd!I20*(Assumptions!$C$73+Assumptions!$C$74)*I6*Scenarios!$F$8</f>
        <v>3368.34158011651</v>
      </c>
      <c r="J19" s="27" t="n">
        <f aca="false">Herd!J20*(Assumptions!$C$73+Assumptions!$C$74)*J6*Scenarios!$F$8</f>
        <v>3638.75370907614</v>
      </c>
      <c r="K19" s="27" t="n">
        <f aca="false">Herd!K20*(Assumptions!$C$73+Assumptions!$C$74)*K6*Scenarios!$F$8</f>
        <v>3930.88945829289</v>
      </c>
    </row>
    <row r="20" customFormat="false" ht="15" hidden="false" customHeight="false" outlineLevel="0" collapsed="false">
      <c r="A20" s="9" t="s">
        <v>429</v>
      </c>
      <c r="B20" s="9"/>
      <c r="D20" s="27" t="n">
        <f aca="false">Herd!D30*Assumptions!$C$75*D6*Scenarios!$F$8</f>
        <v>1752</v>
      </c>
      <c r="E20" s="27" t="n">
        <f aca="false">Herd!E30*Assumptions!$C$75*E6*Scenarios!$F$8</f>
        <v>1767.78</v>
      </c>
      <c r="F20" s="27" t="n">
        <f aca="false">Herd!F30*Assumptions!$C$75*F6*Scenarios!$F$8</f>
        <v>1933.15437</v>
      </c>
      <c r="G20" s="27" t="n">
        <f aca="false">Herd!G30*Assumptions!$C$75*G6*Scenarios!$F$8</f>
        <v>2083.952126025</v>
      </c>
      <c r="H20" s="27" t="n">
        <f aca="false">Herd!H30*Assumptions!$C$75*H6*Scenarios!$F$8</f>
        <v>2252.08696797551</v>
      </c>
      <c r="I20" s="27" t="n">
        <f aca="false">Herd!I30*Assumptions!$C$75*I6*Scenarios!$F$8</f>
        <v>2432.73814720358</v>
      </c>
      <c r="J20" s="27" t="n">
        <f aca="false">Herd!J30*Assumptions!$C$75*J6*Scenarios!$F$8</f>
        <v>2628.07715870271</v>
      </c>
      <c r="K20" s="27" t="n">
        <f aca="false">Herd!K30*Assumptions!$C$75*K6*Scenarios!$F$8</f>
        <v>2839.06412468388</v>
      </c>
    </row>
    <row r="21" customFormat="false" ht="15" hidden="false" customHeight="false" outlineLevel="0" collapsed="false">
      <c r="A21" s="9" t="s">
        <v>212</v>
      </c>
      <c r="B21" s="9"/>
      <c r="D21" s="27" t="n">
        <f aca="false">Herd!D24*Assumptions!$C$77*D6*Scenarios!$F$8</f>
        <v>552</v>
      </c>
      <c r="E21" s="27" t="n">
        <f aca="false">Herd!E24*Assumptions!$C$77*E6*Scenarios!$F$8</f>
        <v>608.58</v>
      </c>
      <c r="F21" s="27" t="n">
        <f aca="false">Herd!F24*Assumptions!$C$77*F6*Scenarios!$F$8</f>
        <v>655.13637</v>
      </c>
      <c r="G21" s="27" t="n">
        <f aca="false">Herd!G24*Assumptions!$C$77*G6*Scenarios!$F$8</f>
        <v>708.165749025</v>
      </c>
      <c r="H21" s="27" t="n">
        <f aca="false">Herd!H24*Assumptions!$C$77*H6*Scenarios!$F$8</f>
        <v>764.938895023013</v>
      </c>
      <c r="I21" s="27" t="n">
        <f aca="false">Herd!I24*Assumptions!$C$77*I6*Scenarios!$F$8</f>
        <v>826.36646765525</v>
      </c>
      <c r="J21" s="27" t="n">
        <f aca="false">Herd!J24*Assumptions!$C$77*J6*Scenarios!$F$8</f>
        <v>892.707576626679</v>
      </c>
      <c r="K21" s="27" t="n">
        <f aca="false">Herd!K24*Assumptions!$C$77*K6*Scenarios!$F$8</f>
        <v>964.378213767855</v>
      </c>
    </row>
    <row r="22" customFormat="false" ht="15" hidden="false" customHeight="false" outlineLevel="0" collapsed="false">
      <c r="A22" s="9" t="s">
        <v>430</v>
      </c>
      <c r="B22" s="9"/>
      <c r="D22" s="27" t="n">
        <f aca="false">Herd!D20*Assumptions!$C$79*D6*Scenarios!$F$9</f>
        <v>660</v>
      </c>
      <c r="E22" s="27" t="n">
        <f aca="false">Herd!E20*Assumptions!$C$79*E6*Scenarios!$F$9</f>
        <v>727.65</v>
      </c>
      <c r="F22" s="27" t="n">
        <f aca="false">Herd!F20*Assumptions!$C$79*F6*Scenarios!$F$9</f>
        <v>783.315225</v>
      </c>
      <c r="G22" s="27" t="n">
        <f aca="false">Herd!G20*Assumptions!$C$79*G6*Scenarios!$F$9</f>
        <v>846.7199173125</v>
      </c>
      <c r="H22" s="27" t="n">
        <f aca="false">Herd!H20*Assumptions!$C$79*H6*Scenarios!$F$9</f>
        <v>914.600852744906</v>
      </c>
      <c r="I22" s="27" t="n">
        <f aca="false">Herd!I20*Assumptions!$C$79*I6*Scenarios!$F$9</f>
        <v>988.046863500843</v>
      </c>
      <c r="J22" s="27" t="n">
        <f aca="false">Herd!J20*Assumptions!$C$79*J6*Scenarios!$F$9</f>
        <v>1067.36775466233</v>
      </c>
      <c r="K22" s="27" t="n">
        <f aca="false">Herd!K20*Assumptions!$C$79*K6*Scenarios!$F$9</f>
        <v>1153.06090776591</v>
      </c>
    </row>
    <row r="23" customFormat="false" ht="15" hidden="false" customHeight="false" outlineLevel="0" collapsed="false">
      <c r="A23" s="3" t="s">
        <v>431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customFormat="false" ht="15" hidden="false" customHeight="false" outlineLevel="0" collapsed="false">
      <c r="A24" s="9" t="s">
        <v>432</v>
      </c>
      <c r="B24" s="9"/>
      <c r="D24" s="27" t="n">
        <f aca="false">((Assumptions!$C$82*Assumptions!$C$83+D8*Assumptions!$C$84)*12*(1+Assumptions!$C$89)+Assumptions!$C$90)*D6*Scenarios!$F$9</f>
        <v>15228</v>
      </c>
      <c r="E24" s="27" t="n">
        <f aca="false">((Assumptions!$C$82*Assumptions!$C$83+E8*Assumptions!$C$84)*12*(1+Assumptions!$C$89)+Assumptions!$C$90)*E6*Scenarios!$F$9</f>
        <v>15989.4</v>
      </c>
      <c r="F24" s="27" t="n">
        <f aca="false">((Assumptions!$C$82*Assumptions!$C$83+F8*Assumptions!$C$84)*12*(1+Assumptions!$C$89)+Assumptions!$C$90)*F6*Scenarios!$F$9</f>
        <v>16788.87</v>
      </c>
      <c r="G24" s="27" t="n">
        <f aca="false">((Assumptions!$C$82*Assumptions!$C$83+G8*Assumptions!$C$84)*12*(1+Assumptions!$C$89)+Assumptions!$C$90)*G6*Scenarios!$F$9</f>
        <v>17628.3135</v>
      </c>
      <c r="H24" s="27" t="n">
        <f aca="false">((Assumptions!$C$82*Assumptions!$C$83+H8*Assumptions!$C$84)*12*(1+Assumptions!$C$89)+Assumptions!$C$90)*H6*Scenarios!$F$9</f>
        <v>21397.772025</v>
      </c>
      <c r="I24" s="27" t="n">
        <f aca="false">((Assumptions!$C$82*Assumptions!$C$83+I8*Assumptions!$C$84)*12*(1+Assumptions!$C$89)+Assumptions!$C$90)*I6*Scenarios!$F$9</f>
        <v>22467.66062625</v>
      </c>
      <c r="J24" s="27" t="n">
        <f aca="false">((Assumptions!$C$82*Assumptions!$C$83+J8*Assumptions!$C$84)*12*(1+Assumptions!$C$89)+Assumptions!$C$90)*J6*Scenarios!$F$9</f>
        <v>23591.0436575625</v>
      </c>
      <c r="K24" s="27" t="n">
        <f aca="false">((Assumptions!$C$82*Assumptions!$C$83+K8*Assumptions!$C$84)*12*(1+Assumptions!$C$89)+Assumptions!$C$90)*K6*Scenarios!$F$9</f>
        <v>24770.5958404406</v>
      </c>
    </row>
    <row r="25" customFormat="false" ht="15" hidden="false" customHeight="false" outlineLevel="0" collapsed="false">
      <c r="A25" s="3" t="s">
        <v>433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customFormat="false" ht="15" hidden="false" customHeight="false" outlineLevel="0" collapsed="false">
      <c r="A26" s="9" t="s">
        <v>434</v>
      </c>
      <c r="B26" s="9"/>
      <c r="D26" s="27" t="n">
        <f aca="false">(Assumptions!$C$91+Herd!D6*Assumptions!$C$92)*D6*Scenarios!$F$9</f>
        <v>2800</v>
      </c>
      <c r="E26" s="27" t="n">
        <f aca="false">(Assumptions!$C$91+Herd!E6*Assumptions!$C$92)*E6*Scenarios!$F$9</f>
        <v>2872.8</v>
      </c>
      <c r="F26" s="27" t="n">
        <f aca="false">(Assumptions!$C$91+Herd!F6*Assumptions!$C$92)*F6*Scenarios!$F$9</f>
        <v>3092.8212</v>
      </c>
      <c r="G26" s="27" t="n">
        <f aca="false">(Assumptions!$C$91+Herd!G6*Assumptions!$C$92)*G6*Scenarios!$F$9</f>
        <v>3288.136572</v>
      </c>
      <c r="H26" s="27" t="n">
        <f aca="false">(Assumptions!$C$91+Herd!H6*Assumptions!$C$92)*H6*Scenarios!$F$9</f>
        <v>3508.0498532961</v>
      </c>
      <c r="I26" s="27" t="n">
        <f aca="false">(Assumptions!$C$91+Herd!I6*Assumptions!$C$92)*I6*Scenarios!$F$9</f>
        <v>3740.02014172422</v>
      </c>
      <c r="J26" s="27" t="n">
        <f aca="false">(Assumptions!$C$91+Herd!J6*Assumptions!$C$92)*J6*Scenarios!$F$9</f>
        <v>3988.91155783303</v>
      </c>
      <c r="K26" s="27" t="n">
        <f aca="false">(Assumptions!$C$91+Herd!K6*Assumptions!$C$92)*K6*Scenarios!$F$9</f>
        <v>4254.81525490942</v>
      </c>
    </row>
    <row r="27" customFormat="false" ht="15" hidden="false" customHeight="false" outlineLevel="0" collapsed="false">
      <c r="A27" s="9" t="s">
        <v>435</v>
      </c>
      <c r="B27" s="9"/>
      <c r="D27" s="27" t="n">
        <f aca="false">Assumptions!$C$93*D6*Scenarios!$F$9</f>
        <v>1800</v>
      </c>
      <c r="E27" s="27" t="n">
        <f aca="false">Assumptions!$C$93*E6*Scenarios!$F$9</f>
        <v>1890</v>
      </c>
      <c r="F27" s="27" t="n">
        <f aca="false">Assumptions!$C$93*F6*Scenarios!$F$9</f>
        <v>1984.5</v>
      </c>
      <c r="G27" s="27" t="n">
        <f aca="false">Assumptions!$C$93*G6*Scenarios!$F$9</f>
        <v>2083.725</v>
      </c>
      <c r="H27" s="27" t="n">
        <f aca="false">Assumptions!$C$93*H6*Scenarios!$F$9</f>
        <v>2187.91125</v>
      </c>
      <c r="I27" s="27" t="n">
        <f aca="false">Assumptions!$C$93*I6*Scenarios!$F$9</f>
        <v>2297.3068125</v>
      </c>
      <c r="J27" s="27" t="n">
        <f aca="false">Assumptions!$C$93*J6*Scenarios!$F$9</f>
        <v>2412.172153125</v>
      </c>
      <c r="K27" s="27" t="n">
        <f aca="false">Assumptions!$C$93*K6*Scenarios!$F$9</f>
        <v>2532.78076078125</v>
      </c>
    </row>
    <row r="28" customFormat="false" ht="15" hidden="false" customHeight="false" outlineLevel="0" collapsed="false">
      <c r="A28" s="9" t="s">
        <v>436</v>
      </c>
      <c r="B28" s="9"/>
      <c r="D28" s="27" t="n">
        <f aca="false">Herd!D35*Assumptions!$C$94*D6*Scenarios!$F$9</f>
        <v>387.936</v>
      </c>
      <c r="E28" s="27" t="n">
        <f aca="false">Herd!E35*Assumptions!$C$94*E6*Scenarios!$F$9</f>
        <v>406.280448</v>
      </c>
      <c r="F28" s="27" t="n">
        <f aca="false">Herd!F35*Assumptions!$C$94*F6*Scenarios!$F$9</f>
        <v>442.126627992</v>
      </c>
      <c r="G28" s="27" t="n">
        <f aca="false">Herd!G35*Assumptions!$C$94*G6*Scenarios!$F$9</f>
        <v>475.91799576552</v>
      </c>
      <c r="H28" s="27" t="n">
        <f aca="false">Herd!H35*Assumptions!$C$94*H6*Scenarios!$F$9</f>
        <v>513.819193965954</v>
      </c>
      <c r="I28" s="27" t="n">
        <f aca="false">Herd!I35*Assumptions!$C$94*I6*Scenarios!$F$9</f>
        <v>554.296322366904</v>
      </c>
      <c r="J28" s="27" t="n">
        <f aca="false">Herd!J35*Assumptions!$C$94*J6*Scenarios!$F$9</f>
        <v>598.089539008079</v>
      </c>
      <c r="K28" s="27" t="n">
        <f aca="false">Herd!K35*Assumptions!$C$94*K6*Scenarios!$F$9</f>
        <v>645.307470332722</v>
      </c>
    </row>
    <row r="29" customFormat="false" ht="15" hidden="false" customHeight="false" outlineLevel="0" collapsed="false">
      <c r="A29" s="9" t="s">
        <v>239</v>
      </c>
      <c r="B29" s="9"/>
      <c r="D29" s="27" t="n">
        <f aca="false">Assumptions!$C$95*Capex!$F$41*Revenue!D7</f>
        <v>1862.75</v>
      </c>
      <c r="E29" s="27" t="n">
        <f aca="false">Assumptions!$C$95*Capex!$F$41*Revenue!E7</f>
        <v>1955.8875</v>
      </c>
      <c r="F29" s="27" t="n">
        <f aca="false">Assumptions!$C$95*Capex!$F$41*Revenue!F7</f>
        <v>2053.681875</v>
      </c>
      <c r="G29" s="27" t="n">
        <f aca="false">Assumptions!$C$95*Capex!$F$41*Revenue!G7</f>
        <v>2156.36596875</v>
      </c>
      <c r="H29" s="27" t="n">
        <f aca="false">Assumptions!$C$95*Capex!$F$41*Revenue!H7</f>
        <v>2264.1842671875</v>
      </c>
      <c r="I29" s="27" t="n">
        <f aca="false">Assumptions!$C$95*Capex!$F$41*Revenue!I7</f>
        <v>2377.39348054688</v>
      </c>
      <c r="J29" s="27" t="n">
        <f aca="false">Assumptions!$C$95*Capex!$F$41*Revenue!J7</f>
        <v>2496.26315457422</v>
      </c>
      <c r="K29" s="27" t="n">
        <f aca="false">Assumptions!$C$95*Capex!$F$41*Revenue!K7</f>
        <v>2621.07631230293</v>
      </c>
    </row>
    <row r="30" customFormat="false" ht="15" hidden="false" customHeight="false" outlineLevel="0" collapsed="false">
      <c r="A30" s="9" t="s">
        <v>242</v>
      </c>
      <c r="B30" s="9"/>
      <c r="D30" s="27" t="n">
        <f aca="false">Assumptions!$C$96*Capex!$F$51*D6*Scenarios!$F$9</f>
        <v>2784</v>
      </c>
      <c r="E30" s="27" t="n">
        <f aca="false">Assumptions!$C$96*Capex!$F$51*E6*Scenarios!$F$9</f>
        <v>2923.2</v>
      </c>
      <c r="F30" s="27" t="n">
        <f aca="false">Assumptions!$C$96*Capex!$F$51*F6*Scenarios!$F$9</f>
        <v>3069.36</v>
      </c>
      <c r="G30" s="27" t="n">
        <f aca="false">Assumptions!$C$96*Capex!$F$51*G6*Scenarios!$F$9</f>
        <v>3222.828</v>
      </c>
      <c r="H30" s="27" t="n">
        <f aca="false">Assumptions!$C$96*Capex!$F$51*H6*Scenarios!$F$9</f>
        <v>3383.9694</v>
      </c>
      <c r="I30" s="27" t="n">
        <f aca="false">Assumptions!$C$96*Capex!$F$51*I6*Scenarios!$F$9</f>
        <v>3553.16787</v>
      </c>
      <c r="J30" s="27" t="n">
        <f aca="false">Assumptions!$C$96*Capex!$F$51*J6*Scenarios!$F$9</f>
        <v>3730.8262635</v>
      </c>
      <c r="K30" s="27" t="n">
        <f aca="false">Assumptions!$C$96*Capex!$F$51*K6*Scenarios!$F$9</f>
        <v>3917.367576675</v>
      </c>
    </row>
    <row r="31" customFormat="false" ht="15" hidden="false" customHeight="false" outlineLevel="0" collapsed="false">
      <c r="A31" s="9" t="s">
        <v>244</v>
      </c>
      <c r="B31" s="9"/>
      <c r="D31" s="27" t="n">
        <f aca="false">Assumptions!$C$97*D6*Scenarios!$F$9</f>
        <v>1500</v>
      </c>
      <c r="E31" s="27" t="n">
        <f aca="false">Assumptions!$C$97*E6*Scenarios!$F$9</f>
        <v>1575</v>
      </c>
      <c r="F31" s="27" t="n">
        <f aca="false">Assumptions!$C$97*F6*Scenarios!$F$9</f>
        <v>1653.75</v>
      </c>
      <c r="G31" s="27" t="n">
        <f aca="false">Assumptions!$C$97*G6*Scenarios!$F$9</f>
        <v>1736.4375</v>
      </c>
      <c r="H31" s="27" t="n">
        <f aca="false">Assumptions!$C$97*H6*Scenarios!$F$9</f>
        <v>1823.259375</v>
      </c>
      <c r="I31" s="27" t="n">
        <f aca="false">Assumptions!$C$97*I6*Scenarios!$F$9</f>
        <v>1914.42234375</v>
      </c>
      <c r="J31" s="27" t="n">
        <f aca="false">Assumptions!$C$97*J6*Scenarios!$F$9</f>
        <v>2010.1434609375</v>
      </c>
      <c r="K31" s="27" t="n">
        <f aca="false">Assumptions!$C$97*K6*Scenarios!$F$9</f>
        <v>2110.65063398438</v>
      </c>
    </row>
    <row r="32" customFormat="false" ht="15" hidden="false" customHeight="false" outlineLevel="0" collapsed="false">
      <c r="A32" s="9" t="s">
        <v>437</v>
      </c>
      <c r="B32" s="9"/>
      <c r="D32" s="27" t="n">
        <f aca="false">Assumptions!$C$45*Assumptions!$C$46/Assumptions!$C$47*Revenue!D7</f>
        <v>450</v>
      </c>
      <c r="E32" s="27" t="n">
        <f aca="false">Assumptions!$C$45*Assumptions!$C$46/Assumptions!$C$47*Revenue!E7</f>
        <v>472.5</v>
      </c>
      <c r="F32" s="27" t="n">
        <f aca="false">Assumptions!$C$45*Assumptions!$C$46/Assumptions!$C$47*Revenue!F7</f>
        <v>496.125</v>
      </c>
      <c r="G32" s="27" t="n">
        <f aca="false">Assumptions!$C$45*Assumptions!$C$46/Assumptions!$C$47*Revenue!G7</f>
        <v>520.93125</v>
      </c>
      <c r="H32" s="27" t="n">
        <f aca="false">Assumptions!$C$45*Assumptions!$C$46/Assumptions!$C$47*Revenue!H7</f>
        <v>546.9778125</v>
      </c>
      <c r="I32" s="27" t="n">
        <f aca="false">Assumptions!$C$45*Assumptions!$C$46/Assumptions!$C$47*Revenue!I7</f>
        <v>574.326703125</v>
      </c>
      <c r="J32" s="27" t="n">
        <f aca="false">Assumptions!$C$45*Assumptions!$C$46/Assumptions!$C$47*Revenue!J7</f>
        <v>603.04303828125</v>
      </c>
      <c r="K32" s="27" t="n">
        <f aca="false">Assumptions!$C$45*Assumptions!$C$46/Assumptions!$C$47*Revenue!K7</f>
        <v>633.195190195313</v>
      </c>
    </row>
    <row r="33" customFormat="false" ht="15" hidden="false" customHeight="false" outlineLevel="0" collapsed="false">
      <c r="A33" s="3" t="s">
        <v>438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customFormat="false" ht="15" hidden="false" customHeight="false" outlineLevel="0" collapsed="false">
      <c r="A34" s="9" t="s">
        <v>439</v>
      </c>
      <c r="B34" s="9"/>
      <c r="D34" s="27" t="n">
        <f aca="false">(1-Assumptions!$C$24)*Assumptions!$C$23*Assumptions!$C$25*D6</f>
        <v>3750</v>
      </c>
      <c r="E34" s="27" t="n">
        <f aca="false">(1-Assumptions!$C$24)*Assumptions!$C$23*Assumptions!$C$25*E6</f>
        <v>3937.5</v>
      </c>
      <c r="F34" s="27" t="n">
        <f aca="false">(1-Assumptions!$C$24)*Assumptions!$C$23*Assumptions!$C$25*F6</f>
        <v>4134.375</v>
      </c>
      <c r="G34" s="27" t="n">
        <f aca="false">(1-Assumptions!$C$24)*Assumptions!$C$23*Assumptions!$C$25*G6</f>
        <v>4341.09375</v>
      </c>
      <c r="H34" s="27" t="n">
        <f aca="false">(1-Assumptions!$C$24)*Assumptions!$C$23*Assumptions!$C$25*H6</f>
        <v>4558.1484375</v>
      </c>
      <c r="I34" s="27" t="n">
        <f aca="false">(1-Assumptions!$C$24)*Assumptions!$C$23*Assumptions!$C$25*I6</f>
        <v>4786.055859375</v>
      </c>
      <c r="J34" s="27" t="n">
        <f aca="false">(1-Assumptions!$C$24)*Assumptions!$C$23*Assumptions!$C$25*J6</f>
        <v>5025.35865234375</v>
      </c>
      <c r="K34" s="27" t="n">
        <f aca="false">(1-Assumptions!$C$24)*Assumptions!$C$23*Assumptions!$C$25*K6</f>
        <v>5276.62658496094</v>
      </c>
    </row>
    <row r="35" customFormat="false" ht="15" hidden="false" customHeight="false" outlineLevel="0" collapsed="false">
      <c r="A35" s="3" t="s">
        <v>440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customFormat="false" ht="15" hidden="false" customHeight="false" outlineLevel="0" collapsed="false">
      <c r="A36" s="9" t="s">
        <v>344</v>
      </c>
      <c r="B36" s="9"/>
      <c r="D36" s="27" t="n">
        <f aca="false">Assumptions!$C$98*(SUM(D10:D22)+D24+SUM(D26:D32))</f>
        <v>3563.6543</v>
      </c>
      <c r="E36" s="27" t="n">
        <f aca="false">Assumptions!$C$98*(SUM(E10:E22)+E24+SUM(E26:E32))</f>
        <v>3695.8177074</v>
      </c>
      <c r="F36" s="27" t="n">
        <f aca="false">Assumptions!$C$98*(SUM(F10:F22)+F24+SUM(F26:F32))</f>
        <v>3979.1414567646</v>
      </c>
      <c r="G36" s="27" t="n">
        <f aca="false">Assumptions!$C$98*(SUM(G10:G22)+G24+SUM(G26:G32))</f>
        <v>4243.11970659661</v>
      </c>
      <c r="H36" s="27" t="n">
        <f aca="false">Assumptions!$C$98*(SUM(H10:H22)+H24+SUM(H26:H32))</f>
        <v>4681.27788779537</v>
      </c>
      <c r="I36" s="27" t="n">
        <f aca="false">Assumptions!$C$98*(SUM(I10:I22)+I24+SUM(I26:I32))</f>
        <v>5000.11807830017</v>
      </c>
      <c r="J36" s="27" t="n">
        <f aca="false">Assumptions!$C$98*(SUM(J10:J22)+J24+SUM(J26:J32))</f>
        <v>5342.42950276683</v>
      </c>
      <c r="K36" s="27" t="n">
        <f aca="false">Assumptions!$C$98*(SUM(K10:K22)+K24+SUM(K26:K32))</f>
        <v>5708.82786447172</v>
      </c>
    </row>
    <row r="37" customFormat="false" ht="15" hidden="false" customHeight="false" outlineLevel="0" collapsed="false">
      <c r="A37" s="32" t="s">
        <v>441</v>
      </c>
      <c r="B37" s="43"/>
      <c r="C37" s="33"/>
      <c r="D37" s="34" t="n">
        <f aca="false">SUM(D10:D22)+D24+SUM(D26:D32)+D34+D36</f>
        <v>78586.7403</v>
      </c>
      <c r="E37" s="34" t="n">
        <f aca="false">SUM(E10:E22)+E24+SUM(E26:E32)+E34+E36</f>
        <v>81549.6718554</v>
      </c>
      <c r="F37" s="34" t="n">
        <f aca="false">SUM(F10:F22)+F24+SUM(F26:F32)+F34+F36</f>
        <v>87696.3455920566</v>
      </c>
      <c r="G37" s="34" t="n">
        <f aca="false">SUM(G10:G22)+G24+SUM(G26:G32)+G34+G36</f>
        <v>93446.6075885289</v>
      </c>
      <c r="H37" s="34" t="n">
        <f aca="false">SUM(H10:H22)+H24+SUM(H26:H32)+H34+H36</f>
        <v>102864.984081203</v>
      </c>
      <c r="I37" s="34" t="n">
        <f aca="false">SUM(I10:I22)+I24+SUM(I26:I32)+I34+I36</f>
        <v>109788.535503679</v>
      </c>
      <c r="J37" s="34" t="n">
        <f aca="false">SUM(J10:J22)+J24+SUM(J26:J32)+J34+J36</f>
        <v>117216.378210447</v>
      </c>
      <c r="K37" s="34" t="n">
        <f aca="false">SUM(K10:K22)+K24+SUM(K26:K32)+K34+K36</f>
        <v>125162.011738867</v>
      </c>
    </row>
    <row r="38" customFormat="false" ht="15" hidden="false" customHeight="false" outlineLevel="0" collapsed="false">
      <c r="A38" s="3" t="s">
        <v>442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customFormat="false" ht="15" hidden="false" customHeight="false" outlineLevel="0" collapsed="false">
      <c r="A39" s="9" t="s">
        <v>443</v>
      </c>
      <c r="B39" s="9"/>
      <c r="D39" s="27" t="n">
        <f aca="false">D10+D11+D12+D13+D19+D20+D21</f>
        <v>33298.4</v>
      </c>
      <c r="E39" s="27" t="n">
        <f aca="false">E10+E11+E12+E13+E19+E20+E21</f>
        <v>34517.6202</v>
      </c>
      <c r="F39" s="27" t="n">
        <f aca="false">F10+F11+F12+F13+F19+F20+F21</f>
        <v>37601.6153058</v>
      </c>
      <c r="G39" s="27" t="n">
        <f aca="false">G10+G11+G12+G13+G19+G20+G21</f>
        <v>40438.5453161393</v>
      </c>
      <c r="H39" s="27" t="n">
        <f aca="false">H10+H11+H12+H13+H19+H20+H21</f>
        <v>43632.9864797657</v>
      </c>
      <c r="I39" s="27" t="n">
        <f aca="false">I10+I11+I12+I13+I19+I20+I21</f>
        <v>47039.7949240284</v>
      </c>
      <c r="J39" s="27" t="n">
        <f aca="false">J10+J11+J12+J13+J19+J20+J21</f>
        <v>50723.7745515091</v>
      </c>
      <c r="K39" s="27" t="n">
        <f aca="false">K10+K11+K12+K13+K19+K20+K21</f>
        <v>54693.1901916871</v>
      </c>
    </row>
    <row r="40" customFormat="false" ht="15" hidden="false" customHeight="false" outlineLevel="0" collapsed="false">
      <c r="A40" s="9" t="s">
        <v>444</v>
      </c>
      <c r="B40" s="9"/>
      <c r="D40" s="27" t="n">
        <f aca="false">D14+D15+D22</f>
        <v>4260</v>
      </c>
      <c r="E40" s="27" t="n">
        <f aca="false">E14+E15+E22</f>
        <v>4356.45</v>
      </c>
      <c r="F40" s="27" t="n">
        <f aca="false">F14+F15+F22</f>
        <v>4765.412925</v>
      </c>
      <c r="G40" s="27" t="n">
        <f aca="false">G14+G15+G22</f>
        <v>5119.4397043125</v>
      </c>
      <c r="H40" s="27" t="n">
        <f aca="false">H14+H15+H22</f>
        <v>5525.84614766113</v>
      </c>
      <c r="I40" s="27" t="n">
        <f aca="false">I14+I15+I22</f>
        <v>5957.13196363034</v>
      </c>
      <c r="J40" s="27" t="n">
        <f aca="false">J14+J15+J22</f>
        <v>6424.16053009914</v>
      </c>
      <c r="K40" s="27" t="n">
        <f aca="false">K14+K15+K22</f>
        <v>6927.22409014024</v>
      </c>
    </row>
    <row r="41" customFormat="false" ht="15" hidden="false" customHeight="false" outlineLevel="0" collapsed="false">
      <c r="A41" s="9" t="s">
        <v>445</v>
      </c>
      <c r="B41" s="9"/>
      <c r="D41" s="27" t="n">
        <f aca="false">D24</f>
        <v>15228</v>
      </c>
      <c r="E41" s="27" t="n">
        <f aca="false">E24</f>
        <v>15989.4</v>
      </c>
      <c r="F41" s="27" t="n">
        <f aca="false">F24</f>
        <v>16788.87</v>
      </c>
      <c r="G41" s="27" t="n">
        <f aca="false">G24</f>
        <v>17628.3135</v>
      </c>
      <c r="H41" s="27" t="n">
        <f aca="false">H24</f>
        <v>21397.772025</v>
      </c>
      <c r="I41" s="27" t="n">
        <f aca="false">I24</f>
        <v>22467.66062625</v>
      </c>
      <c r="J41" s="27" t="n">
        <f aca="false">J24</f>
        <v>23591.0436575625</v>
      </c>
      <c r="K41" s="27" t="n">
        <f aca="false">K24</f>
        <v>24770.5958404406</v>
      </c>
    </row>
    <row r="42" customFormat="false" ht="15" hidden="false" customHeight="false" outlineLevel="0" collapsed="false">
      <c r="A42" s="9" t="s">
        <v>446</v>
      </c>
      <c r="B42" s="9"/>
      <c r="D42" s="27" t="n">
        <f aca="false">D26+D27+D28+D29+D30+D31+D32+D16+D17+D36</f>
        <v>22050.3403</v>
      </c>
      <c r="E42" s="27" t="n">
        <f aca="false">E26+E27+E28+E29+E30+E31+E32+E16+E17+E36</f>
        <v>22748.7016554</v>
      </c>
      <c r="F42" s="27" t="n">
        <f aca="false">F26+F27+F28+F29+F30+F31+F32+F16+F17+F36</f>
        <v>24406.0723612566</v>
      </c>
      <c r="G42" s="27" t="n">
        <f aca="false">G26+G27+G28+G29+G30+G31+G32+G16+G17+G36</f>
        <v>25919.2153180771</v>
      </c>
      <c r="H42" s="27" t="n">
        <f aca="false">H26+H27+H28+H29+H30+H31+H32+H16+H17+H36</f>
        <v>27750.230991276</v>
      </c>
      <c r="I42" s="27" t="n">
        <f aca="false">I26+I27+I28+I29+I30+I31+I32+I16+I17+I36</f>
        <v>29537.8921303948</v>
      </c>
      <c r="J42" s="27" t="n">
        <f aca="false">J26+J27+J28+J29+J30+J31+J32+J16+J17+J36</f>
        <v>31452.0408189328</v>
      </c>
      <c r="K42" s="27" t="n">
        <f aca="false">K26+K27+K28+K29+K30+K31+K32+K16+K17+K36</f>
        <v>33494.3750316382</v>
      </c>
    </row>
    <row r="43" customFormat="false" ht="15" hidden="false" customHeight="false" outlineLevel="0" collapsed="false">
      <c r="A43" s="9" t="s">
        <v>332</v>
      </c>
      <c r="B43" s="9"/>
      <c r="D43" s="27" t="n">
        <f aca="false">D34</f>
        <v>3750</v>
      </c>
      <c r="E43" s="27" t="n">
        <f aca="false">E34</f>
        <v>3937.5</v>
      </c>
      <c r="F43" s="27" t="n">
        <f aca="false">F34</f>
        <v>4134.375</v>
      </c>
      <c r="G43" s="27" t="n">
        <f aca="false">G34</f>
        <v>4341.09375</v>
      </c>
      <c r="H43" s="27" t="n">
        <f aca="false">H34</f>
        <v>4558.1484375</v>
      </c>
      <c r="I43" s="27" t="n">
        <f aca="false">I34</f>
        <v>4786.055859375</v>
      </c>
      <c r="J43" s="27" t="n">
        <f aca="false">J34</f>
        <v>5025.35865234375</v>
      </c>
      <c r="K43" s="27" t="n">
        <f aca="false">K34</f>
        <v>5276.62658496094</v>
      </c>
    </row>
    <row r="44" customFormat="false" ht="15" hidden="false" customHeight="false" outlineLevel="0" collapsed="false">
      <c r="A44" s="9" t="s">
        <v>447</v>
      </c>
      <c r="B44" s="9" t="s">
        <v>72</v>
      </c>
      <c r="D44" s="35" t="n">
        <f aca="false">IF(D37&gt;0,D39/D37,0)</f>
        <v>0.423715246018418</v>
      </c>
      <c r="E44" s="35" t="n">
        <f aca="false">IF(E37&gt;0,E39/E37,0)</f>
        <v>0.423271110902874</v>
      </c>
      <c r="F44" s="35" t="n">
        <f aca="false">IF(F37&gt;0,F39/F37,0)</f>
        <v>0.428770606710502</v>
      </c>
      <c r="G44" s="35" t="n">
        <f aca="false">IF(G37&gt;0,G39/G37,0)</f>
        <v>0.432744926324145</v>
      </c>
      <c r="H44" s="35" t="n">
        <f aca="false">IF(H37&gt;0,H39/H37,0)</f>
        <v>0.424177253994628</v>
      </c>
      <c r="I44" s="35" t="n">
        <f aca="false">IF(I37&gt;0,I39/I37,0)</f>
        <v>0.42845816922708</v>
      </c>
      <c r="J44" s="35" t="n">
        <f aca="false">IF(J37&gt;0,J39/J37,0)</f>
        <v>0.432736238108645</v>
      </c>
      <c r="K44" s="35" t="n">
        <f aca="false">IF(K37&gt;0,K39/K37,0)</f>
        <v>0.436979155510833</v>
      </c>
    </row>
    <row r="45" customFormat="false" ht="15" hidden="false" customHeight="false" outlineLevel="0" collapsed="false">
      <c r="A45" s="9" t="s">
        <v>448</v>
      </c>
      <c r="B45" s="9" t="s">
        <v>72</v>
      </c>
      <c r="D45" s="35" t="n">
        <f aca="false">IF(D37&gt;0,D41/D37,0)</f>
        <v>0.193773147249371</v>
      </c>
      <c r="E45" s="35" t="n">
        <f aca="false">IF(E37&gt;0,E41/E37,0)</f>
        <v>0.196069458481104</v>
      </c>
      <c r="F45" s="35" t="n">
        <f aca="false">IF(F37&gt;0,F41/F37,0)</f>
        <v>0.191443211078578</v>
      </c>
      <c r="G45" s="35" t="n">
        <f aca="false">IF(G37&gt;0,G41/G37,0)</f>
        <v>0.188645836964166</v>
      </c>
      <c r="H45" s="35" t="n">
        <f aca="false">IF(H37&gt;0,H41/H37,0)</f>
        <v>0.208018036614951</v>
      </c>
      <c r="I45" s="35" t="n">
        <f aca="false">IF(I37&gt;0,I41/I37,0)</f>
        <v>0.204644870460971</v>
      </c>
      <c r="J45" s="35" t="n">
        <f aca="false">IF(J37&gt;0,J41/J37,0)</f>
        <v>0.201260643075047</v>
      </c>
      <c r="K45" s="35" t="n">
        <f aca="false">IF(K37&gt;0,K41/K37,0)</f>
        <v>0.197908259034067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449</v>
      </c>
    </row>
    <row r="2" customFormat="false" ht="15" hidden="false" customHeight="false" outlineLevel="0" collapsed="false">
      <c r="A2" s="2" t="s">
        <v>450</v>
      </c>
    </row>
    <row r="4" customFormat="false" ht="23.85" hidden="false" customHeight="false" outlineLevel="0" collapsed="false">
      <c r="A4" s="7" t="s">
        <v>353</v>
      </c>
      <c r="B4" s="8" t="s">
        <v>60</v>
      </c>
      <c r="C4" s="37" t="n">
        <v>0</v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</row>
    <row r="5" customFormat="false" ht="15" hidden="false" customHeight="false" outlineLevel="0" collapsed="false">
      <c r="A5" s="3" t="s">
        <v>451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A6" s="9" t="s">
        <v>31</v>
      </c>
      <c r="D6" s="26" t="n">
        <f aca="false">Revenue!D23</f>
        <v>98542.4</v>
      </c>
      <c r="E6" s="26" t="n">
        <f aca="false">Revenue!E23</f>
        <v>100177.5348</v>
      </c>
      <c r="F6" s="26" t="n">
        <f aca="false">Revenue!F23</f>
        <v>109689.1257042</v>
      </c>
      <c r="G6" s="26" t="n">
        <f aca="false">Revenue!G23</f>
        <v>117752.565955594</v>
      </c>
      <c r="H6" s="26" t="n">
        <f aca="false">Revenue!H23</f>
        <v>127061.912602536</v>
      </c>
      <c r="I6" s="26" t="n">
        <f aca="false">Revenue!I23</f>
        <v>136923.978132415</v>
      </c>
      <c r="J6" s="26" t="n">
        <f aca="false">Revenue!J23</f>
        <v>147604.058217842</v>
      </c>
      <c r="K6" s="26" t="n">
        <f aca="false">Revenue!K23</f>
        <v>159103.664965469</v>
      </c>
    </row>
    <row r="7" customFormat="false" ht="15" hidden="false" customHeight="false" outlineLevel="0" collapsed="false">
      <c r="A7" s="9" t="s">
        <v>452</v>
      </c>
      <c r="D7" s="26" t="n">
        <f aca="false">Opex!D37</f>
        <v>78586.7403</v>
      </c>
      <c r="E7" s="26" t="n">
        <f aca="false">Opex!E37</f>
        <v>81549.6718554</v>
      </c>
      <c r="F7" s="26" t="n">
        <f aca="false">Opex!F37</f>
        <v>87696.3455920566</v>
      </c>
      <c r="G7" s="26" t="n">
        <f aca="false">Opex!G37</f>
        <v>93446.6075885289</v>
      </c>
      <c r="H7" s="26" t="n">
        <f aca="false">Opex!H37</f>
        <v>102864.984081203</v>
      </c>
      <c r="I7" s="26" t="n">
        <f aca="false">Opex!I37</f>
        <v>109788.535503679</v>
      </c>
      <c r="J7" s="26" t="n">
        <f aca="false">Opex!J37</f>
        <v>117216.378210447</v>
      </c>
      <c r="K7" s="26" t="n">
        <f aca="false">Opex!K37</f>
        <v>125162.011738867</v>
      </c>
    </row>
    <row r="8" customFormat="false" ht="15" hidden="false" customHeight="false" outlineLevel="0" collapsed="false">
      <c r="A8" s="32" t="s">
        <v>453</v>
      </c>
      <c r="B8" s="33"/>
      <c r="C8" s="33"/>
      <c r="D8" s="34" t="n">
        <f aca="false">D6-D7</f>
        <v>19955.6597</v>
      </c>
      <c r="E8" s="34" t="n">
        <f aca="false">E6-E7</f>
        <v>18627.8629446</v>
      </c>
      <c r="F8" s="34" t="n">
        <f aca="false">F6-F7</f>
        <v>21992.7801121434</v>
      </c>
      <c r="G8" s="34" t="n">
        <f aca="false">G6-G7</f>
        <v>24305.9583670656</v>
      </c>
      <c r="H8" s="34" t="n">
        <f aca="false">H6-H7</f>
        <v>24196.928521333</v>
      </c>
      <c r="I8" s="34" t="n">
        <f aca="false">I6-I7</f>
        <v>27135.4426287364</v>
      </c>
      <c r="J8" s="34" t="n">
        <f aca="false">J6-J7</f>
        <v>30387.6800073947</v>
      </c>
      <c r="K8" s="34" t="n">
        <f aca="false">K6-K7</f>
        <v>33941.6532266021</v>
      </c>
    </row>
    <row r="9" customFormat="false" ht="15" hidden="false" customHeight="false" outlineLevel="0" collapsed="false">
      <c r="A9" s="9" t="s">
        <v>454</v>
      </c>
      <c r="D9" s="35" t="n">
        <f aca="false">IF(D6&gt;0,D8/D6,0)</f>
        <v>0.202508358838429</v>
      </c>
      <c r="E9" s="35" t="n">
        <f aca="false">IF(E6&gt;0,E8/E6,0)</f>
        <v>0.185948506137526</v>
      </c>
      <c r="F9" s="35" t="n">
        <f aca="false">IF(F6&gt;0,F8/F6,0)</f>
        <v>0.200501006557857</v>
      </c>
      <c r="G9" s="35" t="n">
        <f aca="false">IF(G6&gt;0,G8/G6,0)</f>
        <v>0.206415530479664</v>
      </c>
      <c r="H9" s="35" t="n">
        <f aca="false">IF(H6&gt;0,H8/H6,0)</f>
        <v>0.190434159424498</v>
      </c>
      <c r="I9" s="35" t="n">
        <f aca="false">IF(I6&gt;0,I8/I6,0)</f>
        <v>0.198178894586999</v>
      </c>
      <c r="J9" s="35" t="n">
        <f aca="false">IF(J6&gt;0,J8/J6,0)</f>
        <v>0.205872930421377</v>
      </c>
      <c r="K9" s="35" t="n">
        <f aca="false">IF(K6&gt;0,K8/K6,0)</f>
        <v>0.213330429779657</v>
      </c>
    </row>
    <row r="10" customFormat="false" ht="15" hidden="false" customHeight="false" outlineLevel="0" collapsed="false">
      <c r="A10" s="9" t="s">
        <v>455</v>
      </c>
      <c r="D10" s="27" t="n">
        <f aca="false">SUMPRODUCT(Capex!$I$5:$I$36*(Capex!$G$5:$G$36&gt;=D$4))</f>
        <v>16941.3333333333</v>
      </c>
      <c r="E10" s="27" t="n">
        <f aca="false">SUMPRODUCT(Capex!$I$5:$I$36*(Capex!$G$5:$G$36&gt;=E$4))</f>
        <v>16941.3333333333</v>
      </c>
      <c r="F10" s="27" t="n">
        <f aca="false">SUMPRODUCT(Capex!$I$5:$I$36*(Capex!$G$5:$G$36&gt;=F$4))</f>
        <v>16941.3333333333</v>
      </c>
      <c r="G10" s="27" t="n">
        <f aca="false">SUMPRODUCT(Capex!$I$5:$I$36*(Capex!$G$5:$G$36&gt;=G$4))</f>
        <v>16608</v>
      </c>
      <c r="H10" s="27" t="n">
        <f aca="false">SUMPRODUCT(Capex!$I$5:$I$36*(Capex!$G$5:$G$36&gt;=H$4))</f>
        <v>16608</v>
      </c>
      <c r="I10" s="27" t="n">
        <f aca="false">SUMPRODUCT(Capex!$I$5:$I$36*(Capex!$G$5:$G$36&gt;=I$4))</f>
        <v>15552</v>
      </c>
      <c r="J10" s="27" t="n">
        <f aca="false">SUMPRODUCT(Capex!$I$5:$I$36*(Capex!$G$5:$G$36&gt;=J$4))</f>
        <v>8784</v>
      </c>
      <c r="K10" s="27" t="n">
        <f aca="false">SUMPRODUCT(Capex!$I$5:$I$36*(Capex!$G$5:$G$36&gt;=K$4))</f>
        <v>8784</v>
      </c>
    </row>
    <row r="11" customFormat="false" ht="15" hidden="false" customHeight="false" outlineLevel="0" collapsed="false">
      <c r="A11" s="9" t="s">
        <v>456</v>
      </c>
      <c r="D11" s="27" t="n">
        <f aca="false">SUM(CashFlow!$D$15:D$15)/Assumptions!$C$106</f>
        <v>0</v>
      </c>
      <c r="E11" s="27" t="n">
        <f aca="false">SUM(CashFlow!$D$15:E$15)/Assumptions!$C$106</f>
        <v>12.6</v>
      </c>
      <c r="F11" s="27" t="n">
        <f aca="false">SUM(CashFlow!$D$15:F$15)/Assumptions!$C$106</f>
        <v>64.1676</v>
      </c>
      <c r="G11" s="27" t="n">
        <f aca="false">SUM(CashFlow!$D$15:G$15)/Assumptions!$C$106</f>
        <v>96.7084387499999</v>
      </c>
      <c r="H11" s="27" t="n">
        <f aca="false">SUM(CashFlow!$D$15:H$15)/Assumptions!$C$106</f>
        <v>138.3762717561</v>
      </c>
      <c r="I11" s="27" t="n">
        <f aca="false">SUM(CashFlow!$D$15:I$15)/Assumptions!$C$106</f>
        <v>181.452686479375</v>
      </c>
      <c r="J11" s="27" t="n">
        <f aca="false">SUM(CashFlow!$D$15:J$15)/Assumptions!$C$106</f>
        <v>228.434897070962</v>
      </c>
      <c r="K11" s="27" t="n">
        <f aca="false">SUM(CashFlow!$D$15:K$15)/Assumptions!$C$106</f>
        <v>278.956593396777</v>
      </c>
    </row>
    <row r="12" customFormat="false" ht="15" hidden="false" customHeight="false" outlineLevel="0" collapsed="false">
      <c r="A12" s="5" t="s">
        <v>457</v>
      </c>
      <c r="D12" s="36" t="n">
        <f aca="false">D8-D10-D11</f>
        <v>3014.32636666668</v>
      </c>
      <c r="E12" s="36" t="n">
        <f aca="false">E8-E10-E11</f>
        <v>1673.92961126668</v>
      </c>
      <c r="F12" s="36" t="n">
        <f aca="false">F8-F10-F11</f>
        <v>4987.27917881007</v>
      </c>
      <c r="G12" s="36" t="n">
        <f aca="false">G8-G10-G11</f>
        <v>7601.24992831561</v>
      </c>
      <c r="H12" s="36" t="n">
        <f aca="false">H8-H10-H11</f>
        <v>7450.55224957686</v>
      </c>
      <c r="I12" s="36" t="n">
        <f aca="false">I8-I10-I11</f>
        <v>11401.989942257</v>
      </c>
      <c r="J12" s="36" t="n">
        <f aca="false">J8-J10-J11</f>
        <v>21375.2451103238</v>
      </c>
      <c r="K12" s="36" t="n">
        <f aca="false">K8-K10-K11</f>
        <v>24878.6966332053</v>
      </c>
    </row>
    <row r="13" customFormat="false" ht="15" hidden="false" customHeight="false" outlineLevel="0" collapsed="false">
      <c r="A13" s="9" t="s">
        <v>458</v>
      </c>
      <c r="D13" s="26" t="n">
        <f aca="false">CashFlow!D10</f>
        <v>10523.52</v>
      </c>
      <c r="E13" s="26" t="n">
        <f aca="false">CashFlow!E10</f>
        <v>10523.52</v>
      </c>
      <c r="F13" s="26" t="n">
        <f aca="false">CashFlow!F10</f>
        <v>7892.64</v>
      </c>
      <c r="G13" s="26" t="n">
        <f aca="false">CashFlow!G10</f>
        <v>5261.76</v>
      </c>
      <c r="H13" s="26" t="n">
        <f aca="false">CashFlow!H10</f>
        <v>2630.88</v>
      </c>
      <c r="I13" s="26" t="n">
        <f aca="false">CashFlow!I10</f>
        <v>0</v>
      </c>
      <c r="J13" s="26" t="n">
        <f aca="false">CashFlow!J10</f>
        <v>0</v>
      </c>
      <c r="K13" s="26" t="n">
        <f aca="false">CashFlow!K10</f>
        <v>0</v>
      </c>
    </row>
    <row r="14" customFormat="false" ht="15" hidden="false" customHeight="false" outlineLevel="0" collapsed="false">
      <c r="A14" s="9" t="s">
        <v>459</v>
      </c>
      <c r="D14" s="27" t="n">
        <f aca="false">D12-D13</f>
        <v>-7509.19363333332</v>
      </c>
      <c r="E14" s="27" t="n">
        <f aca="false">E12-E13</f>
        <v>-8849.59038873332</v>
      </c>
      <c r="F14" s="27" t="n">
        <f aca="false">F12-F13</f>
        <v>-2905.36082118993</v>
      </c>
      <c r="G14" s="27" t="n">
        <f aca="false">G12-G13</f>
        <v>2339.48992831561</v>
      </c>
      <c r="H14" s="27" t="n">
        <f aca="false">H12-H13</f>
        <v>4819.67224957686</v>
      </c>
      <c r="I14" s="27" t="n">
        <f aca="false">I12-I13</f>
        <v>11401.989942257</v>
      </c>
      <c r="J14" s="27" t="n">
        <f aca="false">J12-J13</f>
        <v>21375.2451103238</v>
      </c>
      <c r="K14" s="27" t="n">
        <f aca="false">K12-K13</f>
        <v>24878.6966332053</v>
      </c>
    </row>
    <row r="15" customFormat="false" ht="15" hidden="false" customHeight="false" outlineLevel="0" collapsed="false">
      <c r="A15" s="9" t="s">
        <v>460</v>
      </c>
      <c r="D15" s="27" t="n">
        <f aca="false">MAX(0,D14)*Assumptions!$C$9</f>
        <v>0</v>
      </c>
      <c r="E15" s="27" t="n">
        <f aca="false">MAX(0,E14)*Assumptions!$C$9</f>
        <v>0</v>
      </c>
      <c r="F15" s="27" t="n">
        <f aca="false">MAX(0,F14)*Assumptions!$C$9</f>
        <v>0</v>
      </c>
      <c r="G15" s="27" t="n">
        <f aca="false">MAX(0,G14)*Assumptions!$C$9</f>
        <v>467.897985663123</v>
      </c>
      <c r="H15" s="27" t="n">
        <f aca="false">MAX(0,H14)*Assumptions!$C$9</f>
        <v>963.934449915371</v>
      </c>
      <c r="I15" s="27" t="n">
        <f aca="false">MAX(0,I14)*Assumptions!$C$9</f>
        <v>2280.39798845141</v>
      </c>
      <c r="J15" s="27" t="n">
        <f aca="false">MAX(0,J14)*Assumptions!$C$9</f>
        <v>4275.04902206475</v>
      </c>
      <c r="K15" s="27" t="n">
        <f aca="false">MAX(0,K14)*Assumptions!$C$9</f>
        <v>4975.73932664106</v>
      </c>
    </row>
    <row r="16" customFormat="false" ht="15" hidden="false" customHeight="false" outlineLevel="0" collapsed="false">
      <c r="A16" s="32" t="s">
        <v>461</v>
      </c>
      <c r="B16" s="33"/>
      <c r="C16" s="33"/>
      <c r="D16" s="34" t="n">
        <f aca="false">D14-D15</f>
        <v>-7509.19363333332</v>
      </c>
      <c r="E16" s="34" t="n">
        <f aca="false">E14-E15</f>
        <v>-8849.59038873332</v>
      </c>
      <c r="F16" s="34" t="n">
        <f aca="false">F14-F15</f>
        <v>-2905.36082118993</v>
      </c>
      <c r="G16" s="34" t="n">
        <f aca="false">G14-G15</f>
        <v>1871.59194265249</v>
      </c>
      <c r="H16" s="34" t="n">
        <f aca="false">H14-H15</f>
        <v>3855.73779966149</v>
      </c>
      <c r="I16" s="34" t="n">
        <f aca="false">I14-I15</f>
        <v>9121.59195380562</v>
      </c>
      <c r="J16" s="34" t="n">
        <f aca="false">J14-J15</f>
        <v>17100.196088259</v>
      </c>
      <c r="K16" s="34" t="n">
        <f aca="false">K14-K15</f>
        <v>19902.9573065642</v>
      </c>
    </row>
    <row r="17" customFormat="false" ht="15" hidden="false" customHeight="false" outlineLevel="0" collapsed="false">
      <c r="A17" s="9" t="s">
        <v>462</v>
      </c>
      <c r="D17" s="35" t="n">
        <f aca="false">IF(D6&gt;0,D16/D6,0)</f>
        <v>-0.0762026663987615</v>
      </c>
      <c r="E17" s="35" t="n">
        <f aca="false">IF(E6&gt;0,E16/E6,0)</f>
        <v>-0.0883390712937899</v>
      </c>
      <c r="F17" s="35" t="n">
        <f aca="false">IF(F6&gt;0,F16/F6,0)</f>
        <v>-0.0264872274488253</v>
      </c>
      <c r="G17" s="35" t="n">
        <f aca="false">IF(G6&gt;0,G16/G6,0)</f>
        <v>0.0158942773557757</v>
      </c>
      <c r="H17" s="35" t="n">
        <f aca="false">IF(H6&gt;0,H16/H6,0)</f>
        <v>0.0303453467737628</v>
      </c>
      <c r="I17" s="35" t="n">
        <f aca="false">IF(I6&gt;0,I16/I6,0)</f>
        <v>0.0666179297316677</v>
      </c>
      <c r="J17" s="35" t="n">
        <f aca="false">IF(J6&gt;0,J16/J6,0)</f>
        <v>0.115851801737196</v>
      </c>
      <c r="K17" s="35" t="n">
        <f aca="false">IF(K6&gt;0,K16/K6,0)</f>
        <v>0.125094273038172</v>
      </c>
    </row>
    <row r="18" customFormat="false" ht="15" hidden="false" customHeight="false" outlineLevel="0" collapsed="false">
      <c r="A18" s="3" t="s">
        <v>463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customFormat="false" ht="15" hidden="false" customHeight="false" outlineLevel="0" collapsed="false">
      <c r="A19" s="9" t="s">
        <v>464</v>
      </c>
      <c r="D19" s="26" t="n">
        <f aca="false">Revenue!D25</f>
        <v>89081.6</v>
      </c>
      <c r="E19" s="26" t="n">
        <f aca="false">Revenue!E25</f>
        <v>89794.2528</v>
      </c>
      <c r="F19" s="26" t="n">
        <f aca="false">Revenue!F25</f>
        <v>98536.5651312</v>
      </c>
      <c r="G19" s="26" t="n">
        <f aca="false">Revenue!G25</f>
        <v>105727.976382672</v>
      </c>
      <c r="H19" s="26" t="n">
        <f aca="false">Revenue!H25</f>
        <v>114104.752462114</v>
      </c>
      <c r="I19" s="26" t="n">
        <f aca="false">Revenue!I25</f>
        <v>122959.458682138</v>
      </c>
      <c r="J19" s="26" t="n">
        <f aca="false">Revenue!J25</f>
        <v>132553.242028987</v>
      </c>
      <c r="K19" s="26" t="n">
        <f aca="false">Revenue!K25</f>
        <v>142881.026374166</v>
      </c>
    </row>
    <row r="20" customFormat="false" ht="15" hidden="false" customHeight="false" outlineLevel="0" collapsed="false">
      <c r="A20" s="9" t="s">
        <v>465</v>
      </c>
      <c r="D20" s="27" t="n">
        <f aca="false">Opex!D10+Opex!D11+Opex!D12+Opex!D13+Opex!D14+Opex!D15+Opex!D16+Opex!D17</f>
        <v>39246.4</v>
      </c>
      <c r="E20" s="27" t="n">
        <f aca="false">Opex!E10+Opex!E11+Opex!E12+Opex!E13+Opex!E14+Opex!E15+Opex!E16+Opex!E17</f>
        <v>40246.6512</v>
      </c>
      <c r="F20" s="27" t="n">
        <f aca="false">Opex!F10+Opex!F11+Opex!F12+Opex!F13+Opex!F14+Opex!F15+Opex!F16+Opex!F17</f>
        <v>43959.5956548</v>
      </c>
      <c r="G20" s="27" t="n">
        <f aca="false">Opex!G10+Opex!G11+Opex!G12+Opex!G13+Opex!G14+Opex!G15+Opex!G16+Opex!G17</f>
        <v>47224.355380398</v>
      </c>
      <c r="H20" s="27" t="n">
        <f aca="false">Opex!H10+Opex!H11+Opex!H12+Opex!H13+Opex!H14+Opex!H15+Opex!H16+Opex!H17</f>
        <v>50950.030410675</v>
      </c>
      <c r="I20" s="27" t="n">
        <f aca="false">Opex!I10+Opex!I11+Opex!I12+Opex!I13+Opex!I14+Opex!I15+Opex!I16+Opex!I17</f>
        <v>54908.2742072642</v>
      </c>
      <c r="J20" s="27" t="n">
        <f aca="false">Opex!J10+Opex!J11+Opex!J12+Opex!J13+Opex!J14+Opex!J15+Opex!J16+Opex!J17</f>
        <v>59191.1910314472</v>
      </c>
      <c r="K20" s="27" t="n">
        <f aca="false">Opex!K10+Opex!K11+Opex!K12+Opex!K13+Opex!K14+Opex!K15+Opex!K16+Opex!K17</f>
        <v>63803.3755453022</v>
      </c>
    </row>
    <row r="21" customFormat="false" ht="15" hidden="false" customHeight="false" outlineLevel="0" collapsed="false">
      <c r="A21" s="9" t="s">
        <v>466</v>
      </c>
      <c r="D21" s="27" t="n">
        <f aca="false">D19-D20</f>
        <v>49835.2</v>
      </c>
      <c r="E21" s="27" t="n">
        <f aca="false">E19-E20</f>
        <v>49547.6016</v>
      </c>
      <c r="F21" s="27" t="n">
        <f aca="false">F19-F20</f>
        <v>54576.9694764</v>
      </c>
      <c r="G21" s="27" t="n">
        <f aca="false">G19-G20</f>
        <v>58503.621002274</v>
      </c>
      <c r="H21" s="27" t="n">
        <f aca="false">H19-H20</f>
        <v>63154.7220514387</v>
      </c>
      <c r="I21" s="27" t="n">
        <f aca="false">I19-I20</f>
        <v>68051.1844748735</v>
      </c>
      <c r="J21" s="27" t="n">
        <f aca="false">J19-J20</f>
        <v>73362.0509975394</v>
      </c>
      <c r="K21" s="27" t="n">
        <f aca="false">K19-K20</f>
        <v>79077.6508288635</v>
      </c>
    </row>
    <row r="22" customFormat="false" ht="15" hidden="false" customHeight="false" outlineLevel="0" collapsed="false">
      <c r="A22" s="9" t="s">
        <v>467</v>
      </c>
      <c r="D22" s="27" t="n">
        <f aca="false">IF(Herd!D6&gt;0,D21/Herd!D6,0)</f>
        <v>1245.88</v>
      </c>
      <c r="E22" s="27" t="n">
        <f aca="false">IF(Herd!E6&gt;0,E21/Herd!E6,0)</f>
        <v>1290.302125</v>
      </c>
      <c r="F22" s="27" t="n">
        <f aca="false">IF(Herd!F6&gt;0,F21/Herd!F6,0)</f>
        <v>1359.9364466361</v>
      </c>
      <c r="G22" s="27" t="n">
        <f aca="false">IF(Herd!G6&gt;0,G21/Herd!G6,0)</f>
        <v>1426.55572738315</v>
      </c>
      <c r="H22" s="27" t="n">
        <f aca="false">IF(Herd!H6&gt;0,H21/Herd!H6,0)</f>
        <v>1498.26042673659</v>
      </c>
      <c r="I22" s="27" t="n">
        <f aca="false">IF(Herd!I6&gt;0,I21/Herd!I6,0)</f>
        <v>1573.07076194718</v>
      </c>
      <c r="J22" s="27" t="n">
        <f aca="false">IF(Herd!J6&gt;0,J21/Herd!J6,0)</f>
        <v>1651.75230712533</v>
      </c>
      <c r="K22" s="27" t="n">
        <f aca="false">IF(Herd!K6&gt;0,K21/Herd!K6,0)</f>
        <v>1734.33228591892</v>
      </c>
    </row>
    <row r="23" customFormat="false" ht="15" hidden="false" customHeight="false" outlineLevel="0" collapsed="false">
      <c r="A23" s="9" t="s">
        <v>468</v>
      </c>
      <c r="D23" s="26" t="n">
        <f aca="false">Revenue!D26</f>
        <v>8560.8</v>
      </c>
      <c r="E23" s="26" t="n">
        <f aca="false">Revenue!E26</f>
        <v>9438.282</v>
      </c>
      <c r="F23" s="26" t="n">
        <f aca="false">Revenue!F26</f>
        <v>10160.310573</v>
      </c>
      <c r="G23" s="26" t="n">
        <f aca="false">Revenue!G26</f>
        <v>10982.7270729225</v>
      </c>
      <c r="H23" s="26" t="n">
        <f aca="false">Revenue!H26</f>
        <v>11863.2045154221</v>
      </c>
      <c r="I23" s="26" t="n">
        <f aca="false">Revenue!I26</f>
        <v>12815.8660440273</v>
      </c>
      <c r="J23" s="26" t="n">
        <f aca="false">Revenue!J26</f>
        <v>13844.7301122929</v>
      </c>
      <c r="K23" s="26" t="n">
        <f aca="false">Revenue!K26</f>
        <v>14956.2482109128</v>
      </c>
    </row>
    <row r="24" customFormat="false" ht="15" hidden="false" customHeight="false" outlineLevel="0" collapsed="false">
      <c r="A24" s="9" t="s">
        <v>469</v>
      </c>
      <c r="D24" s="27" t="n">
        <f aca="false">Opex!D19+Opex!D20+Opex!D21+Opex!D22</f>
        <v>5214</v>
      </c>
      <c r="E24" s="27" t="n">
        <f aca="false">Opex!E19+Opex!E20+Opex!E21+Opex!E22</f>
        <v>5584.635</v>
      </c>
      <c r="F24" s="27" t="n">
        <f aca="false">Opex!F19+Opex!F20+Opex!F21+Opex!F22</f>
        <v>6041.9987775</v>
      </c>
      <c r="G24" s="27" t="n">
        <f aca="false">Opex!G19+Opex!G20+Opex!G21+Opex!G22</f>
        <v>6525.38296501875</v>
      </c>
      <c r="H24" s="27" t="n">
        <f aca="false">Opex!H19+Opex!H20+Opex!H21+Opex!H22</f>
        <v>7049.58416828289</v>
      </c>
      <c r="I24" s="27" t="n">
        <f aca="false">Opex!I19+Opex!I20+Opex!I21+Opex!I22</f>
        <v>7615.49305847618</v>
      </c>
      <c r="J24" s="27" t="n">
        <f aca="false">Opex!J19+Opex!J20+Opex!J21+Opex!J22</f>
        <v>8226.90619906786</v>
      </c>
      <c r="K24" s="27" t="n">
        <f aca="false">Opex!K19+Opex!K20+Opex!K21+Opex!K22</f>
        <v>8887.39270451054</v>
      </c>
    </row>
    <row r="25" customFormat="false" ht="15" hidden="false" customHeight="false" outlineLevel="0" collapsed="false">
      <c r="A25" s="9" t="s">
        <v>470</v>
      </c>
      <c r="D25" s="27" t="n">
        <f aca="false">D23-D24</f>
        <v>3346.8</v>
      </c>
      <c r="E25" s="27" t="n">
        <f aca="false">E23-E24</f>
        <v>3853.647</v>
      </c>
      <c r="F25" s="27" t="n">
        <f aca="false">F23-F24</f>
        <v>4118.3117955</v>
      </c>
      <c r="G25" s="27" t="n">
        <f aca="false">G23-G24</f>
        <v>4457.34410790375</v>
      </c>
      <c r="H25" s="27" t="n">
        <f aca="false">H23-H24</f>
        <v>4813.62034713923</v>
      </c>
      <c r="I25" s="27" t="n">
        <f aca="false">I23-I24</f>
        <v>5200.37298555112</v>
      </c>
      <c r="J25" s="27" t="n">
        <f aca="false">J23-J24</f>
        <v>5617.82391322504</v>
      </c>
      <c r="K25" s="27" t="n">
        <f aca="false">K23-K24</f>
        <v>6068.85550640224</v>
      </c>
    </row>
    <row r="26" customFormat="false" ht="15" hidden="false" customHeight="false" outlineLevel="0" collapsed="false">
      <c r="A26" s="9" t="s">
        <v>471</v>
      </c>
      <c r="D26" s="27" t="n">
        <f aca="false">IF(Herd!D20&gt;0,D25/Herd!D20,0)</f>
        <v>111.56</v>
      </c>
      <c r="E26" s="27" t="n">
        <f aca="false">IF(Herd!E20&gt;0,E25/Herd!E20,0)</f>
        <v>122.338</v>
      </c>
      <c r="F26" s="27" t="n">
        <f aca="false">IF(Herd!F20&gt;0,F25/Herd!F20,0)</f>
        <v>127.521653367394</v>
      </c>
      <c r="G26" s="27" t="n">
        <f aca="false">IF(Herd!G20&gt;0,G25/Herd!G20,0)</f>
        <v>134.068566338176</v>
      </c>
      <c r="H26" s="27" t="n">
        <f aca="false">IF(Herd!H20&gt;0,H25/Herd!H20,0)</f>
        <v>140.740830482858</v>
      </c>
      <c r="I26" s="27" t="n">
        <f aca="false">IF(Herd!I20&gt;0,I25/Herd!I20,0)</f>
        <v>147.783560582781</v>
      </c>
      <c r="J26" s="27" t="n">
        <f aca="false">IF(Herd!J20&gt;0,J25/Herd!J20,0)</f>
        <v>155.171700350321</v>
      </c>
      <c r="K26" s="27" t="n">
        <f aca="false">IF(Herd!K20&gt;0,K25/Herd!K20,0)</f>
        <v>162.930474871586</v>
      </c>
    </row>
    <row r="27" customFormat="false" ht="15" hidden="false" customHeight="false" outlineLevel="0" collapsed="false">
      <c r="A27" s="9" t="s">
        <v>472</v>
      </c>
      <c r="D27" s="26" t="n">
        <f aca="false">Revenue!D27</f>
        <v>900</v>
      </c>
      <c r="E27" s="26" t="n">
        <f aca="false">Revenue!E27</f>
        <v>945</v>
      </c>
      <c r="F27" s="26" t="n">
        <f aca="false">Revenue!F27</f>
        <v>992.25</v>
      </c>
      <c r="G27" s="26" t="n">
        <f aca="false">Revenue!G27</f>
        <v>1041.8625</v>
      </c>
      <c r="H27" s="26" t="n">
        <f aca="false">Revenue!H27</f>
        <v>1093.955625</v>
      </c>
      <c r="I27" s="26" t="n">
        <f aca="false">Revenue!I27</f>
        <v>1148.65340625</v>
      </c>
      <c r="J27" s="26" t="n">
        <f aca="false">Revenue!J27</f>
        <v>1206.0860765625</v>
      </c>
      <c r="K27" s="26" t="n">
        <f aca="false">Revenue!K27</f>
        <v>1266.39038039063</v>
      </c>
    </row>
    <row r="28" customFormat="false" ht="15" hidden="false" customHeight="false" outlineLevel="0" collapsed="false">
      <c r="A28" s="9" t="s">
        <v>473</v>
      </c>
      <c r="D28" s="27" t="n">
        <f aca="false">Opex!D24+Opex!D26+Opex!D27+Opex!D28+Opex!D29+Opex!D30+Opex!D31+Opex!D32+Opex!D34+Opex!D36</f>
        <v>34126.3403</v>
      </c>
      <c r="E28" s="27" t="n">
        <f aca="false">Opex!E24+Opex!E26+Opex!E27+Opex!E28+Opex!E29+Opex!E30+Opex!E31+Opex!E32+Opex!E34+Opex!E36</f>
        <v>35718.3856554</v>
      </c>
      <c r="F28" s="27" t="n">
        <f aca="false">Opex!F24+Opex!F26+Opex!F27+Opex!F28+Opex!F29+Opex!F30+Opex!F31+Opex!F32+Opex!F34+Opex!F36</f>
        <v>37694.7511597566</v>
      </c>
      <c r="G28" s="27" t="n">
        <f aca="false">Opex!G24+Opex!G26+Opex!G27+Opex!G28+Opex!G29+Opex!G30+Opex!G31+Opex!G32+Opex!G34+Opex!G36</f>
        <v>39696.8692431121</v>
      </c>
      <c r="H28" s="27" t="n">
        <f aca="false">Opex!H24+Opex!H26+Opex!H27+Opex!H28+Opex!H29+Opex!H30+Opex!H31+Opex!H32+Opex!H34+Opex!H36</f>
        <v>44865.3695022449</v>
      </c>
      <c r="I28" s="27" t="n">
        <f aca="false">Opex!I24+Opex!I26+Opex!I27+Opex!I28+Opex!I29+Opex!I30+Opex!I31+Opex!I32+Opex!I34+Opex!I36</f>
        <v>47264.7682379382</v>
      </c>
      <c r="J28" s="27" t="n">
        <f aca="false">Opex!J24+Opex!J26+Opex!J27+Opex!J28+Opex!J29+Opex!J30+Opex!J31+Opex!J32+Opex!J34+Opex!J36</f>
        <v>49798.2809799322</v>
      </c>
      <c r="K28" s="27" t="n">
        <f aca="false">Opex!K24+Opex!K26+Opex!K27+Opex!K28+Opex!K29+Opex!K30+Opex!K31+Opex!K32+Opex!K34+Opex!K36</f>
        <v>52471.2434890543</v>
      </c>
    </row>
    <row r="29" customFormat="false" ht="15" hidden="false" customHeight="false" outlineLevel="0" collapsed="false">
      <c r="A29" s="9" t="s">
        <v>474</v>
      </c>
      <c r="D29" s="27" t="n">
        <f aca="false">ROUND(D21+D25+D27-D28-D8,2)</f>
        <v>0</v>
      </c>
      <c r="E29" s="27" t="n">
        <f aca="false">ROUND(E21+E25+E27-E28-E8,2)</f>
        <v>0</v>
      </c>
      <c r="F29" s="27" t="n">
        <f aca="false">ROUND(F21+F25+F27-F28-F8,2)</f>
        <v>0</v>
      </c>
      <c r="G29" s="27" t="n">
        <f aca="false">ROUND(G21+G25+G27-G28-G8,2)</f>
        <v>0</v>
      </c>
      <c r="H29" s="27" t="n">
        <f aca="false">ROUND(H21+H25+H27-H28-H8,2)</f>
        <v>0</v>
      </c>
      <c r="I29" s="27" t="n">
        <f aca="false">ROUND(I21+I25+I27-I28-I8,2)</f>
        <v>0</v>
      </c>
      <c r="J29" s="27" t="n">
        <f aca="false">ROUND(J21+J25+J27-J28-J8,2)</f>
        <v>0</v>
      </c>
      <c r="K29" s="27" t="n">
        <f aca="false">ROUND(K21+K25+K27-K28-K8,2)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475</v>
      </c>
    </row>
    <row r="2" customFormat="false" ht="15" hidden="false" customHeight="false" outlineLevel="0" collapsed="false">
      <c r="A2" s="2" t="s">
        <v>476</v>
      </c>
    </row>
    <row r="4" customFormat="false" ht="15" hidden="false" customHeight="false" outlineLevel="0" collapsed="false">
      <c r="A4" s="7" t="s">
        <v>353</v>
      </c>
      <c r="B4" s="8" t="s">
        <v>60</v>
      </c>
      <c r="C4" s="37" t="n">
        <v>0</v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</row>
    <row r="5" customFormat="false" ht="15" hidden="false" customHeight="false" outlineLevel="0" collapsed="false">
      <c r="A5" s="3" t="s">
        <v>477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A6" s="9" t="s">
        <v>478</v>
      </c>
      <c r="C6" s="31" t="n">
        <v>0</v>
      </c>
      <c r="D6" s="27" t="n">
        <f aca="false">C9</f>
        <v>75168</v>
      </c>
      <c r="E6" s="27" t="n">
        <f aca="false">D9</f>
        <v>75168</v>
      </c>
      <c r="F6" s="27" t="n">
        <f aca="false">E9</f>
        <v>56376</v>
      </c>
      <c r="G6" s="27" t="n">
        <f aca="false">F9</f>
        <v>37584</v>
      </c>
      <c r="H6" s="27" t="n">
        <f aca="false">G9</f>
        <v>18792</v>
      </c>
      <c r="I6" s="27" t="n">
        <f aca="false">H9</f>
        <v>0</v>
      </c>
      <c r="J6" s="27" t="n">
        <f aca="false">I9</f>
        <v>0</v>
      </c>
      <c r="K6" s="27" t="n">
        <f aca="false">J9</f>
        <v>0</v>
      </c>
    </row>
    <row r="7" customFormat="false" ht="15" hidden="false" customHeight="false" outlineLevel="0" collapsed="false">
      <c r="A7" s="9" t="s">
        <v>479</v>
      </c>
      <c r="C7" s="27" t="n">
        <f aca="false">Assumptions!$C$18*Capex!$F$37</f>
        <v>75168</v>
      </c>
      <c r="D7" s="31" t="n">
        <v>0</v>
      </c>
      <c r="E7" s="31" t="n">
        <v>0</v>
      </c>
      <c r="F7" s="31" t="n">
        <v>0</v>
      </c>
      <c r="G7" s="31" t="n">
        <v>0</v>
      </c>
      <c r="H7" s="31" t="n">
        <v>0</v>
      </c>
      <c r="I7" s="31" t="n">
        <v>0</v>
      </c>
      <c r="J7" s="31" t="n">
        <v>0</v>
      </c>
      <c r="K7" s="31" t="n">
        <v>0</v>
      </c>
    </row>
    <row r="8" customFormat="false" ht="15" hidden="false" customHeight="false" outlineLevel="0" collapsed="false">
      <c r="A8" s="9" t="s">
        <v>480</v>
      </c>
      <c r="C8" s="31" t="n">
        <v>0</v>
      </c>
      <c r="D8" s="27" t="n">
        <f aca="false">IF(AND(D$4&gt;Assumptions!$C$21,D$4&lt;=Assumptions!$C$20,Assumptions!$C$20&gt;Assumptions!$C$21),$C$7/(Assumptions!$C$20-Assumptions!$C$21),0)</f>
        <v>0</v>
      </c>
      <c r="E8" s="27" t="n">
        <f aca="false">IF(AND(E$4&gt;Assumptions!$C$21,E$4&lt;=Assumptions!$C$20,Assumptions!$C$20&gt;Assumptions!$C$21),$C$7/(Assumptions!$C$20-Assumptions!$C$21),0)</f>
        <v>18792</v>
      </c>
      <c r="F8" s="27" t="n">
        <f aca="false">IF(AND(F$4&gt;Assumptions!$C$21,F$4&lt;=Assumptions!$C$20,Assumptions!$C$20&gt;Assumptions!$C$21),$C$7/(Assumptions!$C$20-Assumptions!$C$21),0)</f>
        <v>18792</v>
      </c>
      <c r="G8" s="27" t="n">
        <f aca="false">IF(AND(G$4&gt;Assumptions!$C$21,G$4&lt;=Assumptions!$C$20,Assumptions!$C$20&gt;Assumptions!$C$21),$C$7/(Assumptions!$C$20-Assumptions!$C$21),0)</f>
        <v>18792</v>
      </c>
      <c r="H8" s="27" t="n">
        <f aca="false">IF(AND(H$4&gt;Assumptions!$C$21,H$4&lt;=Assumptions!$C$20,Assumptions!$C$20&gt;Assumptions!$C$21),$C$7/(Assumptions!$C$20-Assumptions!$C$21),0)</f>
        <v>18792</v>
      </c>
      <c r="I8" s="27" t="n">
        <f aca="false">IF(AND(I$4&gt;Assumptions!$C$21,I$4&lt;=Assumptions!$C$20,Assumptions!$C$20&gt;Assumptions!$C$21),$C$7/(Assumptions!$C$20-Assumptions!$C$21),0)</f>
        <v>0</v>
      </c>
      <c r="J8" s="27" t="n">
        <f aca="false">IF(AND(J$4&gt;Assumptions!$C$21,J$4&lt;=Assumptions!$C$20,Assumptions!$C$20&gt;Assumptions!$C$21),$C$7/(Assumptions!$C$20-Assumptions!$C$21),0)</f>
        <v>0</v>
      </c>
      <c r="K8" s="27" t="n">
        <f aca="false">IF(AND(K$4&gt;Assumptions!$C$21,K$4&lt;=Assumptions!$C$20,Assumptions!$C$20&gt;Assumptions!$C$21),$C$7/(Assumptions!$C$20-Assumptions!$C$21),0)</f>
        <v>0</v>
      </c>
    </row>
    <row r="9" customFormat="false" ht="15" hidden="false" customHeight="false" outlineLevel="0" collapsed="false">
      <c r="A9" s="9" t="s">
        <v>481</v>
      </c>
      <c r="C9" s="27" t="n">
        <f aca="false">C6+C7-C8</f>
        <v>75168</v>
      </c>
      <c r="D9" s="27" t="n">
        <f aca="false">D6+D7-D8</f>
        <v>75168</v>
      </c>
      <c r="E9" s="27" t="n">
        <f aca="false">E6+E7-E8</f>
        <v>56376</v>
      </c>
      <c r="F9" s="27" t="n">
        <f aca="false">F6+F7-F8</f>
        <v>37584</v>
      </c>
      <c r="G9" s="27" t="n">
        <f aca="false">G6+G7-G8</f>
        <v>18792</v>
      </c>
      <c r="H9" s="27" t="n">
        <f aca="false">H6+H7-H8</f>
        <v>0</v>
      </c>
      <c r="I9" s="27" t="n">
        <f aca="false">I6+I7-I8</f>
        <v>0</v>
      </c>
      <c r="J9" s="27" t="n">
        <f aca="false">J6+J7-J8</f>
        <v>0</v>
      </c>
      <c r="K9" s="27" t="n">
        <f aca="false">K6+K7-K8</f>
        <v>0</v>
      </c>
    </row>
    <row r="10" customFormat="false" ht="15" hidden="false" customHeight="false" outlineLevel="0" collapsed="false">
      <c r="A10" s="9" t="s">
        <v>482</v>
      </c>
      <c r="D10" s="27" t="n">
        <f aca="false">D6*Assumptions!$C$19</f>
        <v>10523.52</v>
      </c>
      <c r="E10" s="27" t="n">
        <f aca="false">E6*Assumptions!$C$19</f>
        <v>10523.52</v>
      </c>
      <c r="F10" s="27" t="n">
        <f aca="false">F6*Assumptions!$C$19</f>
        <v>7892.64</v>
      </c>
      <c r="G10" s="27" t="n">
        <f aca="false">G6*Assumptions!$C$19</f>
        <v>5261.76</v>
      </c>
      <c r="H10" s="27" t="n">
        <f aca="false">H6*Assumptions!$C$19</f>
        <v>2630.88</v>
      </c>
      <c r="I10" s="27" t="n">
        <f aca="false">I6*Assumptions!$C$19</f>
        <v>0</v>
      </c>
      <c r="J10" s="27" t="n">
        <f aca="false">J6*Assumptions!$C$19</f>
        <v>0</v>
      </c>
      <c r="K10" s="27" t="n">
        <f aca="false">K6*Assumptions!$C$19</f>
        <v>0</v>
      </c>
    </row>
    <row r="11" customFormat="false" ht="15" hidden="false" customHeight="false" outlineLevel="0" collapsed="false">
      <c r="A11" s="9" t="s">
        <v>483</v>
      </c>
      <c r="D11" s="27" t="n">
        <f aca="false">D10+D8</f>
        <v>10523.52</v>
      </c>
      <c r="E11" s="27" t="n">
        <f aca="false">E10+E8</f>
        <v>29315.52</v>
      </c>
      <c r="F11" s="27" t="n">
        <f aca="false">F10+F8</f>
        <v>26684.64</v>
      </c>
      <c r="G11" s="27" t="n">
        <f aca="false">G10+G8</f>
        <v>24053.76</v>
      </c>
      <c r="H11" s="27" t="n">
        <f aca="false">H10+H8</f>
        <v>21422.88</v>
      </c>
      <c r="I11" s="27" t="n">
        <f aca="false">I10+I8</f>
        <v>0</v>
      </c>
      <c r="J11" s="27" t="n">
        <f aca="false">J10+J8</f>
        <v>0</v>
      </c>
      <c r="K11" s="27" t="n">
        <f aca="false">K10+K8</f>
        <v>0</v>
      </c>
    </row>
    <row r="12" customFormat="false" ht="15" hidden="false" customHeight="false" outlineLevel="0" collapsed="false">
      <c r="A12" s="3" t="s">
        <v>484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customFormat="false" ht="15" hidden="false" customHeight="false" outlineLevel="0" collapsed="false">
      <c r="A13" s="9" t="s">
        <v>485</v>
      </c>
      <c r="C13" s="26" t="n">
        <f aca="false">Capex!$F$37</f>
        <v>187920</v>
      </c>
    </row>
    <row r="14" customFormat="false" ht="15" hidden="false" customHeight="false" outlineLevel="0" collapsed="false">
      <c r="A14" s="9" t="s">
        <v>486</v>
      </c>
      <c r="C14" s="27" t="n">
        <f aca="false">Assumptions!$C$16/12*Opex!D37</f>
        <v>26195.5801</v>
      </c>
    </row>
    <row r="15" customFormat="false" ht="15" hidden="false" customHeight="false" outlineLevel="0" collapsed="false">
      <c r="A15" s="9" t="s">
        <v>487</v>
      </c>
      <c r="D15" s="27" t="n">
        <f aca="false">MAX(0,Herd!D6-Herd!C6)*Assumptions!$C$104*Revenue!D8+MAX(0,Herd!D20-Herd!C20)*Assumptions!$C$105*Revenue!D8</f>
        <v>0</v>
      </c>
      <c r="E15" s="27" t="n">
        <f aca="false">MAX(0,Herd!E6-Herd!D6)*Assumptions!$C$104*Revenue!E8+MAX(0,Herd!E20-Herd!D20)*Assumptions!$C$105*Revenue!E8</f>
        <v>189</v>
      </c>
      <c r="F15" s="27" t="n">
        <f aca="false">MAX(0,Herd!F6-Herd!E6)*Assumptions!$C$104*Revenue!F8+MAX(0,Herd!F20-Herd!E20)*Assumptions!$C$105*Revenue!F8</f>
        <v>773.514</v>
      </c>
      <c r="G15" s="27" t="n">
        <f aca="false">MAX(0,Herd!G6-Herd!F6)*Assumptions!$C$104*Revenue!G8+MAX(0,Herd!G20-Herd!F20)*Assumptions!$C$105*Revenue!G8</f>
        <v>488.112581249999</v>
      </c>
      <c r="H15" s="27" t="n">
        <f aca="false">MAX(0,Herd!H6-Herd!G6)*Assumptions!$C$104*Revenue!H8+MAX(0,Herd!H20-Herd!G20)*Assumptions!$C$105*Revenue!H8</f>
        <v>625.017495091499</v>
      </c>
      <c r="I15" s="27" t="n">
        <f aca="false">MAX(0,Herd!I6-Herd!H6)*Assumptions!$C$104*Revenue!I8+MAX(0,Herd!I20-Herd!H20)*Assumptions!$C$105*Revenue!I8</f>
        <v>646.146220849129</v>
      </c>
      <c r="J15" s="27" t="n">
        <f aca="false">MAX(0,Herd!J6-Herd!I6)*Assumptions!$C$104*Revenue!J8+MAX(0,Herd!J20-Herd!I20)*Assumptions!$C$105*Revenue!J8</f>
        <v>704.733158873803</v>
      </c>
      <c r="K15" s="27" t="n">
        <f aca="false">MAX(0,Herd!K6-Herd!J6)*Assumptions!$C$104*Revenue!K8+MAX(0,Herd!K20-Herd!J20)*Assumptions!$C$105*Revenue!K8</f>
        <v>757.825444887218</v>
      </c>
    </row>
    <row r="16" customFormat="false" ht="15" hidden="false" customHeight="false" outlineLevel="0" collapsed="false">
      <c r="A16" s="3" t="s">
        <v>488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customFormat="false" ht="15" hidden="false" customHeight="false" outlineLevel="0" collapsed="false">
      <c r="A17" s="9" t="s">
        <v>489</v>
      </c>
      <c r="D17" s="27" t="n">
        <f aca="false">IF(D$4=Assumptions!$C$7,Assumptions!$C$13*Assumptions!$C$14*(Herd!D6*Assumptions!$C$31+Herd!D20*Assumptions!$C$44+Assumptions!$C$45*Assumptions!$C$46)*Revenue!D7,0)</f>
        <v>0</v>
      </c>
      <c r="E17" s="27" t="n">
        <f aca="false">IF(E$4=Assumptions!$C$7,Assumptions!$C$13*Assumptions!$C$14*(Herd!E6*Assumptions!$C$31+Herd!E20*Assumptions!$C$44+Assumptions!$C$45*Assumptions!$C$46)*Revenue!E7,0)</f>
        <v>0</v>
      </c>
      <c r="F17" s="27" t="n">
        <f aca="false">IF(F$4=Assumptions!$C$7,Assumptions!$C$13*Assumptions!$C$14*(Herd!F6*Assumptions!$C$31+Herd!F20*Assumptions!$C$44+Assumptions!$C$45*Assumptions!$C$46)*Revenue!F7,0)</f>
        <v>0</v>
      </c>
      <c r="G17" s="27" t="n">
        <f aca="false">IF(G$4=Assumptions!$C$7,Assumptions!$C$13*Assumptions!$C$14*(Herd!G6*Assumptions!$C$31+Herd!G20*Assumptions!$C$44+Assumptions!$C$45*Assumptions!$C$46)*Revenue!G7,0)</f>
        <v>0</v>
      </c>
      <c r="H17" s="27" t="n">
        <f aca="false">IF(H$4=Assumptions!$C$7,Assumptions!$C$13*Assumptions!$C$14*(Herd!H6*Assumptions!$C$31+Herd!H20*Assumptions!$C$44+Assumptions!$C$45*Assumptions!$C$46)*Revenue!H7,0)</f>
        <v>0</v>
      </c>
      <c r="I17" s="27" t="n">
        <f aca="false">IF(I$4=Assumptions!$C$7,Assumptions!$C$13*Assumptions!$C$14*(Herd!I6*Assumptions!$C$31+Herd!I20*Assumptions!$C$44+Assumptions!$C$45*Assumptions!$C$46)*Revenue!I7,0)</f>
        <v>0</v>
      </c>
      <c r="J17" s="27" t="n">
        <f aca="false">IF(J$4=Assumptions!$C$7,Assumptions!$C$13*Assumptions!$C$14*(Herd!J6*Assumptions!$C$31+Herd!J20*Assumptions!$C$44+Assumptions!$C$45*Assumptions!$C$46)*Revenue!J7,0)</f>
        <v>0</v>
      </c>
      <c r="K17" s="27" t="n">
        <f aca="false">IF(K$4=Assumptions!$C$7,Assumptions!$C$13*Assumptions!$C$14*(Herd!K6*Assumptions!$C$31+Herd!K20*Assumptions!$C$44+Assumptions!$C$45*Assumptions!$C$46)*Revenue!K7,0)</f>
        <v>84582.0423315132</v>
      </c>
    </row>
    <row r="18" customFormat="false" ht="15" hidden="false" customHeight="false" outlineLevel="0" collapsed="false">
      <c r="A18" s="9" t="s">
        <v>490</v>
      </c>
      <c r="D18" s="27" t="n">
        <f aca="false">IF(D$4=Assumptions!$C$7,Assumptions!$C$13*Assumptions!$C$24*Assumptions!$C$23*Assumptions!$C$26*(1+Assumptions!$C$15)^Assumptions!$C$7,0)</f>
        <v>0</v>
      </c>
      <c r="E18" s="27" t="n">
        <f aca="false">IF(E$4=Assumptions!$C$7,Assumptions!$C$13*Assumptions!$C$24*Assumptions!$C$23*Assumptions!$C$26*(1+Assumptions!$C$15)^Assumptions!$C$7,0)</f>
        <v>0</v>
      </c>
      <c r="F18" s="27" t="n">
        <f aca="false">IF(F$4=Assumptions!$C$7,Assumptions!$C$13*Assumptions!$C$24*Assumptions!$C$23*Assumptions!$C$26*(1+Assumptions!$C$15)^Assumptions!$C$7,0)</f>
        <v>0</v>
      </c>
      <c r="G18" s="27" t="n">
        <f aca="false">IF(G$4=Assumptions!$C$7,Assumptions!$C$13*Assumptions!$C$24*Assumptions!$C$23*Assumptions!$C$26*(1+Assumptions!$C$15)^Assumptions!$C$7,0)</f>
        <v>0</v>
      </c>
      <c r="H18" s="27" t="n">
        <f aca="false">IF(H$4=Assumptions!$C$7,Assumptions!$C$13*Assumptions!$C$24*Assumptions!$C$23*Assumptions!$C$26*(1+Assumptions!$C$15)^Assumptions!$C$7,0)</f>
        <v>0</v>
      </c>
      <c r="I18" s="27" t="n">
        <f aca="false">IF(I$4=Assumptions!$C$7,Assumptions!$C$13*Assumptions!$C$24*Assumptions!$C$23*Assumptions!$C$26*(1+Assumptions!$C$15)^Assumptions!$C$7,0)</f>
        <v>0</v>
      </c>
      <c r="J18" s="27" t="n">
        <f aca="false">IF(J$4=Assumptions!$C$7,Assumptions!$C$13*Assumptions!$C$24*Assumptions!$C$23*Assumptions!$C$26*(1+Assumptions!$C$15)^Assumptions!$C$7,0)</f>
        <v>0</v>
      </c>
      <c r="K18" s="27" t="n">
        <f aca="false">IF(K$4=Assumptions!$C$7,Assumptions!$C$13*Assumptions!$C$24*Assumptions!$C$23*Assumptions!$C$26*(1+Assumptions!$C$15)^Assumptions!$C$7,0)</f>
        <v>0</v>
      </c>
    </row>
    <row r="19" customFormat="false" ht="15" hidden="false" customHeight="false" outlineLevel="0" collapsed="false">
      <c r="A19" s="9" t="s">
        <v>491</v>
      </c>
      <c r="D19" s="27" t="n">
        <f aca="false">IF(D$4=Assumptions!$C$7,Assumptions!$C$13*$C$14,0)</f>
        <v>0</v>
      </c>
      <c r="E19" s="27" t="n">
        <f aca="false">IF(E$4=Assumptions!$C$7,Assumptions!$C$13*$C$14,0)</f>
        <v>0</v>
      </c>
      <c r="F19" s="27" t="n">
        <f aca="false">IF(F$4=Assumptions!$C$7,Assumptions!$C$13*$C$14,0)</f>
        <v>0</v>
      </c>
      <c r="G19" s="27" t="n">
        <f aca="false">IF(G$4=Assumptions!$C$7,Assumptions!$C$13*$C$14,0)</f>
        <v>0</v>
      </c>
      <c r="H19" s="27" t="n">
        <f aca="false">IF(H$4=Assumptions!$C$7,Assumptions!$C$13*$C$14,0)</f>
        <v>0</v>
      </c>
      <c r="I19" s="27" t="n">
        <f aca="false">IF(I$4=Assumptions!$C$7,Assumptions!$C$13*$C$14,0)</f>
        <v>0</v>
      </c>
      <c r="J19" s="27" t="n">
        <f aca="false">IF(J$4=Assumptions!$C$7,Assumptions!$C$13*$C$14,0)</f>
        <v>0</v>
      </c>
      <c r="K19" s="27" t="n">
        <f aca="false">IF(K$4=Assumptions!$C$7,Assumptions!$C$13*$C$14,0)</f>
        <v>26195.5801</v>
      </c>
    </row>
    <row r="20" customFormat="false" ht="15" hidden="false" customHeight="false" outlineLevel="0" collapsed="false">
      <c r="A20" s="5" t="s">
        <v>492</v>
      </c>
      <c r="D20" s="36" t="n">
        <f aca="false">D17+D18+D19</f>
        <v>0</v>
      </c>
      <c r="E20" s="36" t="n">
        <f aca="false">E17+E18+E19</f>
        <v>0</v>
      </c>
      <c r="F20" s="36" t="n">
        <f aca="false">F17+F18+F19</f>
        <v>0</v>
      </c>
      <c r="G20" s="36" t="n">
        <f aca="false">G17+G18+G19</f>
        <v>0</v>
      </c>
      <c r="H20" s="36" t="n">
        <f aca="false">H17+H18+H19</f>
        <v>0</v>
      </c>
      <c r="I20" s="36" t="n">
        <f aca="false">I17+I18+I19</f>
        <v>0</v>
      </c>
      <c r="J20" s="36" t="n">
        <f aca="false">J17+J18+J19</f>
        <v>0</v>
      </c>
      <c r="K20" s="36" t="n">
        <f aca="false">K17+K18+K19</f>
        <v>110777.622431513</v>
      </c>
    </row>
    <row r="21" customFormat="false" ht="15" hidden="false" customHeight="false" outlineLevel="0" collapsed="false">
      <c r="A21" s="3" t="s">
        <v>493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customFormat="false" ht="15" hidden="false" customHeight="false" outlineLevel="0" collapsed="false">
      <c r="A22" s="9" t="s">
        <v>453</v>
      </c>
      <c r="D22" s="26" t="n">
        <f aca="false">PnL!D8</f>
        <v>19955.6597</v>
      </c>
      <c r="E22" s="26" t="n">
        <f aca="false">PnL!E8</f>
        <v>18627.8629446</v>
      </c>
      <c r="F22" s="26" t="n">
        <f aca="false">PnL!F8</f>
        <v>21992.7801121434</v>
      </c>
      <c r="G22" s="26" t="n">
        <f aca="false">PnL!G8</f>
        <v>24305.9583670656</v>
      </c>
      <c r="H22" s="26" t="n">
        <f aca="false">PnL!H8</f>
        <v>24196.928521333</v>
      </c>
      <c r="I22" s="26" t="n">
        <f aca="false">PnL!I8</f>
        <v>27135.4426287364</v>
      </c>
      <c r="J22" s="26" t="n">
        <f aca="false">PnL!J8</f>
        <v>30387.6800073947</v>
      </c>
      <c r="K22" s="26" t="n">
        <f aca="false">PnL!K8</f>
        <v>33941.6532266021</v>
      </c>
    </row>
    <row r="23" customFormat="false" ht="15" hidden="false" customHeight="false" outlineLevel="0" collapsed="false">
      <c r="A23" s="9" t="s">
        <v>494</v>
      </c>
      <c r="D23" s="27" t="n">
        <f aca="false">-MAX(0,PnL!D12)*Assumptions!$C$9</f>
        <v>-602.865273333337</v>
      </c>
      <c r="E23" s="27" t="n">
        <f aca="false">-MAX(0,PnL!E12)*Assumptions!$C$9</f>
        <v>-334.785922253335</v>
      </c>
      <c r="F23" s="27" t="n">
        <f aca="false">-MAX(0,PnL!F12)*Assumptions!$C$9</f>
        <v>-997.455835762013</v>
      </c>
      <c r="G23" s="27" t="n">
        <f aca="false">-MAX(0,PnL!G12)*Assumptions!$C$9</f>
        <v>-1520.24998566312</v>
      </c>
      <c r="H23" s="27" t="n">
        <f aca="false">-MAX(0,PnL!H12)*Assumptions!$C$9</f>
        <v>-1490.11044991537</v>
      </c>
      <c r="I23" s="27" t="n">
        <f aca="false">-MAX(0,PnL!I12)*Assumptions!$C$9</f>
        <v>-2280.39798845141</v>
      </c>
      <c r="J23" s="27" t="n">
        <f aca="false">-MAX(0,PnL!J12)*Assumptions!$C$9</f>
        <v>-4275.04902206475</v>
      </c>
      <c r="K23" s="27" t="n">
        <f aca="false">-MAX(0,PnL!K12)*Assumptions!$C$9</f>
        <v>-4975.73932664106</v>
      </c>
    </row>
    <row r="24" customFormat="false" ht="15" hidden="false" customHeight="false" outlineLevel="0" collapsed="false">
      <c r="A24" s="9" t="s">
        <v>495</v>
      </c>
      <c r="D24" s="27" t="n">
        <f aca="false">-D15</f>
        <v>-0</v>
      </c>
      <c r="E24" s="27" t="n">
        <f aca="false">-E15</f>
        <v>-189</v>
      </c>
      <c r="F24" s="27" t="n">
        <f aca="false">-F15</f>
        <v>-773.514</v>
      </c>
      <c r="G24" s="27" t="n">
        <f aca="false">-G15</f>
        <v>-488.112581249999</v>
      </c>
      <c r="H24" s="27" t="n">
        <f aca="false">-H15</f>
        <v>-625.017495091499</v>
      </c>
      <c r="I24" s="27" t="n">
        <f aca="false">-I15</f>
        <v>-646.146220849129</v>
      </c>
      <c r="J24" s="27" t="n">
        <f aca="false">-J15</f>
        <v>-704.733158873803</v>
      </c>
      <c r="K24" s="27" t="n">
        <f aca="false">-K15</f>
        <v>-757.825444887218</v>
      </c>
    </row>
    <row r="25" customFormat="false" ht="15" hidden="false" customHeight="false" outlineLevel="0" collapsed="false">
      <c r="A25" s="9" t="s">
        <v>496</v>
      </c>
      <c r="C25" s="27" t="n">
        <f aca="false">-(C13+C14)</f>
        <v>-214115.5801</v>
      </c>
    </row>
    <row r="26" customFormat="false" ht="15" hidden="false" customHeight="false" outlineLevel="0" collapsed="false">
      <c r="A26" s="9" t="s">
        <v>497</v>
      </c>
      <c r="C26" s="27" t="n">
        <f aca="false">C25</f>
        <v>-214115.5801</v>
      </c>
      <c r="D26" s="27" t="n">
        <f aca="false">D22+D23+D24</f>
        <v>19352.7944266667</v>
      </c>
      <c r="E26" s="27" t="n">
        <f aca="false">E22+E23+E24</f>
        <v>18104.0770223467</v>
      </c>
      <c r="F26" s="27" t="n">
        <f aca="false">F22+F23+F24</f>
        <v>20221.8102763814</v>
      </c>
      <c r="G26" s="27" t="n">
        <f aca="false">G22+G23+G24</f>
        <v>22297.5958001525</v>
      </c>
      <c r="H26" s="27" t="n">
        <f aca="false">H22+H23+H24</f>
        <v>22081.8005763261</v>
      </c>
      <c r="I26" s="27" t="n">
        <f aca="false">I22+I23+I24</f>
        <v>24208.8984194359</v>
      </c>
      <c r="J26" s="27" t="n">
        <f aca="false">J22+J23+J24</f>
        <v>25407.8978264562</v>
      </c>
      <c r="K26" s="27" t="n">
        <f aca="false">K22+K23+K24</f>
        <v>28208.0884550738</v>
      </c>
    </row>
    <row r="27" customFormat="false" ht="15" hidden="false" customHeight="false" outlineLevel="0" collapsed="false">
      <c r="A27" s="9" t="s">
        <v>45</v>
      </c>
      <c r="C27" s="31" t="n">
        <v>0</v>
      </c>
      <c r="D27" s="27" t="n">
        <f aca="false">D20</f>
        <v>0</v>
      </c>
      <c r="E27" s="27" t="n">
        <f aca="false">E20</f>
        <v>0</v>
      </c>
      <c r="F27" s="27" t="n">
        <f aca="false">F20</f>
        <v>0</v>
      </c>
      <c r="G27" s="27" t="n">
        <f aca="false">G20</f>
        <v>0</v>
      </c>
      <c r="H27" s="27" t="n">
        <f aca="false">H20</f>
        <v>0</v>
      </c>
      <c r="I27" s="27" t="n">
        <f aca="false">I20</f>
        <v>0</v>
      </c>
      <c r="J27" s="27" t="n">
        <f aca="false">J20</f>
        <v>0</v>
      </c>
      <c r="K27" s="27" t="n">
        <f aca="false">K20</f>
        <v>110777.622431513</v>
      </c>
    </row>
    <row r="28" customFormat="false" ht="15" hidden="false" customHeight="false" outlineLevel="0" collapsed="false">
      <c r="A28" s="32" t="s">
        <v>498</v>
      </c>
      <c r="B28" s="33"/>
      <c r="C28" s="34" t="n">
        <f aca="false">C26+C27</f>
        <v>-214115.5801</v>
      </c>
      <c r="D28" s="34" t="n">
        <f aca="false">D26+D27</f>
        <v>19352.7944266667</v>
      </c>
      <c r="E28" s="34" t="n">
        <f aca="false">E26+E27</f>
        <v>18104.0770223467</v>
      </c>
      <c r="F28" s="34" t="n">
        <f aca="false">F26+F27</f>
        <v>20221.8102763814</v>
      </c>
      <c r="G28" s="34" t="n">
        <f aca="false">G26+G27</f>
        <v>22297.5958001525</v>
      </c>
      <c r="H28" s="34" t="n">
        <f aca="false">H26+H27</f>
        <v>22081.8005763261</v>
      </c>
      <c r="I28" s="34" t="n">
        <f aca="false">I26+I27</f>
        <v>24208.8984194359</v>
      </c>
      <c r="J28" s="34" t="n">
        <f aca="false">J26+J27</f>
        <v>25407.8978264562</v>
      </c>
      <c r="K28" s="34" t="n">
        <f aca="false">K26+K27</f>
        <v>138985.710886587</v>
      </c>
    </row>
    <row r="29" customFormat="false" ht="15" hidden="false" customHeight="false" outlineLevel="0" collapsed="false">
      <c r="A29" s="9" t="s">
        <v>499</v>
      </c>
      <c r="C29" s="27" t="n">
        <f aca="false">C26</f>
        <v>-214115.5801</v>
      </c>
      <c r="D29" s="27" t="n">
        <f aca="false">C29+D26</f>
        <v>-194762.785673333</v>
      </c>
      <c r="E29" s="27" t="n">
        <f aca="false">D29+E26</f>
        <v>-176658.708650987</v>
      </c>
      <c r="F29" s="27" t="n">
        <f aca="false">E29+F26</f>
        <v>-156436.898374605</v>
      </c>
      <c r="G29" s="27" t="n">
        <f aca="false">F29+G26</f>
        <v>-134139.302574453</v>
      </c>
      <c r="H29" s="27" t="n">
        <f aca="false">G29+H26</f>
        <v>-112057.501998127</v>
      </c>
      <c r="I29" s="27" t="n">
        <f aca="false">H29+I26</f>
        <v>-87848.6035786908</v>
      </c>
      <c r="J29" s="27" t="n">
        <f aca="false">I29+J26</f>
        <v>-62440.7057522346</v>
      </c>
      <c r="K29" s="27" t="n">
        <f aca="false">J29+K26</f>
        <v>-34232.6172971609</v>
      </c>
    </row>
    <row r="30" customFormat="false" ht="15" hidden="false" customHeight="false" outlineLevel="0" collapsed="false">
      <c r="A30" s="9" t="s">
        <v>500</v>
      </c>
      <c r="D30" s="42" t="str">
        <f aca="false">IF(AND(D29&gt;=0,C29&lt;0),C$4+(-C29)/D26,"")</f>
        <v/>
      </c>
      <c r="E30" s="42" t="str">
        <f aca="false">IF(AND(E29&gt;=0,D29&lt;0),D$4+(-D29)/E26,"")</f>
        <v/>
      </c>
      <c r="F30" s="42" t="str">
        <f aca="false">IF(AND(F29&gt;=0,E29&lt;0),E$4+(-E29)/F26,"")</f>
        <v/>
      </c>
      <c r="G30" s="42" t="str">
        <f aca="false">IF(AND(G29&gt;=0,F29&lt;0),F$4+(-F29)/G26,"")</f>
        <v/>
      </c>
      <c r="H30" s="42" t="str">
        <f aca="false">IF(AND(H29&gt;=0,G29&lt;0),G$4+(-G29)/H26,"")</f>
        <v/>
      </c>
      <c r="I30" s="42" t="str">
        <f aca="false">IF(AND(I29&gt;=0,H29&lt;0),H$4+(-H29)/I26,"")</f>
        <v/>
      </c>
      <c r="J30" s="42" t="str">
        <f aca="false">IF(AND(J29&gt;=0,I29&lt;0),I$4+(-I29)/J26,"")</f>
        <v/>
      </c>
      <c r="K30" s="42" t="str">
        <f aca="false">IF(AND(K29&gt;=0,J29&lt;0),J$4+(-J29)/K26,"")</f>
        <v/>
      </c>
    </row>
    <row r="31" customFormat="false" ht="15" hidden="false" customHeight="false" outlineLevel="0" collapsed="false">
      <c r="A31" s="3" t="s">
        <v>501</v>
      </c>
      <c r="B31" s="4"/>
      <c r="C31" s="4"/>
      <c r="D31" s="4"/>
      <c r="E31" s="4"/>
      <c r="F31" s="4"/>
      <c r="G31" s="4"/>
      <c r="H31" s="4"/>
      <c r="I31" s="4"/>
      <c r="J31" s="4"/>
      <c r="K31" s="4"/>
    </row>
    <row r="32" customFormat="false" ht="15" hidden="false" customHeight="false" outlineLevel="0" collapsed="false">
      <c r="A32" s="9" t="s">
        <v>453</v>
      </c>
      <c r="D32" s="26" t="n">
        <f aca="false">PnL!D8</f>
        <v>19955.6597</v>
      </c>
      <c r="E32" s="26" t="n">
        <f aca="false">PnL!E8</f>
        <v>18627.8629446</v>
      </c>
      <c r="F32" s="26" t="n">
        <f aca="false">PnL!F8</f>
        <v>21992.7801121434</v>
      </c>
      <c r="G32" s="26" t="n">
        <f aca="false">PnL!G8</f>
        <v>24305.9583670656</v>
      </c>
      <c r="H32" s="26" t="n">
        <f aca="false">PnL!H8</f>
        <v>24196.928521333</v>
      </c>
      <c r="I32" s="26" t="n">
        <f aca="false">PnL!I8</f>
        <v>27135.4426287364</v>
      </c>
      <c r="J32" s="26" t="n">
        <f aca="false">PnL!J8</f>
        <v>30387.6800073947</v>
      </c>
      <c r="K32" s="26" t="n">
        <f aca="false">PnL!K8</f>
        <v>33941.6532266021</v>
      </c>
    </row>
    <row r="33" customFormat="false" ht="15" hidden="false" customHeight="false" outlineLevel="0" collapsed="false">
      <c r="A33" s="9" t="s">
        <v>502</v>
      </c>
      <c r="D33" s="27" t="n">
        <f aca="false">-D10</f>
        <v>-10523.52</v>
      </c>
      <c r="E33" s="27" t="n">
        <f aca="false">-E10</f>
        <v>-10523.52</v>
      </c>
      <c r="F33" s="27" t="n">
        <f aca="false">-F10</f>
        <v>-7892.64</v>
      </c>
      <c r="G33" s="27" t="n">
        <f aca="false">-G10</f>
        <v>-5261.76</v>
      </c>
      <c r="H33" s="27" t="n">
        <f aca="false">-H10</f>
        <v>-2630.88</v>
      </c>
      <c r="I33" s="27" t="n">
        <f aca="false">-I10</f>
        <v>-0</v>
      </c>
      <c r="J33" s="27" t="n">
        <f aca="false">-J10</f>
        <v>-0</v>
      </c>
      <c r="K33" s="27" t="n">
        <f aca="false">-K10</f>
        <v>-0</v>
      </c>
    </row>
    <row r="34" customFormat="false" ht="15" hidden="false" customHeight="false" outlineLevel="0" collapsed="false">
      <c r="A34" s="9" t="s">
        <v>503</v>
      </c>
      <c r="D34" s="27" t="n">
        <f aca="false">-D8</f>
        <v>-0</v>
      </c>
      <c r="E34" s="27" t="n">
        <f aca="false">-E8</f>
        <v>-18792</v>
      </c>
      <c r="F34" s="27" t="n">
        <f aca="false">-F8</f>
        <v>-18792</v>
      </c>
      <c r="G34" s="27" t="n">
        <f aca="false">-G8</f>
        <v>-18792</v>
      </c>
      <c r="H34" s="27" t="n">
        <f aca="false">-H8</f>
        <v>-18792</v>
      </c>
      <c r="I34" s="27" t="n">
        <f aca="false">-I8</f>
        <v>-0</v>
      </c>
      <c r="J34" s="27" t="n">
        <f aca="false">-J8</f>
        <v>-0</v>
      </c>
      <c r="K34" s="27" t="n">
        <f aca="false">-K8</f>
        <v>-0</v>
      </c>
    </row>
    <row r="35" customFormat="false" ht="15" hidden="false" customHeight="false" outlineLevel="0" collapsed="false">
      <c r="A35" s="9" t="s">
        <v>460</v>
      </c>
      <c r="D35" s="27" t="n">
        <f aca="false">-PnL!D15</f>
        <v>-0</v>
      </c>
      <c r="E35" s="27" t="n">
        <f aca="false">-PnL!E15</f>
        <v>-0</v>
      </c>
      <c r="F35" s="27" t="n">
        <f aca="false">-PnL!F15</f>
        <v>-0</v>
      </c>
      <c r="G35" s="27" t="n">
        <f aca="false">-PnL!G15</f>
        <v>-467.897985663123</v>
      </c>
      <c r="H35" s="27" t="n">
        <f aca="false">-PnL!H15</f>
        <v>-963.934449915371</v>
      </c>
      <c r="I35" s="27" t="n">
        <f aca="false">-PnL!I15</f>
        <v>-2280.39798845141</v>
      </c>
      <c r="J35" s="27" t="n">
        <f aca="false">-PnL!J15</f>
        <v>-4275.04902206475</v>
      </c>
      <c r="K35" s="27" t="n">
        <f aca="false">-PnL!K15</f>
        <v>-4975.73932664106</v>
      </c>
    </row>
    <row r="36" customFormat="false" ht="15" hidden="false" customHeight="false" outlineLevel="0" collapsed="false">
      <c r="A36" s="9" t="s">
        <v>495</v>
      </c>
      <c r="D36" s="27" t="n">
        <f aca="false">-D15</f>
        <v>-0</v>
      </c>
      <c r="E36" s="27" t="n">
        <f aca="false">-E15</f>
        <v>-189</v>
      </c>
      <c r="F36" s="27" t="n">
        <f aca="false">-F15</f>
        <v>-773.514</v>
      </c>
      <c r="G36" s="27" t="n">
        <f aca="false">-G15</f>
        <v>-488.112581249999</v>
      </c>
      <c r="H36" s="27" t="n">
        <f aca="false">-H15</f>
        <v>-625.017495091499</v>
      </c>
      <c r="I36" s="27" t="n">
        <f aca="false">-I15</f>
        <v>-646.146220849129</v>
      </c>
      <c r="J36" s="27" t="n">
        <f aca="false">-J15</f>
        <v>-704.733158873803</v>
      </c>
      <c r="K36" s="27" t="n">
        <f aca="false">-K15</f>
        <v>-757.825444887218</v>
      </c>
    </row>
    <row r="37" customFormat="false" ht="15" hidden="false" customHeight="false" outlineLevel="0" collapsed="false">
      <c r="A37" s="9" t="s">
        <v>504</v>
      </c>
      <c r="C37" s="27" t="n">
        <f aca="false">-(C13+C14-C7)</f>
        <v>-138947.5801</v>
      </c>
    </row>
    <row r="38" customFormat="false" ht="15" hidden="false" customHeight="false" outlineLevel="0" collapsed="false">
      <c r="A38" s="9" t="s">
        <v>505</v>
      </c>
      <c r="C38" s="27" t="n">
        <f aca="false">C37</f>
        <v>-138947.5801</v>
      </c>
      <c r="D38" s="27" t="n">
        <f aca="false">D32+D33+D34+D35+D36</f>
        <v>9432.13970000002</v>
      </c>
      <c r="E38" s="27" t="n">
        <f aca="false">E32+E33+E34+E35+E36</f>
        <v>-10876.6570554</v>
      </c>
      <c r="F38" s="27" t="n">
        <f aca="false">F32+F33+F34+F35+F36</f>
        <v>-5465.3738878566</v>
      </c>
      <c r="G38" s="27" t="n">
        <f aca="false">G32+G33+G34+G35+G36</f>
        <v>-703.81219984751</v>
      </c>
      <c r="H38" s="27" t="n">
        <f aca="false">H32+H33+H34+H35+H36</f>
        <v>1185.09657632609</v>
      </c>
      <c r="I38" s="27" t="n">
        <f aca="false">I32+I33+I34+I35+I36</f>
        <v>24208.8984194359</v>
      </c>
      <c r="J38" s="27" t="n">
        <f aca="false">J32+J33+J34+J35+J36</f>
        <v>25407.8978264562</v>
      </c>
      <c r="K38" s="27" t="n">
        <f aca="false">K32+K33+K34+K35+K36</f>
        <v>28208.0884550738</v>
      </c>
    </row>
    <row r="39" customFormat="false" ht="15" hidden="false" customHeight="false" outlineLevel="0" collapsed="false">
      <c r="A39" s="9" t="s">
        <v>45</v>
      </c>
      <c r="C39" s="31" t="n">
        <v>0</v>
      </c>
      <c r="D39" s="27" t="n">
        <f aca="false">D20</f>
        <v>0</v>
      </c>
      <c r="E39" s="27" t="n">
        <f aca="false">E20</f>
        <v>0</v>
      </c>
      <c r="F39" s="27" t="n">
        <f aca="false">F20</f>
        <v>0</v>
      </c>
      <c r="G39" s="27" t="n">
        <f aca="false">G20</f>
        <v>0</v>
      </c>
      <c r="H39" s="27" t="n">
        <f aca="false">H20</f>
        <v>0</v>
      </c>
      <c r="I39" s="27" t="n">
        <f aca="false">I20</f>
        <v>0</v>
      </c>
      <c r="J39" s="27" t="n">
        <f aca="false">J20</f>
        <v>0</v>
      </c>
      <c r="K39" s="27" t="n">
        <f aca="false">K20</f>
        <v>110777.622431513</v>
      </c>
    </row>
    <row r="40" customFormat="false" ht="15" hidden="false" customHeight="false" outlineLevel="0" collapsed="false">
      <c r="A40" s="32" t="s">
        <v>506</v>
      </c>
      <c r="B40" s="33"/>
      <c r="C40" s="34" t="n">
        <f aca="false">C38+C39</f>
        <v>-138947.5801</v>
      </c>
      <c r="D40" s="34" t="n">
        <f aca="false">D38+D39</f>
        <v>9432.13970000002</v>
      </c>
      <c r="E40" s="34" t="n">
        <f aca="false">E38+E39</f>
        <v>-10876.6570554</v>
      </c>
      <c r="F40" s="34" t="n">
        <f aca="false">F38+F39</f>
        <v>-5465.3738878566</v>
      </c>
      <c r="G40" s="34" t="n">
        <f aca="false">G38+G39</f>
        <v>-703.81219984751</v>
      </c>
      <c r="H40" s="34" t="n">
        <f aca="false">H38+H39</f>
        <v>1185.09657632609</v>
      </c>
      <c r="I40" s="34" t="n">
        <f aca="false">I38+I39</f>
        <v>24208.8984194359</v>
      </c>
      <c r="J40" s="34" t="n">
        <f aca="false">J38+J39</f>
        <v>25407.8978264562</v>
      </c>
      <c r="K40" s="34" t="n">
        <f aca="false">K38+K39</f>
        <v>138985.710886587</v>
      </c>
    </row>
    <row r="41" customFormat="false" ht="15" hidden="false" customHeight="false" outlineLevel="0" collapsed="false">
      <c r="A41" s="9" t="s">
        <v>499</v>
      </c>
      <c r="C41" s="27" t="n">
        <f aca="false">C38</f>
        <v>-138947.5801</v>
      </c>
      <c r="D41" s="27" t="n">
        <f aca="false">C41+D38</f>
        <v>-129515.4404</v>
      </c>
      <c r="E41" s="27" t="n">
        <f aca="false">D41+E38</f>
        <v>-140392.0974554</v>
      </c>
      <c r="F41" s="27" t="n">
        <f aca="false">E41+F38</f>
        <v>-145857.471343257</v>
      </c>
      <c r="G41" s="27" t="n">
        <f aca="false">F41+G38</f>
        <v>-146561.283543104</v>
      </c>
      <c r="H41" s="27" t="n">
        <f aca="false">G41+H38</f>
        <v>-145376.186966778</v>
      </c>
      <c r="I41" s="27" t="n">
        <f aca="false">H41+I38</f>
        <v>-121167.288547342</v>
      </c>
      <c r="J41" s="27" t="n">
        <f aca="false">I41+J38</f>
        <v>-95759.390720886</v>
      </c>
      <c r="K41" s="27" t="n">
        <f aca="false">J41+K38</f>
        <v>-67551.3022658122</v>
      </c>
    </row>
    <row r="42" customFormat="false" ht="15" hidden="false" customHeight="false" outlineLevel="0" collapsed="false">
      <c r="A42" s="9" t="s">
        <v>500</v>
      </c>
      <c r="D42" s="42" t="str">
        <f aca="false">IF(AND(D41&gt;=0,C41&lt;0),C$4+(-C41)/D38,"")</f>
        <v/>
      </c>
      <c r="E42" s="42" t="str">
        <f aca="false">IF(AND(E41&gt;=0,D41&lt;0),D$4+(-D41)/E38,"")</f>
        <v/>
      </c>
      <c r="F42" s="42" t="str">
        <f aca="false">IF(AND(F41&gt;=0,E41&lt;0),E$4+(-E41)/F38,"")</f>
        <v/>
      </c>
      <c r="G42" s="42" t="str">
        <f aca="false">IF(AND(G41&gt;=0,F41&lt;0),F$4+(-F41)/G38,"")</f>
        <v/>
      </c>
      <c r="H42" s="42" t="str">
        <f aca="false">IF(AND(H41&gt;=0,G41&lt;0),G$4+(-G41)/H38,"")</f>
        <v/>
      </c>
      <c r="I42" s="42" t="str">
        <f aca="false">IF(AND(I41&gt;=0,H41&lt;0),H$4+(-H41)/I38,"")</f>
        <v/>
      </c>
      <c r="J42" s="42" t="str">
        <f aca="false">IF(AND(J41&gt;=0,I41&lt;0),I$4+(-I41)/J38,"")</f>
        <v/>
      </c>
      <c r="K42" s="42" t="str">
        <f aca="false">IF(AND(K41&gt;=0,J41&lt;0),J$4+(-J41)/K38,"")</f>
        <v/>
      </c>
    </row>
    <row r="43" customFormat="false" ht="15" hidden="false" customHeight="false" outlineLevel="0" collapsed="false">
      <c r="A43" s="3" t="s">
        <v>507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customFormat="false" ht="15" hidden="false" customHeight="false" outlineLevel="0" collapsed="false">
      <c r="A44" s="9" t="s">
        <v>508</v>
      </c>
      <c r="D44" s="44" t="n">
        <f aca="false">IF(D11&gt;0,(D22+D35)/D11,"n/a")</f>
        <v>1.89629132647631</v>
      </c>
      <c r="E44" s="44" t="n">
        <f aca="false">IF(E11&gt;0,(E22+E35)/E11,"n/a")</f>
        <v>0.635426659482759</v>
      </c>
      <c r="F44" s="44" t="n">
        <f aca="false">IF(F11&gt;0,(F22+F35)/F11,"n/a")</f>
        <v>0.824173761090403</v>
      </c>
      <c r="G44" s="44" t="n">
        <f aca="false">IF(G11&gt;0,(G22+G35)/G11,"n/a")</f>
        <v>0.991032602861361</v>
      </c>
      <c r="H44" s="44" t="n">
        <f aca="false">IF(H11&gt;0,(H22+H35)/H11,"n/a")</f>
        <v>1.08449443172055</v>
      </c>
      <c r="I44" s="44" t="str">
        <f aca="false">IF(I11&gt;0,(I22+I35)/I11,"n/a")</f>
        <v>n/a</v>
      </c>
      <c r="J44" s="44" t="str">
        <f aca="false">IF(J11&gt;0,(J22+J35)/J11,"n/a")</f>
        <v>n/a</v>
      </c>
      <c r="K44" s="44" t="str">
        <f aca="false">IF(K11&gt;0,(K22+K35)/K11,"n/a")</f>
        <v>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"/>
    <col collapsed="false" customWidth="true" hidden="false" outlineLevel="0" max="5" min="3" style="0" width="16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509</v>
      </c>
    </row>
    <row r="2" customFormat="false" ht="15" hidden="false" customHeight="false" outlineLevel="0" collapsed="false">
      <c r="A2" s="2" t="s">
        <v>510</v>
      </c>
    </row>
    <row r="4" customFormat="false" ht="15" hidden="false" customHeight="false" outlineLevel="0" collapsed="false">
      <c r="A4" s="3" t="s">
        <v>511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9" t="s">
        <v>512</v>
      </c>
      <c r="C5" s="26" t="n">
        <f aca="false">Capex!$F$37</f>
        <v>187920</v>
      </c>
    </row>
    <row r="6" customFormat="false" ht="15" hidden="false" customHeight="false" outlineLevel="0" collapsed="false">
      <c r="A6" s="9" t="s">
        <v>89</v>
      </c>
      <c r="C6" s="26" t="n">
        <f aca="false">CashFlow!C14</f>
        <v>26195.5801</v>
      </c>
    </row>
    <row r="7" customFormat="false" ht="15" hidden="false" customHeight="false" outlineLevel="0" collapsed="false">
      <c r="A7" s="5" t="s">
        <v>513</v>
      </c>
      <c r="C7" s="36" t="n">
        <f aca="false">C5+C6</f>
        <v>214115.5801</v>
      </c>
    </row>
    <row r="8" customFormat="false" ht="15" hidden="false" customHeight="false" outlineLevel="0" collapsed="false">
      <c r="A8" s="9" t="s">
        <v>514</v>
      </c>
      <c r="C8" s="26" t="n">
        <f aca="false">CashFlow!C7</f>
        <v>75168</v>
      </c>
    </row>
    <row r="9" customFormat="false" ht="15" hidden="false" customHeight="false" outlineLevel="0" collapsed="false">
      <c r="A9" s="9" t="s">
        <v>515</v>
      </c>
      <c r="C9" s="27" t="n">
        <f aca="false">C7-C8</f>
        <v>138947.5801</v>
      </c>
    </row>
    <row r="10" customFormat="false" ht="15" hidden="false" customHeight="false" outlineLevel="0" collapsed="false">
      <c r="A10" s="9" t="s">
        <v>516</v>
      </c>
      <c r="C10" s="29" t="n">
        <f aca="false">Capex!$G$41</f>
        <v>0.396498510004257</v>
      </c>
    </row>
    <row r="11" customFormat="false" ht="15" hidden="false" customHeight="false" outlineLevel="0" collapsed="false">
      <c r="A11" s="9" t="s">
        <v>517</v>
      </c>
      <c r="C11" s="27" t="n">
        <f aca="false">IF(Herd!C33&gt;0,C7/Herd!C33,0)</f>
        <v>3058.79400142857</v>
      </c>
    </row>
    <row r="13" customFormat="false" ht="15" hidden="false" customHeight="false" outlineLevel="0" collapsed="false">
      <c r="A13" s="3" t="s">
        <v>518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5" t="s">
        <v>519</v>
      </c>
      <c r="C14" s="25" t="n">
        <f aca="false">IFERROR(IRR(CashFlow!$C$28:$K$28),"n/a")</f>
        <v>0.0534378879242361</v>
      </c>
      <c r="D14" s="45" t="str">
        <f aca="false">IF(ISNUMBER(C14),IF(C14&gt;=Assumptions!$C$8,"above hurdle rate","below hurdle rate"),"")</f>
        <v>below hurdle rate</v>
      </c>
    </row>
    <row r="15" customFormat="false" ht="15" hidden="false" customHeight="false" outlineLevel="0" collapsed="false">
      <c r="A15" s="9" t="s">
        <v>520</v>
      </c>
      <c r="C15" s="35" t="n">
        <f aca="false">IFERROR(IRR(CashFlow!$C$26:$K$26),"n/a")</f>
        <v>-0.0349303388452234</v>
      </c>
    </row>
    <row r="16" customFormat="false" ht="15" hidden="false" customHeight="false" outlineLevel="0" collapsed="false">
      <c r="A16" s="5" t="s">
        <v>521</v>
      </c>
      <c r="C16" s="36" t="n">
        <f aca="false">NPV(Assumptions!$C$8,CashFlow!$D$28:$K$28)+CashFlow!$C$28</f>
        <v>-61417.8014158828</v>
      </c>
    </row>
    <row r="17" customFormat="false" ht="15" hidden="false" customHeight="false" outlineLevel="0" collapsed="false">
      <c r="A17" s="5" t="s">
        <v>522</v>
      </c>
      <c r="C17" s="25" t="n">
        <f aca="false">IFERROR(IRR(CashFlow!$C$40:$K$40),"n/a")</f>
        <v>0.0356530315050613</v>
      </c>
    </row>
    <row r="18" customFormat="false" ht="15" hidden="false" customHeight="false" outlineLevel="0" collapsed="false">
      <c r="A18" s="9" t="s">
        <v>523</v>
      </c>
      <c r="C18" s="27" t="n">
        <f aca="false">NPV(Assumptions!$C$8,CashFlow!$D$40:$K$40)+CashFlow!$C$40</f>
        <v>-62969.5845925383</v>
      </c>
    </row>
    <row r="19" customFormat="false" ht="15" hidden="false" customHeight="false" outlineLevel="0" collapsed="false">
      <c r="A19" s="9" t="s">
        <v>524</v>
      </c>
      <c r="C19" s="30" t="str">
        <f aca="false">IF(COUNT(CashFlow!$D$30:$K$30)=0,"beyond Year 8",MIN(CashFlow!$D$30:$K$30))</f>
        <v>beyond Year 8</v>
      </c>
    </row>
    <row r="20" customFormat="false" ht="15" hidden="false" customHeight="false" outlineLevel="0" collapsed="false">
      <c r="A20" s="9" t="s">
        <v>525</v>
      </c>
      <c r="C20" s="30" t="str">
        <f aca="false">IF(COUNT(CashFlow!$D$42:$K$42)=0,"beyond Year 8",MIN(CashFlow!$D$42:$K$42))</f>
        <v>beyond Year 8</v>
      </c>
    </row>
    <row r="21" customFormat="false" ht="15" hidden="false" customHeight="false" outlineLevel="0" collapsed="false">
      <c r="A21" s="9" t="s">
        <v>526</v>
      </c>
      <c r="C21" s="27" t="n">
        <f aca="false">SUM(PnL!$D$16:$K$16)</f>
        <v>32587.9302476863</v>
      </c>
    </row>
    <row r="22" customFormat="false" ht="15" hidden="false" customHeight="false" outlineLevel="0" collapsed="false">
      <c r="A22" s="9" t="s">
        <v>527</v>
      </c>
      <c r="C22" s="35" t="n">
        <f aca="false">IF(C9&gt;0,AVERAGE(PnL!$D$16:$K$16)/C9,0)</f>
        <v>0.0293167486474331</v>
      </c>
    </row>
    <row r="23" customFormat="false" ht="15" hidden="false" customHeight="false" outlineLevel="0" collapsed="false">
      <c r="A23" s="9" t="s">
        <v>528</v>
      </c>
      <c r="C23" s="44" t="n">
        <f aca="false">IFERROR(MIN(CashFlow!$D$44:$K$44),"n/a")</f>
        <v>0.635426659482759</v>
      </c>
    </row>
    <row r="24" customFormat="false" ht="15" hidden="false" customHeight="false" outlineLevel="0" collapsed="false">
      <c r="A24" s="9" t="s">
        <v>529</v>
      </c>
      <c r="C24" s="35" t="n">
        <f aca="false">MAX(Herd!$D$38:$K$38)</f>
        <v>0.97975988343175</v>
      </c>
      <c r="D24" s="45" t="str">
        <f aca="false">IF(C24&gt;1,"WARNING: herd exceeds land capacity","within land capacity")</f>
        <v>within land capacity</v>
      </c>
    </row>
    <row r="26" customFormat="false" ht="15" hidden="false" customHeight="false" outlineLevel="0" collapsed="false">
      <c r="A26" s="3" t="s">
        <v>530</v>
      </c>
      <c r="B26" s="4"/>
      <c r="C26" s="4"/>
      <c r="D26" s="4"/>
      <c r="E26" s="4"/>
      <c r="F26" s="4"/>
    </row>
    <row r="27" customFormat="false" ht="15" hidden="false" customHeight="false" outlineLevel="0" collapsed="false">
      <c r="A27" s="5" t="s">
        <v>531</v>
      </c>
      <c r="C27" s="21" t="n">
        <v>5</v>
      </c>
    </row>
    <row r="28" customFormat="false" ht="15" hidden="false" customHeight="false" outlineLevel="0" collapsed="false">
      <c r="A28" s="9" t="s">
        <v>31</v>
      </c>
      <c r="C28" s="27" t="n">
        <f aca="false">INDEX(PnL!$C$6:$K$6,1,$C$27+1)</f>
        <v>127061.912602536</v>
      </c>
    </row>
    <row r="29" customFormat="false" ht="15" hidden="false" customHeight="false" outlineLevel="0" collapsed="false">
      <c r="A29" s="9" t="s">
        <v>452</v>
      </c>
      <c r="C29" s="27" t="n">
        <f aca="false">INDEX(PnL!$C$7:$K$7,1,$C$27+1)</f>
        <v>102864.984081203</v>
      </c>
    </row>
    <row r="30" customFormat="false" ht="15" hidden="false" customHeight="false" outlineLevel="0" collapsed="false">
      <c r="A30" s="9" t="s">
        <v>453</v>
      </c>
      <c r="C30" s="27" t="n">
        <f aca="false">INDEX(PnL!$C$8:$K$8,1,$C$27+1)</f>
        <v>24196.928521333</v>
      </c>
    </row>
    <row r="31" customFormat="false" ht="15" hidden="false" customHeight="false" outlineLevel="0" collapsed="false">
      <c r="A31" s="9" t="s">
        <v>454</v>
      </c>
      <c r="C31" s="35" t="n">
        <f aca="false">IF(C28&gt;0,C30/C28,0)</f>
        <v>0.190434159424498</v>
      </c>
    </row>
    <row r="32" customFormat="false" ht="15" hidden="false" customHeight="false" outlineLevel="0" collapsed="false">
      <c r="A32" s="9" t="s">
        <v>532</v>
      </c>
      <c r="C32" s="27" t="n">
        <f aca="false">INDEX(PnL!$C$16:$K$16,1,$C$27+1)</f>
        <v>3855.73779966149</v>
      </c>
    </row>
    <row r="33" customFormat="false" ht="15" hidden="false" customHeight="false" outlineLevel="0" collapsed="false">
      <c r="A33" s="9" t="s">
        <v>533</v>
      </c>
      <c r="C33" s="30" t="n">
        <f aca="false">INDEX(Herd!$C$33:$K$33,1,$C$27+1)</f>
        <v>76.3540499</v>
      </c>
    </row>
    <row r="34" customFormat="false" ht="15" hidden="false" customHeight="false" outlineLevel="0" collapsed="false">
      <c r="A34" s="9" t="s">
        <v>534</v>
      </c>
      <c r="C34" s="27" t="n">
        <f aca="false">INDEX(Herd!$C$18:$K$18,1,$C$27+1)</f>
        <v>125402.29639</v>
      </c>
    </row>
    <row r="35" customFormat="false" ht="15" hidden="false" customHeight="false" outlineLevel="0" collapsed="false">
      <c r="A35" s="9" t="s">
        <v>535</v>
      </c>
      <c r="C35" s="35" t="n">
        <f aca="false">INDEX(Opex!$C$44:$K$44,1,$C$27+1)</f>
        <v>0.424177253994628</v>
      </c>
    </row>
    <row r="36" customFormat="false" ht="15" hidden="false" customHeight="false" outlineLevel="0" collapsed="false">
      <c r="A36" s="9" t="s">
        <v>536</v>
      </c>
      <c r="C36" s="27" t="n">
        <f aca="false">INDEX(PnL!$C$22:$K$22,1,$C$27+1)</f>
        <v>1498.26042673659</v>
      </c>
    </row>
    <row r="37" customFormat="false" ht="15" hidden="false" customHeight="false" outlineLevel="0" collapsed="false">
      <c r="A37" s="9" t="s">
        <v>537</v>
      </c>
      <c r="C37" s="27" t="n">
        <f aca="false">INDEX(PnL!$C$26:$K$26,1,$C$27+1)</f>
        <v>140.740830482858</v>
      </c>
    </row>
    <row r="38" customFormat="false" ht="15" hidden="false" customHeight="false" outlineLevel="0" collapsed="false">
      <c r="A38" s="9" t="s">
        <v>538</v>
      </c>
      <c r="C38" s="42" t="n">
        <f aca="false">IF(C34&gt;0,INDEX(PnL!$C$20:$K$20,1,$C$27+1)/C34,0)</f>
        <v>0.406292642777616</v>
      </c>
    </row>
    <row r="40" customFormat="false" ht="15" hidden="false" customHeight="false" outlineLevel="0" collapsed="false">
      <c r="A40" s="3" t="s">
        <v>539</v>
      </c>
      <c r="B40" s="4"/>
      <c r="C40" s="4"/>
      <c r="D40" s="4"/>
      <c r="E40" s="4"/>
      <c r="F40" s="4"/>
    </row>
    <row r="41" customFormat="false" ht="15" hidden="false" customHeight="false" outlineLevel="0" collapsed="false">
      <c r="C41" s="46" t="s">
        <v>540</v>
      </c>
      <c r="D41" s="46" t="s">
        <v>541</v>
      </c>
      <c r="E41" s="46" t="s">
        <v>542</v>
      </c>
    </row>
    <row r="42" customFormat="false" ht="15" hidden="false" customHeight="false" outlineLevel="0" collapsed="false">
      <c r="A42" s="9" t="s">
        <v>543</v>
      </c>
      <c r="C42" s="42" t="n">
        <f aca="false">IF((INDEX(Herd!$C$18:$K$18,1,$C$27+1)*((1-Assumptions!$C$59)+Assumptions!$C$59*Assumptions!$C$60)*Scenarios!$F$6*INDEX(Revenue!$C$6:$K$6,1,$C$27+1))&gt;0,(INDEX(PnL!$C$7:$K$7,1,$C$27+1)-(INDEX(Revenue!$C$23:$K$23,1,$C$27+1)-INDEX(Revenue!$C$10:$K$10,1,$C$27+1)-INDEX(Revenue!$C$11:$K$11,1,$C$27+1)))/(INDEX(Herd!$C$18:$K$18,1,$C$27+1)*((1-Assumptions!$C$59)+Assumptions!$C$59*Assumptions!$C$60)*Scenarios!$F$6*INDEX(Revenue!$C$6:$K$6,1,$C$27+1)),0)</f>
        <v>0.45826420854316</v>
      </c>
      <c r="D42" s="42" t="n">
        <f aca="false">IF((INDEX(Herd!$C$18:$K$18,1,$C$27+1)*((1-Assumptions!$C$59)+Assumptions!$C$59*Assumptions!$C$60)*Scenarios!$F$6*INDEX(Revenue!$C$6:$K$6,1,$C$27+1))&gt;0,(INDEX(PnL!$C$7:$K$7,1,$C$27+1)+INDEX(PnL!$C$10:$K$10,1,$C$27+1)+INDEX(PnL!$C$11:$K$11,1,$C$27+1)+INDEX(PnL!$C$13:$K$13,1,$C$27+1)-(INDEX(Revenue!$C$23:$K$23,1,$C$27+1)-INDEX(Revenue!$C$10:$K$10,1,$C$27+1)-INDEX(Revenue!$C$11:$K$11,1,$C$27+1)))/(INDEX(Herd!$C$18:$K$18,1,$C$27+1)*((1-Assumptions!$C$59)+Assumptions!$C$59*Assumptions!$C$60)*Scenarios!$F$6*INDEX(Revenue!$C$6:$K$6,1,$C$27+1)),0)</f>
        <v>0.571768315129167</v>
      </c>
      <c r="E42" s="42" t="n">
        <f aca="false">Assumptions!$C$58*Scenarios!$F$6</f>
        <v>0.6</v>
      </c>
    </row>
    <row r="43" customFormat="false" ht="15" hidden="false" customHeight="false" outlineLevel="0" collapsed="false">
      <c r="A43" s="9" t="s">
        <v>544</v>
      </c>
      <c r="C43" s="42" t="n">
        <f aca="false">IF((INDEX(Herd!$C$31:$K$31,1,$C$27+1)*Scenarios!$F$7*INDEX(Revenue!$C$7:$K$7,1,$C$27+1))&gt;0,(INDEX(PnL!$C$7:$K$7,1,$C$27+1)-(INDEX(Revenue!$C$23:$K$23,1,$C$27+1)-INDEX(Revenue!$C$17:$K$17,1,$C$27+1)))/(INDEX(Herd!$C$31:$K$31,1,$C$27+1)*Scenarios!$F$7*INDEX(Revenue!$C$7:$K$7,1,$C$27+1)),0)</f>
        <v>-4.62944413200627</v>
      </c>
      <c r="D43" s="42" t="n">
        <f aca="false">IF((INDEX(Herd!$C$31:$K$31,1,$C$27+1)*Scenarios!$F$7*INDEX(Revenue!$C$7:$K$7,1,$C$27+1))&gt;0,(INDEX(PnL!$C$7:$K$7,1,$C$27+1)+INDEX(PnL!$C$10:$K$10,1,$C$27+1)+INDEX(PnL!$C$11:$K$11,1,$C$27+1)+INDEX(PnL!$C$13:$K$13,1,$C$27+1)-(INDEX(Revenue!$C$23:$K$23,1,$C$27+1)-INDEX(Revenue!$C$17:$K$17,1,$C$27+1)))/(INDEX(Herd!$C$31:$K$31,1,$C$27+1)*Scenarios!$F$7*INDEX(Revenue!$C$7:$K$7,1,$C$27+1)),0)</f>
        <v>0.999838124780513</v>
      </c>
      <c r="E43" s="42" t="n">
        <f aca="false">Assumptions!$C$54*Scenarios!$F$7</f>
        <v>2.4</v>
      </c>
    </row>
    <row r="44" customFormat="false" ht="15" hidden="false" customHeight="false" outlineLevel="0" collapsed="false">
      <c r="A44" s="2" t="s">
        <v>545</v>
      </c>
    </row>
    <row r="46" customFormat="false" ht="15" hidden="false" customHeight="false" outlineLevel="0" collapsed="false">
      <c r="A46" s="3" t="s">
        <v>546</v>
      </c>
      <c r="B46" s="4"/>
      <c r="C46" s="4"/>
      <c r="D46" s="4"/>
      <c r="E46" s="4"/>
      <c r="F46" s="4"/>
    </row>
    <row r="47" customFormat="false" ht="15" hidden="false" customHeight="false" outlineLevel="0" collapsed="false">
      <c r="A47" s="7" t="s">
        <v>547</v>
      </c>
      <c r="B47" s="8"/>
      <c r="C47" s="8" t="s">
        <v>272</v>
      </c>
      <c r="D47" s="8" t="s">
        <v>273</v>
      </c>
      <c r="E47" s="8" t="s">
        <v>274</v>
      </c>
    </row>
    <row r="48" customFormat="false" ht="15" hidden="false" customHeight="false" outlineLevel="0" collapsed="false">
      <c r="A48" s="9" t="s">
        <v>519</v>
      </c>
      <c r="C48" s="13" t="n">
        <v>0.0534378879242361</v>
      </c>
      <c r="D48" s="13" t="s">
        <v>548</v>
      </c>
      <c r="E48" s="13" t="n">
        <v>0.173393767373331</v>
      </c>
    </row>
    <row r="49" customFormat="false" ht="15" hidden="false" customHeight="false" outlineLevel="0" collapsed="false">
      <c r="A49" s="9" t="s">
        <v>549</v>
      </c>
      <c r="C49" s="13" t="n">
        <v>0.0356530315050613</v>
      </c>
      <c r="D49" s="13" t="s">
        <v>548</v>
      </c>
      <c r="E49" s="13" t="n">
        <v>0.190030954160176</v>
      </c>
    </row>
    <row r="50" customFormat="false" ht="15" hidden="false" customHeight="false" outlineLevel="0" collapsed="false">
      <c r="A50" s="9" t="s">
        <v>550</v>
      </c>
      <c r="C50" s="17" t="n">
        <v>-61417.8014158828</v>
      </c>
      <c r="D50" s="17" t="n">
        <v>-261570.011656428</v>
      </c>
      <c r="E50" s="17" t="n">
        <v>55015.9213065627</v>
      </c>
    </row>
    <row r="51" customFormat="false" ht="15" hidden="false" customHeight="false" outlineLevel="0" collapsed="false">
      <c r="A51" s="9" t="s">
        <v>551</v>
      </c>
      <c r="C51" s="17" t="n">
        <v>127061.912602536</v>
      </c>
      <c r="D51" s="17" t="n">
        <v>77735.039932911</v>
      </c>
      <c r="E51" s="17" t="n">
        <v>165986.73318537</v>
      </c>
    </row>
    <row r="52" customFormat="false" ht="15" hidden="false" customHeight="false" outlineLevel="0" collapsed="false">
      <c r="A52" s="9" t="s">
        <v>552</v>
      </c>
      <c r="C52" s="17" t="n">
        <v>24196.928521333</v>
      </c>
      <c r="D52" s="17" t="n">
        <v>-17966.583122701</v>
      </c>
      <c r="E52" s="17" t="n">
        <v>56245.3346186362</v>
      </c>
    </row>
    <row r="53" customFormat="false" ht="15" hidden="false" customHeight="false" outlineLevel="0" collapsed="false">
      <c r="A53" s="9" t="s">
        <v>553</v>
      </c>
      <c r="C53" s="17" t="n">
        <v>3855.73779966149</v>
      </c>
      <c r="D53" s="17" t="n">
        <v>-37214.283122701</v>
      </c>
      <c r="E53" s="17" t="n">
        <v>29423.0629205748</v>
      </c>
    </row>
    <row r="54" customFormat="false" ht="15" hidden="false" customHeight="false" outlineLevel="0" collapsed="false">
      <c r="A54" s="9" t="s">
        <v>554</v>
      </c>
      <c r="C54" s="20" t="s">
        <v>555</v>
      </c>
      <c r="D54" s="20" t="s">
        <v>555</v>
      </c>
      <c r="E54" s="20" t="n">
        <v>5.85089703816331</v>
      </c>
    </row>
    <row r="55" customFormat="false" ht="15" hidden="false" customHeight="false" outlineLevel="0" collapsed="false">
      <c r="A55" s="9" t="s">
        <v>556</v>
      </c>
      <c r="C55" s="17" t="n">
        <v>22039.640219</v>
      </c>
      <c r="D55" s="17" t="n">
        <v>4376.031624</v>
      </c>
      <c r="E55" s="17" t="n">
        <v>25785.10521432</v>
      </c>
    </row>
    <row r="56" customFormat="false" ht="15" hidden="false" customHeight="false" outlineLevel="0" collapsed="false">
      <c r="A56" s="2" t="s">
        <v>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5" min="3" style="0" width="11"/>
  </cols>
  <sheetData>
    <row r="1" customFormat="false" ht="17.35" hidden="false" customHeight="false" outlineLevel="0" collapsed="false">
      <c r="A1" s="1" t="s">
        <v>558</v>
      </c>
    </row>
    <row r="2" customFormat="false" ht="15" hidden="false" customHeight="false" outlineLevel="0" collapsed="false">
      <c r="A2" s="2" t="s">
        <v>559</v>
      </c>
    </row>
    <row r="4" customFormat="false" ht="15" hidden="false" customHeight="false" outlineLevel="0" collapsed="false">
      <c r="A4" s="7" t="s">
        <v>560</v>
      </c>
      <c r="B4" s="8" t="s">
        <v>561</v>
      </c>
      <c r="C4" s="8" t="s">
        <v>562</v>
      </c>
      <c r="D4" s="8" t="s">
        <v>563</v>
      </c>
      <c r="E4" s="8" t="s">
        <v>564</v>
      </c>
      <c r="F4" s="8" t="s">
        <v>565</v>
      </c>
      <c r="G4" s="8" t="s">
        <v>566</v>
      </c>
      <c r="H4" s="8" t="s">
        <v>567</v>
      </c>
      <c r="I4" s="8" t="s">
        <v>568</v>
      </c>
      <c r="J4" s="8" t="s">
        <v>569</v>
      </c>
      <c r="K4" s="8" t="s">
        <v>570</v>
      </c>
      <c r="L4" s="8" t="s">
        <v>571</v>
      </c>
      <c r="M4" s="8" t="s">
        <v>572</v>
      </c>
      <c r="N4" s="8" t="s">
        <v>573</v>
      </c>
      <c r="O4" s="8" t="s">
        <v>574</v>
      </c>
    </row>
    <row r="5" customFormat="false" ht="15" hidden="false" customHeight="false" outlineLevel="0" collapsed="false">
      <c r="A5" s="3" t="s">
        <v>575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15" hidden="false" customHeight="false" outlineLevel="0" collapsed="false">
      <c r="A6" s="9" t="s">
        <v>576</v>
      </c>
      <c r="B6" s="9" t="s">
        <v>577</v>
      </c>
      <c r="C6" s="13" t="n">
        <v>0.075</v>
      </c>
      <c r="D6" s="13" t="n">
        <v>0.075</v>
      </c>
      <c r="E6" s="13" t="n">
        <v>0.08</v>
      </c>
      <c r="F6" s="13" t="n">
        <v>0.085</v>
      </c>
      <c r="G6" s="13" t="n">
        <v>0.09</v>
      </c>
      <c r="H6" s="13" t="n">
        <v>0.09</v>
      </c>
      <c r="I6" s="13" t="n">
        <v>0.09</v>
      </c>
      <c r="J6" s="13" t="n">
        <v>0.09</v>
      </c>
      <c r="K6" s="13" t="n">
        <v>0.085</v>
      </c>
      <c r="L6" s="13" t="n">
        <v>0.08</v>
      </c>
      <c r="M6" s="13" t="n">
        <v>0.08</v>
      </c>
      <c r="N6" s="13" t="n">
        <v>0.08</v>
      </c>
      <c r="O6" s="35" t="n">
        <f aca="false">SUM(C6:N6)</f>
        <v>1</v>
      </c>
    </row>
    <row r="7" customFormat="false" ht="15" hidden="false" customHeight="false" outlineLevel="0" collapsed="false">
      <c r="A7" s="9" t="s">
        <v>578</v>
      </c>
      <c r="B7" s="9" t="s">
        <v>577</v>
      </c>
      <c r="C7" s="13" t="n">
        <v>0</v>
      </c>
      <c r="D7" s="13" t="n">
        <v>0</v>
      </c>
      <c r="E7" s="13" t="n">
        <v>0.05</v>
      </c>
      <c r="F7" s="13" t="n">
        <v>0.05</v>
      </c>
      <c r="G7" s="13" t="n">
        <v>0.05</v>
      </c>
      <c r="H7" s="13" t="n">
        <v>0.1</v>
      </c>
      <c r="I7" s="13" t="n">
        <v>0.1</v>
      </c>
      <c r="J7" s="13" t="n">
        <v>0.1</v>
      </c>
      <c r="K7" s="13" t="n">
        <v>0.15</v>
      </c>
      <c r="L7" s="13" t="n">
        <v>0.15</v>
      </c>
      <c r="M7" s="13" t="n">
        <v>0.15</v>
      </c>
      <c r="N7" s="13" t="n">
        <v>0.1</v>
      </c>
      <c r="O7" s="35" t="n">
        <f aca="false">SUM(C7:N7)</f>
        <v>1</v>
      </c>
    </row>
    <row r="8" customFormat="false" ht="15" hidden="false" customHeight="false" outlineLevel="0" collapsed="false">
      <c r="A8" s="9" t="s">
        <v>579</v>
      </c>
      <c r="B8" s="9" t="s">
        <v>577</v>
      </c>
      <c r="C8" s="13" t="n">
        <v>0.09</v>
      </c>
      <c r="D8" s="13" t="n">
        <v>0.09</v>
      </c>
      <c r="E8" s="13" t="n">
        <v>0.09</v>
      </c>
      <c r="F8" s="13" t="n">
        <v>0.08</v>
      </c>
      <c r="G8" s="13" t="n">
        <v>0.07</v>
      </c>
      <c r="H8" s="13" t="n">
        <v>0.07</v>
      </c>
      <c r="I8" s="13" t="n">
        <v>0.07</v>
      </c>
      <c r="J8" s="13" t="n">
        <v>0.08</v>
      </c>
      <c r="K8" s="13" t="n">
        <v>0.08</v>
      </c>
      <c r="L8" s="13" t="n">
        <v>0.08</v>
      </c>
      <c r="M8" s="13" t="n">
        <v>0.1</v>
      </c>
      <c r="N8" s="13" t="n">
        <v>0.1</v>
      </c>
      <c r="O8" s="35" t="n">
        <f aca="false">SUM(C8:N8)</f>
        <v>1</v>
      </c>
    </row>
    <row r="10" customFormat="false" ht="15" hidden="false" customHeight="false" outlineLevel="0" collapsed="false">
      <c r="A10" s="3" t="s">
        <v>580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customFormat="false" ht="15" hidden="false" customHeight="false" outlineLevel="0" collapsed="false">
      <c r="A11" s="9" t="s">
        <v>581</v>
      </c>
      <c r="C11" s="27" t="n">
        <f aca="false">(Revenue!D10+Revenue!D11)*C6</f>
        <v>5997.6</v>
      </c>
      <c r="D11" s="27" t="n">
        <f aca="false">(Revenue!D10+Revenue!D11)*D6</f>
        <v>5997.6</v>
      </c>
      <c r="E11" s="27" t="n">
        <f aca="false">(Revenue!D10+Revenue!D11)*E6</f>
        <v>6397.44</v>
      </c>
      <c r="F11" s="27" t="n">
        <f aca="false">(Revenue!D10+Revenue!D11)*F6</f>
        <v>6797.28</v>
      </c>
      <c r="G11" s="27" t="n">
        <f aca="false">(Revenue!D10+Revenue!D11)*G6</f>
        <v>7197.12</v>
      </c>
      <c r="H11" s="27" t="n">
        <f aca="false">(Revenue!D10+Revenue!D11)*H6</f>
        <v>7197.12</v>
      </c>
      <c r="I11" s="27" t="n">
        <f aca="false">(Revenue!D10+Revenue!D11)*I6</f>
        <v>7197.12</v>
      </c>
      <c r="J11" s="27" t="n">
        <f aca="false">(Revenue!D10+Revenue!D11)*J6</f>
        <v>7197.12</v>
      </c>
      <c r="K11" s="27" t="n">
        <f aca="false">(Revenue!D10+Revenue!D11)*K6</f>
        <v>6797.28</v>
      </c>
      <c r="L11" s="27" t="n">
        <f aca="false">(Revenue!D10+Revenue!D11)*L6</f>
        <v>6397.44</v>
      </c>
      <c r="M11" s="27" t="n">
        <f aca="false">(Revenue!D10+Revenue!D11)*M6</f>
        <v>6397.44</v>
      </c>
      <c r="N11" s="27" t="n">
        <f aca="false">(Revenue!D10+Revenue!D11)*N6</f>
        <v>6397.44</v>
      </c>
      <c r="O11" s="27" t="n">
        <f aca="false">SUM(C11:N11)</f>
        <v>79968</v>
      </c>
    </row>
    <row r="12" customFormat="false" ht="15" hidden="false" customHeight="false" outlineLevel="0" collapsed="false">
      <c r="A12" s="9" t="s">
        <v>582</v>
      </c>
      <c r="C12" s="27" t="n">
        <f aca="false">(Revenue!D12+Revenue!D13+Revenue!D14+Revenue!D17+Revenue!D18)*C7</f>
        <v>0</v>
      </c>
      <c r="D12" s="27" t="n">
        <f aca="false">(Revenue!D12+Revenue!D13+Revenue!D14+Revenue!D17+Revenue!D18)*D7</f>
        <v>0</v>
      </c>
      <c r="E12" s="27" t="n">
        <f aca="false">(Revenue!D12+Revenue!D13+Revenue!D14+Revenue!D17+Revenue!D18)*E7</f>
        <v>835.72</v>
      </c>
      <c r="F12" s="27" t="n">
        <f aca="false">(Revenue!D12+Revenue!D13+Revenue!D14+Revenue!D17+Revenue!D18)*F7</f>
        <v>835.72</v>
      </c>
      <c r="G12" s="27" t="n">
        <f aca="false">(Revenue!D12+Revenue!D13+Revenue!D14+Revenue!D17+Revenue!D18)*G7</f>
        <v>835.72</v>
      </c>
      <c r="H12" s="27" t="n">
        <f aca="false">(Revenue!D12+Revenue!D13+Revenue!D14+Revenue!D17+Revenue!D18)*H7</f>
        <v>1671.44</v>
      </c>
      <c r="I12" s="27" t="n">
        <f aca="false">(Revenue!D12+Revenue!D13+Revenue!D14+Revenue!D17+Revenue!D18)*I7</f>
        <v>1671.44</v>
      </c>
      <c r="J12" s="27" t="n">
        <f aca="false">(Revenue!D12+Revenue!D13+Revenue!D14+Revenue!D17+Revenue!D18)*J7</f>
        <v>1671.44</v>
      </c>
      <c r="K12" s="27" t="n">
        <f aca="false">(Revenue!D12+Revenue!D13+Revenue!D14+Revenue!D17+Revenue!D18)*K7</f>
        <v>2507.16</v>
      </c>
      <c r="L12" s="27" t="n">
        <f aca="false">(Revenue!D12+Revenue!D13+Revenue!D14+Revenue!D17+Revenue!D18)*L7</f>
        <v>2507.16</v>
      </c>
      <c r="M12" s="27" t="n">
        <f aca="false">(Revenue!D12+Revenue!D13+Revenue!D14+Revenue!D17+Revenue!D18)*M7</f>
        <v>2507.16</v>
      </c>
      <c r="N12" s="27" t="n">
        <f aca="false">(Revenue!D12+Revenue!D13+Revenue!D14+Revenue!D17+Revenue!D18)*N7</f>
        <v>1671.44</v>
      </c>
      <c r="O12" s="27" t="n">
        <f aca="false">SUM(C12:N12)</f>
        <v>16714.4</v>
      </c>
    </row>
    <row r="13" customFormat="false" ht="15" hidden="false" customHeight="false" outlineLevel="0" collapsed="false">
      <c r="A13" s="9" t="s">
        <v>583</v>
      </c>
      <c r="C13" s="27" t="n">
        <f aca="false">(Revenue!D15+Revenue!D20+Revenue!D21)/12</f>
        <v>155</v>
      </c>
      <c r="D13" s="27" t="n">
        <f aca="false">(Revenue!D15+Revenue!D20+Revenue!D21)/12</f>
        <v>155</v>
      </c>
      <c r="E13" s="27" t="n">
        <f aca="false">(Revenue!D15+Revenue!D20+Revenue!D21)/12</f>
        <v>155</v>
      </c>
      <c r="F13" s="27" t="n">
        <f aca="false">(Revenue!D15+Revenue!D20+Revenue!D21)/12</f>
        <v>155</v>
      </c>
      <c r="G13" s="27" t="n">
        <f aca="false">(Revenue!D15+Revenue!D20+Revenue!D21)/12</f>
        <v>155</v>
      </c>
      <c r="H13" s="27" t="n">
        <f aca="false">(Revenue!D15+Revenue!D20+Revenue!D21)/12</f>
        <v>155</v>
      </c>
      <c r="I13" s="27" t="n">
        <f aca="false">(Revenue!D15+Revenue!D20+Revenue!D21)/12</f>
        <v>155</v>
      </c>
      <c r="J13" s="27" t="n">
        <f aca="false">(Revenue!D15+Revenue!D20+Revenue!D21)/12</f>
        <v>155</v>
      </c>
      <c r="K13" s="27" t="n">
        <f aca="false">(Revenue!D15+Revenue!D20+Revenue!D21)/12</f>
        <v>155</v>
      </c>
      <c r="L13" s="27" t="n">
        <f aca="false">(Revenue!D15+Revenue!D20+Revenue!D21)/12</f>
        <v>155</v>
      </c>
      <c r="M13" s="27" t="n">
        <f aca="false">(Revenue!D15+Revenue!D20+Revenue!D21)/12</f>
        <v>155</v>
      </c>
      <c r="N13" s="27" t="n">
        <f aca="false">(Revenue!D15+Revenue!D20+Revenue!D21)/12</f>
        <v>155</v>
      </c>
      <c r="O13" s="27" t="n">
        <f aca="false">SUM(C13:N13)</f>
        <v>1860</v>
      </c>
    </row>
    <row r="14" customFormat="false" ht="15" hidden="false" customHeight="false" outlineLevel="0" collapsed="false">
      <c r="A14" s="5" t="s">
        <v>584</v>
      </c>
      <c r="C14" s="36" t="n">
        <f aca="false">SUM(C11:C13)</f>
        <v>6152.6</v>
      </c>
      <c r="D14" s="36" t="n">
        <f aca="false">SUM(D11:D13)</f>
        <v>6152.6</v>
      </c>
      <c r="E14" s="36" t="n">
        <f aca="false">SUM(E11:E13)</f>
        <v>7388.16</v>
      </c>
      <c r="F14" s="36" t="n">
        <f aca="false">SUM(F11:F13)</f>
        <v>7788</v>
      </c>
      <c r="G14" s="36" t="n">
        <f aca="false">SUM(G11:G13)</f>
        <v>8187.84</v>
      </c>
      <c r="H14" s="36" t="n">
        <f aca="false">SUM(H11:H13)</f>
        <v>9023.56</v>
      </c>
      <c r="I14" s="36" t="n">
        <f aca="false">SUM(I11:I13)</f>
        <v>9023.56</v>
      </c>
      <c r="J14" s="36" t="n">
        <f aca="false">SUM(J11:J13)</f>
        <v>9023.56</v>
      </c>
      <c r="K14" s="36" t="n">
        <f aca="false">SUM(K11:K13)</f>
        <v>9459.44</v>
      </c>
      <c r="L14" s="36" t="n">
        <f aca="false">SUM(L11:L13)</f>
        <v>9059.6</v>
      </c>
      <c r="M14" s="36" t="n">
        <f aca="false">SUM(M11:M13)</f>
        <v>9059.6</v>
      </c>
      <c r="N14" s="36" t="n">
        <f aca="false">SUM(N11:N13)</f>
        <v>8223.88</v>
      </c>
      <c r="O14" s="36" t="n">
        <f aca="false">SUM(C14:N14)</f>
        <v>98542.4</v>
      </c>
    </row>
    <row r="15" customFormat="false" ht="15" hidden="false" customHeight="false" outlineLevel="0" collapsed="false">
      <c r="A15" s="9" t="s">
        <v>585</v>
      </c>
      <c r="C15" s="27" t="n">
        <f aca="false">Opex!D37*C8</f>
        <v>7072.806627</v>
      </c>
      <c r="D15" s="27" t="n">
        <f aca="false">Opex!D37*D8</f>
        <v>7072.806627</v>
      </c>
      <c r="E15" s="27" t="n">
        <f aca="false">Opex!D37*E8</f>
        <v>7072.806627</v>
      </c>
      <c r="F15" s="27" t="n">
        <f aca="false">Opex!D37*F8</f>
        <v>6286.939224</v>
      </c>
      <c r="G15" s="27" t="n">
        <f aca="false">Opex!D37*G8</f>
        <v>5501.071821</v>
      </c>
      <c r="H15" s="27" t="n">
        <f aca="false">Opex!D37*H8</f>
        <v>5501.071821</v>
      </c>
      <c r="I15" s="27" t="n">
        <f aca="false">Opex!D37*I8</f>
        <v>5501.071821</v>
      </c>
      <c r="J15" s="27" t="n">
        <f aca="false">Opex!D37*J8</f>
        <v>6286.939224</v>
      </c>
      <c r="K15" s="27" t="n">
        <f aca="false">Opex!D37*K8</f>
        <v>6286.939224</v>
      </c>
      <c r="L15" s="27" t="n">
        <f aca="false">Opex!D37*L8</f>
        <v>6286.939224</v>
      </c>
      <c r="M15" s="27" t="n">
        <f aca="false">Opex!D37*M8</f>
        <v>7858.67403</v>
      </c>
      <c r="N15" s="27" t="n">
        <f aca="false">Opex!D37*N8</f>
        <v>7858.67403</v>
      </c>
      <c r="O15" s="27" t="n">
        <f aca="false">SUM(C15:N15)</f>
        <v>78586.7403</v>
      </c>
    </row>
    <row r="16" customFormat="false" ht="15" hidden="false" customHeight="false" outlineLevel="0" collapsed="false">
      <c r="A16" s="9" t="s">
        <v>502</v>
      </c>
      <c r="C16" s="27" t="n">
        <f aca="false">CashFlow!D10/12</f>
        <v>876.96</v>
      </c>
      <c r="D16" s="27" t="n">
        <f aca="false">CashFlow!D10/12</f>
        <v>876.96</v>
      </c>
      <c r="E16" s="27" t="n">
        <f aca="false">CashFlow!D10/12</f>
        <v>876.96</v>
      </c>
      <c r="F16" s="27" t="n">
        <f aca="false">CashFlow!D10/12</f>
        <v>876.96</v>
      </c>
      <c r="G16" s="27" t="n">
        <f aca="false">CashFlow!D10/12</f>
        <v>876.96</v>
      </c>
      <c r="H16" s="27" t="n">
        <f aca="false">CashFlow!D10/12</f>
        <v>876.96</v>
      </c>
      <c r="I16" s="27" t="n">
        <f aca="false">CashFlow!D10/12</f>
        <v>876.96</v>
      </c>
      <c r="J16" s="27" t="n">
        <f aca="false">CashFlow!D10/12</f>
        <v>876.96</v>
      </c>
      <c r="K16" s="27" t="n">
        <f aca="false">CashFlow!D10/12</f>
        <v>876.96</v>
      </c>
      <c r="L16" s="27" t="n">
        <f aca="false">CashFlow!D10/12</f>
        <v>876.96</v>
      </c>
      <c r="M16" s="27" t="n">
        <f aca="false">CashFlow!D10/12</f>
        <v>876.96</v>
      </c>
      <c r="N16" s="27" t="n">
        <f aca="false">CashFlow!D10/12</f>
        <v>876.96</v>
      </c>
      <c r="O16" s="27" t="n">
        <f aca="false">SUM(C16:N16)</f>
        <v>10523.52</v>
      </c>
    </row>
    <row r="17" customFormat="false" ht="15" hidden="false" customHeight="false" outlineLevel="0" collapsed="false">
      <c r="A17" s="9" t="s">
        <v>503</v>
      </c>
      <c r="C17" s="27" t="n">
        <f aca="false">CashFlow!D8/12</f>
        <v>0</v>
      </c>
      <c r="D17" s="27" t="n">
        <f aca="false">CashFlow!D8/12</f>
        <v>0</v>
      </c>
      <c r="E17" s="27" t="n">
        <f aca="false">CashFlow!D8/12</f>
        <v>0</v>
      </c>
      <c r="F17" s="27" t="n">
        <f aca="false">CashFlow!D8/12</f>
        <v>0</v>
      </c>
      <c r="G17" s="27" t="n">
        <f aca="false">CashFlow!D8/12</f>
        <v>0</v>
      </c>
      <c r="H17" s="27" t="n">
        <f aca="false">CashFlow!D8/12</f>
        <v>0</v>
      </c>
      <c r="I17" s="27" t="n">
        <f aca="false">CashFlow!D8/12</f>
        <v>0</v>
      </c>
      <c r="J17" s="27" t="n">
        <f aca="false">CashFlow!D8/12</f>
        <v>0</v>
      </c>
      <c r="K17" s="27" t="n">
        <f aca="false">CashFlow!D8/12</f>
        <v>0</v>
      </c>
      <c r="L17" s="27" t="n">
        <f aca="false">CashFlow!D8/12</f>
        <v>0</v>
      </c>
      <c r="M17" s="27" t="n">
        <f aca="false">CashFlow!D8/12</f>
        <v>0</v>
      </c>
      <c r="N17" s="27" t="n">
        <f aca="false">CashFlow!D8/12</f>
        <v>0</v>
      </c>
      <c r="O17" s="27" t="n">
        <f aca="false">SUM(C17:N17)</f>
        <v>0</v>
      </c>
    </row>
    <row r="18" customFormat="false" ht="15" hidden="false" customHeight="false" outlineLevel="0" collapsed="false">
      <c r="A18" s="9" t="s">
        <v>586</v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26" t="n">
        <f aca="false">PnL!D15</f>
        <v>0</v>
      </c>
      <c r="O18" s="27" t="n">
        <f aca="false">SUM(C18:N18)</f>
        <v>0</v>
      </c>
    </row>
    <row r="19" customFormat="false" ht="15" hidden="false" customHeight="false" outlineLevel="0" collapsed="false">
      <c r="A19" s="5" t="s">
        <v>587</v>
      </c>
      <c r="C19" s="36" t="n">
        <f aca="false">SUM(C15:C18)</f>
        <v>7949.766627</v>
      </c>
      <c r="D19" s="36" t="n">
        <f aca="false">SUM(D15:D18)</f>
        <v>7949.766627</v>
      </c>
      <c r="E19" s="36" t="n">
        <f aca="false">SUM(E15:E18)</f>
        <v>7949.766627</v>
      </c>
      <c r="F19" s="36" t="n">
        <f aca="false">SUM(F15:F18)</f>
        <v>7163.899224</v>
      </c>
      <c r="G19" s="36" t="n">
        <f aca="false">SUM(G15:G18)</f>
        <v>6378.031821</v>
      </c>
      <c r="H19" s="36" t="n">
        <f aca="false">SUM(H15:H18)</f>
        <v>6378.031821</v>
      </c>
      <c r="I19" s="36" t="n">
        <f aca="false">SUM(I15:I18)</f>
        <v>6378.031821</v>
      </c>
      <c r="J19" s="36" t="n">
        <f aca="false">SUM(J15:J18)</f>
        <v>7163.899224</v>
      </c>
      <c r="K19" s="36" t="n">
        <f aca="false">SUM(K15:K18)</f>
        <v>7163.899224</v>
      </c>
      <c r="L19" s="36" t="n">
        <f aca="false">SUM(L15:L18)</f>
        <v>7163.899224</v>
      </c>
      <c r="M19" s="36" t="n">
        <f aca="false">SUM(M15:M18)</f>
        <v>8735.63403</v>
      </c>
      <c r="N19" s="36" t="n">
        <f aca="false">SUM(N15:N18)</f>
        <v>8735.63403</v>
      </c>
      <c r="O19" s="36" t="n">
        <f aca="false">SUM(C19:N19)</f>
        <v>89110.2603</v>
      </c>
    </row>
    <row r="20" customFormat="false" ht="15" hidden="false" customHeight="false" outlineLevel="0" collapsed="false">
      <c r="A20" s="9" t="s">
        <v>588</v>
      </c>
      <c r="C20" s="27" t="n">
        <f aca="false">C14-C19</f>
        <v>-1797.166627</v>
      </c>
      <c r="D20" s="27" t="n">
        <f aca="false">D14-D19</f>
        <v>-1797.166627</v>
      </c>
      <c r="E20" s="27" t="n">
        <f aca="false">E14-E19</f>
        <v>-561.606626999998</v>
      </c>
      <c r="F20" s="27" t="n">
        <f aca="false">F14-F19</f>
        <v>624.100776000001</v>
      </c>
      <c r="G20" s="27" t="n">
        <f aca="false">G14-G19</f>
        <v>1809.808179</v>
      </c>
      <c r="H20" s="27" t="n">
        <f aca="false">H14-H19</f>
        <v>2645.528179</v>
      </c>
      <c r="I20" s="27" t="n">
        <f aca="false">I14-I19</f>
        <v>2645.528179</v>
      </c>
      <c r="J20" s="27" t="n">
        <f aca="false">J14-J19</f>
        <v>1859.660776</v>
      </c>
      <c r="K20" s="27" t="n">
        <f aca="false">K14-K19</f>
        <v>2295.540776</v>
      </c>
      <c r="L20" s="27" t="n">
        <f aca="false">L14-L19</f>
        <v>1895.700776</v>
      </c>
      <c r="M20" s="27" t="n">
        <f aca="false">M14-M19</f>
        <v>323.965970000001</v>
      </c>
      <c r="N20" s="27" t="n">
        <f aca="false">N14-N19</f>
        <v>-511.754029999998</v>
      </c>
      <c r="O20" s="27" t="n">
        <f aca="false">SUM(C20:N20)</f>
        <v>9432.13970000001</v>
      </c>
    </row>
    <row r="21" customFormat="false" ht="15" hidden="false" customHeight="false" outlineLevel="0" collapsed="false">
      <c r="A21" s="9" t="s">
        <v>589</v>
      </c>
      <c r="C21" s="26" t="n">
        <f aca="false">CashFlow!C14</f>
        <v>26195.5801</v>
      </c>
      <c r="D21" s="27" t="n">
        <f aca="false">C22</f>
        <v>24398.413473</v>
      </c>
      <c r="E21" s="27" t="n">
        <f aca="false">D22</f>
        <v>22601.246846</v>
      </c>
      <c r="F21" s="27" t="n">
        <f aca="false">E22</f>
        <v>22039.640219</v>
      </c>
      <c r="G21" s="27" t="n">
        <f aca="false">F22</f>
        <v>22663.740995</v>
      </c>
      <c r="H21" s="27" t="n">
        <f aca="false">G22</f>
        <v>24473.549174</v>
      </c>
      <c r="I21" s="27" t="n">
        <f aca="false">H22</f>
        <v>27119.077353</v>
      </c>
      <c r="J21" s="27" t="n">
        <f aca="false">I22</f>
        <v>29764.605532</v>
      </c>
      <c r="K21" s="27" t="n">
        <f aca="false">J22</f>
        <v>31624.266308</v>
      </c>
      <c r="L21" s="27" t="n">
        <f aca="false">K22</f>
        <v>33919.807084</v>
      </c>
      <c r="M21" s="27" t="n">
        <f aca="false">L22</f>
        <v>35815.50786</v>
      </c>
      <c r="N21" s="27" t="n">
        <f aca="false">M22</f>
        <v>36139.47383</v>
      </c>
    </row>
    <row r="22" customFormat="false" ht="15" hidden="false" customHeight="false" outlineLevel="0" collapsed="false">
      <c r="A22" s="5" t="s">
        <v>590</v>
      </c>
      <c r="C22" s="36" t="n">
        <f aca="false">C21+C20</f>
        <v>24398.413473</v>
      </c>
      <c r="D22" s="36" t="n">
        <f aca="false">D21+D20</f>
        <v>22601.246846</v>
      </c>
      <c r="E22" s="36" t="n">
        <f aca="false">E21+E20</f>
        <v>22039.640219</v>
      </c>
      <c r="F22" s="36" t="n">
        <f aca="false">F21+F20</f>
        <v>22663.740995</v>
      </c>
      <c r="G22" s="36" t="n">
        <f aca="false">G21+G20</f>
        <v>24473.549174</v>
      </c>
      <c r="H22" s="36" t="n">
        <f aca="false">H21+H20</f>
        <v>27119.077353</v>
      </c>
      <c r="I22" s="36" t="n">
        <f aca="false">I21+I20</f>
        <v>29764.605532</v>
      </c>
      <c r="J22" s="36" t="n">
        <f aca="false">J21+J20</f>
        <v>31624.266308</v>
      </c>
      <c r="K22" s="36" t="n">
        <f aca="false">K21+K20</f>
        <v>33919.807084</v>
      </c>
      <c r="L22" s="36" t="n">
        <f aca="false">L21+L20</f>
        <v>35815.50786</v>
      </c>
      <c r="M22" s="36" t="n">
        <f aca="false">M21+M20</f>
        <v>36139.47383</v>
      </c>
      <c r="N22" s="36" t="n">
        <f aca="false">N21+N20</f>
        <v>35627.7198</v>
      </c>
    </row>
    <row r="23" customFormat="false" ht="15" hidden="false" customHeight="false" outlineLevel="0" collapsed="false">
      <c r="A23" s="9" t="s">
        <v>591</v>
      </c>
      <c r="C23" s="41" t="str">
        <f aca="false">IF(C22&lt;0,"SHORTFALL","OK")</f>
        <v>OK</v>
      </c>
      <c r="D23" s="41" t="str">
        <f aca="false">IF(D22&lt;0,"SHORTFALL","OK")</f>
        <v>OK</v>
      </c>
      <c r="E23" s="41" t="str">
        <f aca="false">IF(E22&lt;0,"SHORTFALL","OK")</f>
        <v>OK</v>
      </c>
      <c r="F23" s="41" t="str">
        <f aca="false">IF(F22&lt;0,"SHORTFALL","OK")</f>
        <v>OK</v>
      </c>
      <c r="G23" s="41" t="str">
        <f aca="false">IF(G22&lt;0,"SHORTFALL","OK")</f>
        <v>OK</v>
      </c>
      <c r="H23" s="41" t="str">
        <f aca="false">IF(H22&lt;0,"SHORTFALL","OK")</f>
        <v>OK</v>
      </c>
      <c r="I23" s="41" t="str">
        <f aca="false">IF(I22&lt;0,"SHORTFALL","OK")</f>
        <v>OK</v>
      </c>
      <c r="J23" s="41" t="str">
        <f aca="false">IF(J22&lt;0,"SHORTFALL","OK")</f>
        <v>OK</v>
      </c>
      <c r="K23" s="41" t="str">
        <f aca="false">IF(K22&lt;0,"SHORTFALL","OK")</f>
        <v>OK</v>
      </c>
      <c r="L23" s="41" t="str">
        <f aca="false">IF(L22&lt;0,"SHORTFALL","OK")</f>
        <v>OK</v>
      </c>
      <c r="M23" s="41" t="str">
        <f aca="false">IF(M22&lt;0,"SHORTFALL","OK")</f>
        <v>OK</v>
      </c>
      <c r="N23" s="41" t="str">
        <f aca="false">IF(N22&lt;0,"SHORTFALL","OK")</f>
        <v>OK</v>
      </c>
    </row>
    <row r="25" customFormat="false" ht="15" hidden="false" customHeight="false" outlineLevel="0" collapsed="false">
      <c r="A25" s="5" t="s">
        <v>592</v>
      </c>
      <c r="C25" s="36" t="n">
        <f aca="false">MIN(C22:N22)</f>
        <v>22039.640219</v>
      </c>
    </row>
    <row r="26" customFormat="false" ht="15" hidden="false" customHeight="false" outlineLevel="0" collapsed="false">
      <c r="A26" s="5" t="s">
        <v>593</v>
      </c>
      <c r="C26" s="36" t="n">
        <f aca="false">MAX(0,-C25)</f>
        <v>0</v>
      </c>
    </row>
    <row r="27" customFormat="false" ht="15" hidden="false" customHeight="false" outlineLevel="0" collapsed="false">
      <c r="A27" s="2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2026-09-28T08:20:10Z</dcterms:created>
  <dc:creator>openpyxl</dc:creator>
  <dc:description/>
  <dc:language>en-US</dc:language>
  <cp:lastModifiedBy/>
  <dcterms:modified xsi:type="dcterms:W3CDTF">2026-09-28T08:20:12Z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
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Company Profiles" sheetId="2" state="visible" r:id="rId4"/>
    <sheet name="Segment Data" sheetId="3" state="visible" r:id="rId5"/>
    <sheet name="Reconciliation" sheetId="4" state="visible" r:id="rId6"/>
    <sheet name="Revenue Sources Matrix" sheetId="5" state="visible" r:id="rId7"/>
    <sheet name="Sources &amp; Notes" sheetId="6" state="visible" r:id="rId8"/>
  </sheets>
  <definedNames>
    <definedName function="false" hidden="true" localSheetId="2" name="_xlnm._FilterDatabase" vbProcedure="false">'Segment Data'!$A$4:$H$90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<sst xmlns="http://schemas.openxmlformats.org/spreadsheetml/2006/main" count="863" uniqueCount="333">
  <si>
    <t xml:space="preserve">Insurer Products, Services, Revenue Contributions &amp; Revenue Sources</t>
  </si>
  <si>
    <t xml:space="preserve">Prepared 6 Oct 2026 from company filings/results releases (mostly FY2025) and secondary sources. See 'Sources &amp; Notes'.</t>
  </si>
  <si>
    <t xml:space="preserve">Sheet</t>
  </si>
  <si>
    <t xml:space="preserve">What it contains</t>
  </si>
  <si>
    <t xml:space="preserve">Company Profiles</t>
  </si>
  <si>
    <t xml:space="preserve">One row per insurer: products, services/channels, revenue sources, revenue contribution headline, caveats.</t>
  </si>
  <si>
    <t xml:space="preserve">Segment Data</t>
  </si>
  <si>
    <t xml:space="preserve">Reported segment figures in native currency/units, with % shares calculated by formula. Blue = hardcoded from a source; black = formula; yellow fill = derived by subtraction.</t>
  </si>
  <si>
    <t xml:space="preserve">Reconciliation</t>
  </si>
  <si>
    <t xml:space="preserve">Formula check that segment components sum to each reported total.</t>
  </si>
  <si>
    <t xml:space="preserve">Revenue Sources Matrix</t>
  </si>
  <si>
    <t xml:space="preserve">Which revenue source (premiums, investment income, fees, etc.) is primary or secondary for each company.</t>
  </si>
  <si>
    <t xml:space="preserve">Sources &amp; Notes</t>
  </si>
  <si>
    <t xml:space="preserve">Document links and caveats.</t>
  </si>
  <si>
    <t xml:space="preserve">Important caveats</t>
  </si>
  <si>
    <t xml:space="preserve">1. Companies report on different bases (net premiums written, gross written premiums, insurance revenue, operating profit, net income). Shares are only meaningful WITHIN a company/basis, not across companies.</t>
  </si>
  <si>
    <t xml:space="preserve">2. Premium share is not profit share: e.g. Chubb North America Commercial is ~39% of premiums but ~53% of segment income (see Segment Data).</t>
  </si>
  <si>
    <t xml:space="preserve">3. Guardian Life segment figures could not be retrieved; only products/sources are given.</t>
  </si>
  <si>
    <t xml:space="preserve">4. Some figures come from secondary sites (flagged in the Source column). Verify against filings before relying on them.</t>
  </si>
  <si>
    <t xml:space="preserve">5. Rows with yellow fill are derived by subtraction from reported totals (rounding differences possible).</t>
  </si>
  <si>
    <t xml:space="preserve">Company profiles</t>
  </si>
  <si>
    <t xml:space="preserve">Revenue contribution figures are FY2025 unless stated; see Segment Data for numbers and shares.</t>
  </si>
  <si>
    <t xml:space="preserve">Company</t>
  </si>
  <si>
    <t xml:space="preserve">Type</t>
  </si>
  <si>
    <t xml:space="preserve">Products</t>
  </si>
  <si>
    <t xml:space="preserve">Services / channels</t>
  </si>
  <si>
    <t xml:space="preserve">Revenue sources</t>
  </si>
  <si>
    <t xml:space="preserve">Revenue contribution (headline)</t>
  </si>
  <si>
    <t xml:space="preserve">Caveats</t>
  </si>
  <si>
    <t xml:space="preserve">Progressive</t>
  </si>
  <si>
    <t xml:space="preserve">US P&amp;C (auto-focused)</t>
  </si>
  <si>
    <t xml:space="preserve">Personal and commercial autos and trucks; motorcycles, boats, RVs (special lines); homeowners/renters.</t>
  </si>
  <si>
    <t xml:space="preserve">Direct (web, phone, app) and independent agents; Snapshot usage-based telematics program.</t>
  </si>
  <si>
    <t xml:space="preserve">Net premiums earned (~$81.7B); investment income ($3.58B); fees and service revenues.</t>
  </si>
  <si>
    <t xml:space="preserve">Net premiums written $83.2B: Personal Lines $72.6B (~87%), Commercial Lines $10.6B (~13%).</t>
  </si>
  <si>
    <t xml:space="preserve">Total revenue ~$87.6B comes from a secondary site. Commercial premiums fell 3% (rideshare non-renewals).</t>
  </si>
  <si>
    <t xml:space="preserve">Chubb</t>
  </si>
  <si>
    <t xml:space="preserve">Global P&amp;C + life</t>
  </si>
  <si>
    <t xml:space="preserve">Commercial P&amp;C, high-net-worth personal lines, agricultural, overseas general (commercial &amp; consumer), global reinsurance, life insurance.</t>
  </si>
  <si>
    <t xml:space="preserve">Broker/agent distribution plus Chubb Digital ($1.4B premium, +27%).</t>
  </si>
  <si>
    <t xml:space="preserve">Underwriting income (P&amp;C record $6.53B, combined ratio 85.7%); net investment income (~$7.0B across segments); life premiums/spread.</t>
  </si>
  <si>
    <t xml:space="preserve">NPW $54.8B: NA Commercial 39%, Overseas General 27%, Life 13%, NA Personal 13%, Agricultural 5%, Reinsurance 2%.</t>
  </si>
  <si>
    <t xml:space="preserve">Profit more concentrated than premium: NA Commercial ~53% of segment income.</t>
  </si>
  <si>
    <t xml:space="preserve">AIG</t>
  </si>
  <si>
    <t xml:space="preserve">Global commercial/specialty P&amp;C</t>
  </si>
  <si>
    <t xml:space="preserve">North America Commercial, International Commercial (incl. Lloyd's/Talbot), Global Personal (high-net-worth); Lexington excess &amp; surplus lines.</t>
  </si>
  <si>
    <t xml:space="preserve">Wholesale and retail brokers; third-party capital vehicles (e.g. Lloyd's Syndicate 2479, Amwins/Blackstone vehicle).</t>
  </si>
  <si>
    <t xml:space="preserve">Underwriting income (General Insurance $2.3B, combined ratio 90.1%); net investment income ($4.2B).</t>
  </si>
  <si>
    <t xml:space="preserve">General Insurance NPW $23.7B: NA Commercial 37%, International Commercial 37%, Global Personal 26%.</t>
  </si>
  <si>
    <t xml:space="preserve">Life &amp; retirement is held separately (Corebridge) and excluded. Capital-vehicle fee income is not quantified in sources.</t>
  </si>
  <si>
    <t xml:space="preserve">Allianz</t>
  </si>
  <si>
    <t xml:space="preserve">Global diversified (P&amp;C, life/health, asset mgmt)</t>
  </si>
  <si>
    <t xml:space="preserve">Retail and commercial P&amp;C (motor, home, Allianz Partners travel/assistance/health); life and health; asset management.</t>
  </si>
  <si>
    <t xml:space="preserve">Agents, brokers, direct, partnerships; asset management for third-party investors.</t>
  </si>
  <si>
    <t xml:space="preserve">Insurance premiums; life/health investment margins; asset-management fees (operating revenues EUR 8.5B).</t>
  </si>
  <si>
    <t xml:space="preserve">Operating profit EUR 17.4B: P&amp;C EUR 9.0B (~52%), Life/Health EUR 5.6B (~32%), remainder asset mgmt net of corporate (~EUR 2.8B, derived).</t>
  </si>
  <si>
    <t xml:space="preserve">Third-party AUM EUR 1.99T drives fee income. Asset mgmt operating profit not retrieved separately.</t>
  </si>
  <si>
    <t xml:space="preserve">Travelers</t>
  </si>
  <si>
    <t xml:space="preserve">US P&amp;C</t>
  </si>
  <si>
    <t xml:space="preserve">Business Insurance (Select Accounts small commercial, Middle Market, National Property); Bond &amp; Specialty (surety, management liability); Personal (auto, homeowners).</t>
  </si>
  <si>
    <t xml:space="preserve">Independent agents and brokers.</t>
  </si>
  <si>
    <t xml:space="preserve">Net written premiums ($44.4B); net investment income (just under $4B).</t>
  </si>
  <si>
    <t xml:space="preserve">NWP $44.4B: Business Insurance ~$22.6B (~51%, derived), Personal $17.5B (~39%), Bond &amp; Specialty $4.3B (~10%).</t>
  </si>
  <si>
    <t xml:space="preserve">Most Canadian operations sold to Definity. Business Insurance NWP derived by subtraction.</t>
  </si>
  <si>
    <t xml:space="preserve">Allstate</t>
  </si>
  <si>
    <t xml:space="preserve">US personal lines + protection services</t>
  </si>
  <si>
    <t xml:space="preserve">Auto, homeowners and other personal lines; Protection Services: protection plans, roadside, dealer services, identity protection, Arity telematics analytics.</t>
  </si>
  <si>
    <t xml:space="preserve">Agents (exclusive and independent) and direct; business-to-business protection plans.</t>
  </si>
  <si>
    <t xml:space="preserve">Premiums; investment income; service and fee revenue (Protection Services).</t>
  </si>
  <si>
    <t xml:space="preserve">Total revenue $67.7B. Q4 earned premiums: auto $9.62B (~65%), homeowners $4.06B (~27%) of $14.8B Property-Liability.</t>
  </si>
  <si>
    <t xml:space="preserve">Protection Services = 4.8% of premiums written ($3.0B) but 81.6% of policies in force. Group health/benefits businesses being divested.</t>
  </si>
  <si>
    <t xml:space="preserve">Lemonade</t>
  </si>
  <si>
    <t xml:space="preserve">AI-native US/EU personal lines</t>
  </si>
  <si>
    <t xml:space="preserve">Renters, homeowners, pet, term life, car (incl. autonomous-vehicle car product).</t>
  </si>
  <si>
    <t xml:space="preserve">Direct digital (AI chatbot onboarding and claims).</t>
  </si>
  <si>
    <t xml:space="preserve">Net earned premium; ceding commission from reinsurers; net investment income; commissions and other income.</t>
  </si>
  <si>
    <t xml:space="preserve">Q2 2026 revenue $294.4M: net earned premium ~86%, ceding commission ~7%, investment income ~3%, commission/other ~4%.</t>
  </si>
  <si>
    <t xml:space="preserve">Still loss-making (H1 2026 net loss $79.2M). Revenue by product line not retrieved; only in-force premium ($1.43B).</t>
  </si>
  <si>
    <t xml:space="preserve">Ping An</t>
  </si>
  <si>
    <t xml:space="preserve">Chinese financial conglomerate</t>
  </si>
  <si>
    <t xml:space="preserve">Life &amp; health, P&amp;C, banking (Ping An Bank), asset management; four categories: protection, asset management, credit, service.</t>
  </si>
  <si>
    <t xml:space="preserve">Agents, bancassurance, auto-dealer channel, Auto Owner app (120M+ users), Good Doctor health services (AI Doctor).</t>
  </si>
  <si>
    <t xml:space="preserve">Insurance premiums; investment returns on very large insurance funds (RMB 6.61T); bank interest and fees; health services.</t>
  </si>
  <si>
    <t xml:space="preserve">2025 operating profit RMB 134.4B. Q1 2025: Life &amp; Health RMB 26.9B of RMB 37.9B (~71%).</t>
  </si>
  <si>
    <t xml:space="preserve">Full-year segment split not retrieved. Good Doctor revenue (RMB 2.48B in H1 2026) is small versus insurance and banking.</t>
  </si>
  <si>
    <t xml:space="preserve">AXA</t>
  </si>
  <si>
    <t xml:space="preserve">Global diversified insurer</t>
  </si>
  <si>
    <t xml:space="preserve">P&amp;C (personal, commercial incl. AXA XL); life, savings, health, protection; 51% of Prima (Italian digital motor).</t>
  </si>
  <si>
    <t xml:space="preserve">Agents, brokers, direct, bancassurance.</t>
  </si>
  <si>
    <t xml:space="preserve">Premiums; health/protection margins; unit-linked fees; investment income.</t>
  </si>
  <si>
    <t xml:space="preserve">GWP &amp; other revenues EUR 116B: P&amp;C EUR 58.0B (~50%), Life &amp; Health EUR 56.5B (~49%), Asset Mgmt EUR 0.9B (&lt;1%).</t>
  </si>
  <si>
    <t xml:space="preserve">AXA IM sold July 2025. Underlying earnings EUR 8.4B after ~EUR 1.2B holding costs.</t>
  </si>
  <si>
    <t xml:space="preserve">Swiss Re</t>
  </si>
  <si>
    <t xml:space="preserve">Global reinsurer</t>
  </si>
  <si>
    <t xml:space="preserve">P&amp;C Reinsurance; Life &amp; Health Reinsurance; Corporate Solutions (direct large-corporate insurance).</t>
  </si>
  <si>
    <t xml:space="preserve">Reinsurance to insurers; insurance-linked securities; AI underwriting tools for clients.</t>
  </si>
  <si>
    <t xml:space="preserve">Reinsurance premiums and underwriting result; recurring investment income (4.2% yield).</t>
  </si>
  <si>
    <t xml:space="preserve">2025 net income $4.8B: P&amp;C Re $2.8B (~55% of segment total), L&amp;H Re $1.3B (~25%), Corporate Solutions $0.99B (~19%).</t>
  </si>
  <si>
    <t xml:space="preserve">Segment net incomes sum above group total because group-level items are negative (see Segment Data).</t>
  </si>
  <si>
    <t xml:space="preserve">Munich Re</t>
  </si>
  <si>
    <t xml:space="preserve">Global reinsurer + primary insurer (ERGO)</t>
  </si>
  <si>
    <t xml:space="preserve">P&amp;C reinsurance; life &amp; health reinsurance; Global Specialty Insurance; ERGO primary insurance; AI insurance (aiSure).</t>
  </si>
  <si>
    <t xml:space="preserve">Reinsurance; ERGO via agents/brokers/direct; AI product-design platform for clients.</t>
  </si>
  <si>
    <t xml:space="preserve">Reinsurance and primary premiums; investment income (2026 target return above 3.5%).</t>
  </si>
  <si>
    <t xml:space="preserve">Net result EUR 6.12B: Reinsurance EUR 5.20B (~85%), ERGO EUR 0.92B (~15%). Group insurance revenue EUR 60.4B, ERGO EUR 21.7B (~36%).</t>
  </si>
  <si>
    <t xml:space="preserve">Reinsurance revenue derived by subtraction. ERGO is ~36% of revenue but ~15% of profit.</t>
  </si>
  <si>
    <t xml:space="preserve">Guardian Life</t>
  </si>
  <si>
    <t xml:space="preserve">US mutual life/benefits insurer</t>
  </si>
  <si>
    <t xml:space="preserve">Life, disability, dental, vision, retirement and annuity products; workplace group benefits.</t>
  </si>
  <si>
    <t xml:space="preserve">Group benefits sales offices, financial professionals; Park Avenue Securities (broker-dealer/investment adviser); ~12M people served.</t>
  </si>
  <si>
    <t xml:space="preserve">Premiums, fees and other income; annuity considerations and fund deposits; investment income (per financial statement line items).</t>
  </si>
  <si>
    <t xml:space="preserve">Not retrieved.</t>
  </si>
  <si>
    <t xml:space="preserve">Check Guardian's annual report for statutory financials.</t>
  </si>
  <si>
    <t xml:space="preserve">Segment data (native currency and units)</t>
  </si>
  <si>
    <t xml:space="preserve">Blue = sourced input; black = formula; yellow = derived by subtraction. % share computed within each Company + Basis over Component and Derived rows.</t>
  </si>
  <si>
    <t xml:space="preserve">Basis</t>
  </si>
  <si>
    <t xml:space="preserve">Segment / line item</t>
  </si>
  <si>
    <t xml:space="preserve">Value</t>
  </si>
  <si>
    <t xml:space="preserve">Unit</t>
  </si>
  <si>
    <t xml:space="preserve">Row type</t>
  </si>
  <si>
    <t xml:space="preserve">% of basis total</t>
  </si>
  <si>
    <t xml:space="preserve">Source / notes</t>
  </si>
  <si>
    <t xml:space="preserve">FY2025 net premiums written</t>
  </si>
  <si>
    <t xml:space="preserve">Personal Lines</t>
  </si>
  <si>
    <t xml:space="preserve">$B</t>
  </si>
  <si>
    <t xml:space="preserve">Component</t>
  </si>
  <si>
    <t xml:space="preserve">Progressive FY2025 10-K / Dec 2025 release; Fintool Q4 2025 summary (secondary) (87.5% share per source)</t>
  </si>
  <si>
    <t xml:space="preserve">Commercial Lines</t>
  </si>
  <si>
    <t xml:space="preserve">Progressive FY2025 10-K / Dec 2025 release; Fintool Q4 2025 summary (secondary)</t>
  </si>
  <si>
    <t xml:space="preserve">Total net premiums written</t>
  </si>
  <si>
    <t xml:space="preserve">Reported total</t>
  </si>
  <si>
    <t xml:space="preserve">10-K: $83.2B net premiums written</t>
  </si>
  <si>
    <t xml:space="preserve">FY2025 selected revenue lines</t>
  </si>
  <si>
    <t xml:space="preserve">Net premiums earned</t>
  </si>
  <si>
    <t xml:space="preserve">Selected</t>
  </si>
  <si>
    <t xml:space="preserve">Investment income</t>
  </si>
  <si>
    <t xml:space="preserve">Progressive FY2025 10-K / Dec 2025 release; Fintool Q4 2025 summary (secondary) (up from $2.83B in 2024)</t>
  </si>
  <si>
    <t xml:space="preserve">Net income</t>
  </si>
  <si>
    <t xml:space="preserve">North America Commercial P&amp;C</t>
  </si>
  <si>
    <t xml:space="preserve">$M</t>
  </si>
  <si>
    <t xml:space="preserve">Chubb FY2025 10-K segment table (SEC EDGAR)</t>
  </si>
  <si>
    <t xml:space="preserve">North America Personal P&amp;C</t>
  </si>
  <si>
    <t xml:space="preserve">North America Agricultural</t>
  </si>
  <si>
    <t xml:space="preserve">Overseas General</t>
  </si>
  <si>
    <t xml:space="preserve">Global Reinsurance</t>
  </si>
  <si>
    <t xml:space="preserve">Life Insurance</t>
  </si>
  <si>
    <t xml:space="preserve">FY2025 segment income</t>
  </si>
  <si>
    <t xml:space="preserve">Total segment income</t>
  </si>
  <si>
    <t xml:space="preserve">FY2025 General Insurance net premiums written</t>
  </si>
  <si>
    <t xml:space="preserve">North America Commercial</t>
  </si>
  <si>
    <t xml:space="preserve">AIG 2025 annual report; Carrier Management 12 Feb 2026</t>
  </si>
  <si>
    <t xml:space="preserve">International Commercial</t>
  </si>
  <si>
    <t xml:space="preserve">Global Personal</t>
  </si>
  <si>
    <t xml:space="preserve">Total General Insurance</t>
  </si>
  <si>
    <t xml:space="preserve">FY2025 selected profit lines</t>
  </si>
  <si>
    <t xml:space="preserve">General Insurance underwriting income</t>
  </si>
  <si>
    <t xml:space="preserve">AIG Q4/FY2025 release (rounded $2.3B)</t>
  </si>
  <si>
    <t xml:space="preserve">North America Commercial underwriting income (approx.)</t>
  </si>
  <si>
    <t xml:space="preserve">Carrier Management (about $1.1B)</t>
  </si>
  <si>
    <t xml:space="preserve">Global Personal underwriting income</t>
  </si>
  <si>
    <t xml:space="preserve">Carrier Management</t>
  </si>
  <si>
    <t xml:space="preserve">Net investment income (approx.)</t>
  </si>
  <si>
    <t xml:space="preserve">AIG FY2025 release ($4.2B)</t>
  </si>
  <si>
    <t xml:space="preserve">FY2025 operating profit</t>
  </si>
  <si>
    <t xml:space="preserve">Property-Casualty</t>
  </si>
  <si>
    <t xml:space="preserve">EUR B</t>
  </si>
  <si>
    <t xml:space="preserve">Allianz FY2025 results (Insurtech Digital; Reinsurance News)</t>
  </si>
  <si>
    <t xml:space="preserve">Life/Health</t>
  </si>
  <si>
    <t xml:space="preserve">Asset Management + Corporate &amp; other (derived)</t>
  </si>
  <si>
    <t xml:space="preserve">Derived component</t>
  </si>
  <si>
    <t xml:space="preserve">Derived by subtraction; asset management profit not retrieved separately</t>
  </si>
  <si>
    <t xml:space="preserve">Group operating profit</t>
  </si>
  <si>
    <t xml:space="preserve">FY2025 selected volume lines</t>
  </si>
  <si>
    <t xml:space="preserve">Total business volume (group)</t>
  </si>
  <si>
    <t xml:space="preserve">P&amp;C total business volume</t>
  </si>
  <si>
    <t xml:space="preserve">Asset management operating revenues</t>
  </si>
  <si>
    <t xml:space="preserve">Third-party assets under management (EUR trillion)</t>
  </si>
  <si>
    <t xml:space="preserve">EUR T</t>
  </si>
  <si>
    <t xml:space="preserve">Unit is EUR trillion for this row</t>
  </si>
  <si>
    <t xml:space="preserve">FY2025 net written premiums</t>
  </si>
  <si>
    <t xml:space="preserve">Business Insurance (derived)</t>
  </si>
  <si>
    <t xml:space="preserve">Derived by subtraction</t>
  </si>
  <si>
    <t xml:space="preserve">Bond &amp; Specialty Insurance</t>
  </si>
  <si>
    <t xml:space="preserve">Travelers Q4/FY2025 release (Reinsurance News; BusinessWire)</t>
  </si>
  <si>
    <t xml:space="preserve">Personal Insurance</t>
  </si>
  <si>
    <t xml:space="preserve">Total net written premiums</t>
  </si>
  <si>
    <t xml:space="preserve">Q4 2025 segment income (after-tax)</t>
  </si>
  <si>
    <t xml:space="preserve">Business Insurance</t>
  </si>
  <si>
    <t xml:space="preserve">Travelers Q4 2025 (Yahoo Finance summary: $1.29B)</t>
  </si>
  <si>
    <t xml:space="preserve">Travelers Q4 2025</t>
  </si>
  <si>
    <t xml:space="preserve">Travelers Q4 2025 (Yahoo Finance summary: $1.09B)</t>
  </si>
  <si>
    <t xml:space="preserve">Q4 2025 Property-Liability premiums earned</t>
  </si>
  <si>
    <t xml:space="preserve">Allstate Protection Auto</t>
  </si>
  <si>
    <t xml:space="preserve">Allstate FY2025 10-K and Q4 2025 release; Fintool (secondary) for Q4 split</t>
  </si>
  <si>
    <t xml:space="preserve">Allstate Protection Homeowners</t>
  </si>
  <si>
    <t xml:space="preserve">Other Property-Liability (derived)</t>
  </si>
  <si>
    <t xml:space="preserve">Derived by subtraction; includes other personal, commercial, run-off</t>
  </si>
  <si>
    <t xml:space="preserve">Total Property-Liability earned premiums</t>
  </si>
  <si>
    <t xml:space="preserve">FY2025 selected lines</t>
  </si>
  <si>
    <t xml:space="preserve">Total revenues</t>
  </si>
  <si>
    <t xml:space="preserve">Protection Services premiums written</t>
  </si>
  <si>
    <t xml:space="preserve">10-K: 4.8% of premiums written; 81.6% of policies in force</t>
  </si>
  <si>
    <t xml:space="preserve">Q2 2026 revenue</t>
  </si>
  <si>
    <t xml:space="preserve">Net earned premium</t>
  </si>
  <si>
    <t xml:space="preserve">Lemonade Q2 2026 shareholder letter (SEC 8-K)</t>
  </si>
  <si>
    <t xml:space="preserve">Ceding commission income</t>
  </si>
  <si>
    <t xml:space="preserve">Net investment income</t>
  </si>
  <si>
    <t xml:space="preserve">Commission and other income</t>
  </si>
  <si>
    <t xml:space="preserve">Total revenue</t>
  </si>
  <si>
    <t xml:space="preserve">H1 2026 revenue</t>
  </si>
  <si>
    <t xml:space="preserve">Q1 2025 operating profit attributable to shareholders</t>
  </si>
  <si>
    <t xml:space="preserve">Life &amp; Health</t>
  </si>
  <si>
    <t xml:space="preserve">RMB M</t>
  </si>
  <si>
    <t xml:space="preserve">Ping An 2025 results release; Q1 2025 release; 9M 2025 (Insurance Business)</t>
  </si>
  <si>
    <t xml:space="preserve">All other businesses (derived)</t>
  </si>
  <si>
    <t xml:space="preserve">Derived: P&amp;C, bank, asset mgmt, tech, corporate</t>
  </si>
  <si>
    <t xml:space="preserve">Selected 2025 lines</t>
  </si>
  <si>
    <t xml:space="preserve">FY2025 operating profit (group)</t>
  </si>
  <si>
    <t xml:space="preserve">FY2025 Life &amp; Health new business value</t>
  </si>
  <si>
    <t xml:space="preserve">FY2025 Ping An Bank net profit</t>
  </si>
  <si>
    <t xml:space="preserve">9M 2025 P&amp;C premium income</t>
  </si>
  <si>
    <t xml:space="preserve">Insurance Business Asia, 9M 2025</t>
  </si>
  <si>
    <t xml:space="preserve">9M 2025 P&amp;C operating profit</t>
  </si>
  <si>
    <t xml:space="preserve">FY2025 gross written premiums &amp; other revenues</t>
  </si>
  <si>
    <t xml:space="preserve">Property &amp; Casualty</t>
  </si>
  <si>
    <t xml:space="preserve">EUR M</t>
  </si>
  <si>
    <t xml:space="preserve">AXA FY2025 earnings release</t>
  </si>
  <si>
    <t xml:space="preserve">Asset Management</t>
  </si>
  <si>
    <t xml:space="preserve">Other / rounding (derived)</t>
  </si>
  <si>
    <t xml:space="preserve">Derived from rounded EUR 116B total</t>
  </si>
  <si>
    <t xml:space="preserve">Total (rounded as reported)</t>
  </si>
  <si>
    <t xml:space="preserve">AXA FY2025 earnings release (EUR 116B)</t>
  </si>
  <si>
    <t xml:space="preserve">FY2025 segment net income</t>
  </si>
  <si>
    <t xml:space="preserve">Property &amp; Casualty Reinsurance</t>
  </si>
  <si>
    <t xml:space="preserve">Swiss Re FY2025 press release, 27 Feb 2026</t>
  </si>
  <si>
    <t xml:space="preserve">Life &amp; Health Reinsurance</t>
  </si>
  <si>
    <t xml:space="preserve">Corporate Solutions</t>
  </si>
  <si>
    <t xml:space="preserve">Group items (derived)</t>
  </si>
  <si>
    <t xml:space="preserve">Reconciling item</t>
  </si>
  <si>
    <t xml:space="preserve">Reconciling item; excluded from % shares</t>
  </si>
  <si>
    <t xml:space="preserve">Group net income</t>
  </si>
  <si>
    <t xml:space="preserve">FY2025 net result</t>
  </si>
  <si>
    <t xml:space="preserve">Reinsurance</t>
  </si>
  <si>
    <t xml:space="preserve">Munich Re FY2025 media release, 26 Feb 2026; Insurtech Insights</t>
  </si>
  <si>
    <t xml:space="preserve">ERGO</t>
  </si>
  <si>
    <t xml:space="preserve">Group net result</t>
  </si>
  <si>
    <t xml:space="preserve">FY2025 insurance revenue</t>
  </si>
  <si>
    <t xml:space="preserve">Reinsurance (derived)</t>
  </si>
  <si>
    <t xml:space="preserve">Group insurance revenue</t>
  </si>
  <si>
    <t xml:space="preserve">FY2025 selected reinsurance lines</t>
  </si>
  <si>
    <t xml:space="preserve">P&amp;C reinsurance result</t>
  </si>
  <si>
    <t xml:space="preserve">L&amp;H reinsurance technical result</t>
  </si>
  <si>
    <t xml:space="preserve">Row types: Component = reported segment; Derived component = computed by subtraction (yellow); Reported total = headline total; Reconciling item = group-level difference excluded from shares; Selected = standalone figure, no share.</t>
  </si>
  <si>
    <t xml:space="preserve">Reconciliation: components vs reported totals</t>
  </si>
  <si>
    <t xml:space="preserve">Components + derived rows should equal the reported total. Reconciling items (Swiss Re group items) are shown separately.</t>
  </si>
  <si>
    <t xml:space="preserve">Sum of components</t>
  </si>
  <si>
    <t xml:space="preserve">Difference</t>
  </si>
  <si>
    <t xml:space="preserve">Status</t>
  </si>
  <si>
    <t xml:space="preserve">Green = link to another sheet; black = formula.</t>
  </si>
  <si>
    <t xml:space="preserve">Revenue sources matrix</t>
  </si>
  <si>
    <t xml:space="preserve">Classification is my judgement from the sources reviewed (Primary = dominant source; Secondary = material but smaller; blank = not material/not evidenced).</t>
  </si>
  <si>
    <t xml:space="preserve">Underwriting premiums</t>
  </si>
  <si>
    <t xml:space="preserve">Fees / service revenue</t>
  </si>
  <si>
    <t xml:space="preserve">Ceding &amp; other commissions</t>
  </si>
  <si>
    <t xml:space="preserve">Banking income</t>
  </si>
  <si>
    <t xml:space="preserve">Asset-management fees</t>
  </si>
  <si>
    <t xml:space="preserve">Reinsurance / risk-transfer income</t>
  </si>
  <si>
    <t xml:space="preserve">Notes</t>
  </si>
  <si>
    <t xml:space="preserve">Primary</t>
  </si>
  <si>
    <t xml:space="preserve">Secondary</t>
  </si>
  <si>
    <t xml:space="preserve">Fees and service revenues are not quantified in sources.</t>
  </si>
  <si>
    <t xml:space="preserve">Global Reinsurance segment is ~2% of premium.</t>
  </si>
  <si>
    <t xml:space="preserve">Fee income from AIG-managed capital vehicles is inferred, not quantified.</t>
  </si>
  <si>
    <t xml:space="preserve">Asset-management operating revenues EUR 8.5B.</t>
  </si>
  <si>
    <t xml:space="preserve">Net investment income just under $4B.</t>
  </si>
  <si>
    <t xml:space="preserve">Protection Services (plans, roadside, Arity, identity).</t>
  </si>
  <si>
    <t xml:space="preserve">Ceding commission ~7% of Q2 2026 revenue.</t>
  </si>
  <si>
    <t xml:space="preserve">Banking and insurance funds are very large; health services small.</t>
  </si>
  <si>
    <t xml:space="preserve">AXA IM disposed July 2025; unit-linked and health fees.</t>
  </si>
  <si>
    <t xml:space="preserve">Reinsurance is the core business.</t>
  </si>
  <si>
    <t xml:space="preserve">Also primary insurance via ERGO.</t>
  </si>
  <si>
    <t xml:space="preserve">Unverified: based on product description and line-item names only.</t>
  </si>
  <si>
    <t xml:space="preserve">Sources &amp; notes</t>
  </si>
  <si>
    <t xml:space="preserve">Document</t>
  </si>
  <si>
    <t xml:space="preserve">URL / reference</t>
  </si>
  <si>
    <t xml:space="preserve">Form 10-K FY2025</t>
  </si>
  <si>
    <t xml:space="preserve">https://www.sec.gov/Archives/edgar/data/80661/000008066126000086/pgr-20251231_d2.htm</t>
  </si>
  <si>
    <t xml:space="preserve">Dec 2025 results release</t>
  </si>
  <si>
    <t xml:space="preserve">https://www.nasdaq.com/press-release/progressive-reports-december-2025-results-2026-01-28</t>
  </si>
  <si>
    <t xml:space="preserve">Q4 2025 summary (segment %, investment income)</t>
  </si>
  <si>
    <t xml:space="preserve">https://fintool.com/app/research/companies/PGR/earnings/Q4 2025</t>
  </si>
  <si>
    <t xml:space="preserve">Form 10-K FY2025 (segment table)</t>
  </si>
  <si>
    <t xml:space="preserve">https://www.sec.gov/Archives/edgar/data/896159/000089615926000005/cb-20251231.htm</t>
  </si>
  <si>
    <t xml:space="preserve">FY2025 results coverage</t>
  </si>
  <si>
    <t xml:space="preserve">https://www.reinsurancene.ws/chubb-sees-record-pc-underwriting-income-of-6-53bn-in-2025/</t>
  </si>
  <si>
    <t xml:space="preserve">2025 Annual Report</t>
  </si>
  <si>
    <t xml:space="preserve">https://www.sec.gov/Archives/edgar/data/5272/000000527226000038/aig2025annualreport.pdf</t>
  </si>
  <si>
    <t xml:space="preserve">Q4/FY2025 results release</t>
  </si>
  <si>
    <t xml:space="preserve">https://www.businesswire.com/news/home/20260210634236/en</t>
  </si>
  <si>
    <t xml:space="preserve">Segment commentary</t>
  </si>
  <si>
    <t xml:space="preserve">https://www.carriermanagement.com/news/2026/02/12/284530.htm</t>
  </si>
  <si>
    <t xml:space="preserve">https://insurtechdigital.com/news/allianz-achieves-record-17-4bn-profit-as-all-units-deliver</t>
  </si>
  <si>
    <t xml:space="preserve">Q4/FY2025 coverage</t>
  </si>
  <si>
    <t xml:space="preserve">https://www.reinsurancene.ws/allianzs-q425-operating-profit-rises-3-fy25-hits-record-e17-4bn/</t>
  </si>
  <si>
    <t xml:space="preserve">Q4/FY2025 release</t>
  </si>
  <si>
    <t xml:space="preserve">https://www.businesswire.com/news/home/20260119567832/en/Travelers-Reports-Excellent-Fourth-Quarter-and-Full-Year-Results</t>
  </si>
  <si>
    <t xml:space="preserve">FY2025 coverage (segment NWP)</t>
  </si>
  <si>
    <t xml:space="preserve">https://www.reinsurancene.ws/travelers-posts-26-rise-in-fy25-net-income-as-underwriting-result-strengthens/</t>
  </si>
  <si>
    <t xml:space="preserve">https://www.sec.gov/Archives/edgar/data/899051/000089905126000031/all-20251231.htm</t>
  </si>
  <si>
    <t xml:space="preserve">Q4 2025 summary (auto/homeowners premiums)</t>
  </si>
  <si>
    <t xml:space="preserve">https://fintool.com/app/research/companies/ALL/earnings/Q4 2025</t>
  </si>
  <si>
    <t xml:space="preserve">Q2 2026 shareholder letter / 8-K</t>
  </si>
  <si>
    <t xml:space="preserve">https://www.sec.gov/Archives/edgar/data/0001691421/000169142126000047/lmndshareholderletterq22.htm</t>
  </si>
  <si>
    <t xml:space="preserve">2025 results press release</t>
  </si>
  <si>
    <t xml:space="preserve">https://group.pingan.com/resource/pingan/IR-Docs/2026/pingan-ar25-press-release.pdf</t>
  </si>
  <si>
    <t xml:space="preserve">Q1 2025 results</t>
  </si>
  <si>
    <t xml:space="preserve">https://aapnews.aap.com.au/news/cision20250425AE73070</t>
  </si>
  <si>
    <t xml:space="preserve">Primary (wire)</t>
  </si>
  <si>
    <t xml:space="preserve">Full Year 2025 earnings</t>
  </si>
  <si>
    <t xml:space="preserve">https://www.axa.com/press/press-releases/2025-full-year-earnings</t>
  </si>
  <si>
    <t xml:space="preserve">FY2025 press release</t>
  </si>
  <si>
    <t xml:space="preserve">https://www.swissre.com/media/press-release/pr-20260227-fy-2025-press-release.html</t>
  </si>
  <si>
    <t xml:space="preserve">FY2025 media release</t>
  </si>
  <si>
    <t xml:space="preserve">https://www.munichre.com/en/company/media-relations/media-information-and-corporate-news/media-information/2026/media-release-2026-02-26.html</t>
  </si>
  <si>
    <t xml:space="preserve">FY2025 coverage (segment revenue)</t>
  </si>
  <si>
    <t xml:space="preserve">https://www.insurtechinsights.com/munich-re-reports-strong-2025-results-net-profit-exceeds-e6-1-billion/</t>
  </si>
  <si>
    <t xml:space="preserve">Financial highlights page</t>
  </si>
  <si>
    <t xml:space="preserve">https://www.guardianlife.com/financial-highlights</t>
  </si>
  <si>
    <t xml:space="preserve">Primary (no figures retrieved)</t>
  </si>
  <si>
    <t xml:space="preserve">Percentages marked as derived/approximate in Company Profiles are my own calculations from the reported figures.</t>
  </si>
  <si>
    <t xml:space="preserve">A Ping An 2025 'operating revenue' figure in one secondary source looked misprinted (off by a factor of ten) and was not used.</t>
  </si>
  <si>
    <t xml:space="preserve">Progressive's two sources give slightly different Q1 2026 combined ratios (86.0 vs 86.4); not used in this workbook.</t>
  </si>
  <si>
    <t xml:space="preserve">Figures are as of the sources' publication dates; check for restatements.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</si>
</sst>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.0;\(#,##0.0\);\-"/>
    <numFmt numFmtId="166" formatCode="0.0%;\(0.0%\);\-"/>
    <numFmt numFmtId="167" formatCode="#,##0.00;\(#,##0.00\);\-"/>
    <numFmt numFmtId="168" formatCode="#,##0;\(#,##0\);\-"/>
    <numFmt numFmtId="169" formatCode="0.0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i val="true"/>
      <sz val="9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8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FFFFF"/>
      </patternFill>
    </fill>
    <fill>
      <patternFill patternType="solid">
        <fgColor rgb="FFC6E0B4"/>
        <bgColor rgb="FFD9E2F3"/>
      </patternFill>
    </fill>
    <fill>
      <patternFill patternType="solid">
        <fgColor rgb="FFD9E2F3"/>
        <bgColor rgb="FFC6E0B4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13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1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13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1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1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</row>
    <row r="5" customFormat="false" ht="15" hidden="false" customHeight="false" outlineLevel="0" collapsed="false">
      <c r="A5" s="4" t="s">
        <v>4</v>
      </c>
      <c r="B5" s="4" t="s">
        <v>5</v>
      </c>
    </row>
    <row r="6" customFormat="false" ht="23.85" hidden="false" customHeight="false" outlineLevel="0" collapsed="false">
      <c r="A6" s="4" t="s">
        <v>6</v>
      </c>
      <c r="B6" s="4" t="s">
        <v>7</v>
      </c>
    </row>
    <row r="7" customFormat="false" ht="15" hidden="false" customHeight="false" outlineLevel="0" collapsed="false">
      <c r="A7" s="4" t="s">
        <v>8</v>
      </c>
      <c r="B7" s="4" t="s">
        <v>9</v>
      </c>
    </row>
    <row r="8" customFormat="false" ht="15" hidden="false" customHeight="false" outlineLevel="0" collapsed="false">
      <c r="A8" s="4" t="s">
        <v>10</v>
      </c>
      <c r="B8" s="4" t="s">
        <v>11</v>
      </c>
    </row>
    <row r="9" customFormat="false" ht="15" hidden="false" customHeight="false" outlineLevel="0" collapsed="false">
      <c r="A9" s="4" t="s">
        <v>12</v>
      </c>
      <c r="B9" s="4" t="s">
        <v>13</v>
      </c>
    </row>
    <row r="12" customFormat="false" ht="15" hidden="false" customHeight="true" outlineLevel="0" collapsed="false">
      <c r="A12" s="5" t="s">
        <v>14</v>
      </c>
      <c r="B12" s="5"/>
    </row>
    <row r="13" customFormat="false" ht="30" hidden="false" customHeight="true" outlineLevel="0" collapsed="false">
      <c r="A13" s="6" t="s">
        <v>15</v>
      </c>
      <c r="B13" s="6"/>
    </row>
    <row r="14" customFormat="false" ht="30" hidden="false" customHeight="true" outlineLevel="0" collapsed="false">
      <c r="A14" s="6" t="s">
        <v>16</v>
      </c>
      <c r="B14" s="6"/>
    </row>
    <row r="15" customFormat="false" ht="30" hidden="false" customHeight="true" outlineLevel="0" collapsed="false">
      <c r="A15" s="6" t="s">
        <v>17</v>
      </c>
      <c r="B15" s="6"/>
    </row>
    <row r="16" customFormat="false" ht="30" hidden="false" customHeight="true" outlineLevel="0" collapsed="false">
      <c r="A16" s="6" t="s">
        <v>18</v>
      </c>
      <c r="B16" s="6"/>
    </row>
    <row r="17" customFormat="false" ht="30" hidden="false" customHeight="true" outlineLevel="0" collapsed="false">
      <c r="A17" s="6" t="s">
        <v>19</v>
      </c>
      <c r="B17" s="6"/>
    </row>
  </sheetData>
  <mergeCells count="6">
    <mergeCell ref="A12:B12"/>
    <mergeCell ref="A13:B13"/>
    <mergeCell ref="A14:B14"/>
    <mergeCell ref="A15:B15"/>
    <mergeCell ref="A16:B16"/>
    <mergeCell ref="A17:B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2"/>
    <col collapsed="false" customWidth="true" hidden="false" outlineLevel="0" max="3" min="3" style="0" width="44"/>
    <col collapsed="false" customWidth="true" hidden="false" outlineLevel="0" max="4" min="4" style="0" width="38"/>
    <col collapsed="false" customWidth="true" hidden="false" outlineLevel="0" max="5" min="5" style="0" width="42"/>
    <col collapsed="false" customWidth="true" hidden="false" outlineLevel="0" max="6" min="6" style="0" width="46"/>
    <col collapsed="false" customWidth="true" hidden="false" outlineLevel="0" max="7" min="7" style="0" width="40"/>
  </cols>
  <sheetData>
    <row r="1" customFormat="false" ht="17.35" hidden="false" customHeight="false" outlineLevel="0" collapsed="false">
      <c r="A1" s="1" t="s">
        <v>20</v>
      </c>
    </row>
    <row r="2" customFormat="false" ht="15" hidden="false" customHeight="false" outlineLevel="0" collapsed="false">
      <c r="A2" s="2" t="s">
        <v>21</v>
      </c>
    </row>
    <row r="4" customFormat="false" ht="15" hidden="false" customHeight="false" outlineLevel="0" collapsed="false">
      <c r="A4" s="7" t="s">
        <v>22</v>
      </c>
      <c r="B4" s="7" t="s">
        <v>23</v>
      </c>
      <c r="C4" s="7" t="s">
        <v>24</v>
      </c>
      <c r="D4" s="7" t="s">
        <v>25</v>
      </c>
      <c r="E4" s="7" t="s">
        <v>26</v>
      </c>
      <c r="F4" s="7" t="s">
        <v>27</v>
      </c>
      <c r="G4" s="7" t="s">
        <v>28</v>
      </c>
    </row>
    <row r="5" customFormat="false" ht="105" hidden="false" customHeight="true" outlineLevel="0" collapsed="false">
      <c r="A5" s="8" t="s">
        <v>29</v>
      </c>
      <c r="B5" s="4" t="s">
        <v>30</v>
      </c>
      <c r="C5" s="4" t="s">
        <v>31</v>
      </c>
      <c r="D5" s="4" t="s">
        <v>32</v>
      </c>
      <c r="E5" s="4" t="s">
        <v>33</v>
      </c>
      <c r="F5" s="4" t="s">
        <v>34</v>
      </c>
      <c r="G5" s="4" t="s">
        <v>35</v>
      </c>
    </row>
    <row r="6" customFormat="false" ht="105" hidden="false" customHeight="true" outlineLevel="0" collapsed="false">
      <c r="A6" s="8" t="s">
        <v>36</v>
      </c>
      <c r="B6" s="4" t="s">
        <v>37</v>
      </c>
      <c r="C6" s="4" t="s">
        <v>38</v>
      </c>
      <c r="D6" s="4" t="s">
        <v>39</v>
      </c>
      <c r="E6" s="4" t="s">
        <v>40</v>
      </c>
      <c r="F6" s="4" t="s">
        <v>41</v>
      </c>
      <c r="G6" s="4" t="s">
        <v>42</v>
      </c>
    </row>
    <row r="7" customFormat="false" ht="105" hidden="false" customHeight="true" outlineLevel="0" collapsed="false">
      <c r="A7" s="8" t="s">
        <v>43</v>
      </c>
      <c r="B7" s="4" t="s">
        <v>44</v>
      </c>
      <c r="C7" s="4" t="s">
        <v>45</v>
      </c>
      <c r="D7" s="4" t="s">
        <v>46</v>
      </c>
      <c r="E7" s="4" t="s">
        <v>47</v>
      </c>
      <c r="F7" s="4" t="s">
        <v>48</v>
      </c>
      <c r="G7" s="4" t="s">
        <v>49</v>
      </c>
    </row>
    <row r="8" customFormat="false" ht="105" hidden="false" customHeight="true" outlineLevel="0" collapsed="false">
      <c r="A8" s="8" t="s">
        <v>50</v>
      </c>
      <c r="B8" s="4" t="s">
        <v>51</v>
      </c>
      <c r="C8" s="4" t="s">
        <v>52</v>
      </c>
      <c r="D8" s="4" t="s">
        <v>53</v>
      </c>
      <c r="E8" s="4" t="s">
        <v>54</v>
      </c>
      <c r="F8" s="4" t="s">
        <v>55</v>
      </c>
      <c r="G8" s="4" t="s">
        <v>56</v>
      </c>
    </row>
    <row r="9" customFormat="false" ht="105" hidden="false" customHeight="true" outlineLevel="0" collapsed="false">
      <c r="A9" s="8" t="s">
        <v>57</v>
      </c>
      <c r="B9" s="4" t="s">
        <v>58</v>
      </c>
      <c r="C9" s="4" t="s">
        <v>59</v>
      </c>
      <c r="D9" s="4" t="s">
        <v>60</v>
      </c>
      <c r="E9" s="4" t="s">
        <v>61</v>
      </c>
      <c r="F9" s="4" t="s">
        <v>62</v>
      </c>
      <c r="G9" s="4" t="s">
        <v>63</v>
      </c>
    </row>
    <row r="10" customFormat="false" ht="105" hidden="false" customHeight="true" outlineLevel="0" collapsed="false">
      <c r="A10" s="8" t="s">
        <v>64</v>
      </c>
      <c r="B10" s="4" t="s">
        <v>65</v>
      </c>
      <c r="C10" s="4" t="s">
        <v>66</v>
      </c>
      <c r="D10" s="4" t="s">
        <v>67</v>
      </c>
      <c r="E10" s="4" t="s">
        <v>68</v>
      </c>
      <c r="F10" s="4" t="s">
        <v>69</v>
      </c>
      <c r="G10" s="4" t="s">
        <v>70</v>
      </c>
    </row>
    <row r="11" customFormat="false" ht="105" hidden="false" customHeight="true" outlineLevel="0" collapsed="false">
      <c r="A11" s="8" t="s">
        <v>71</v>
      </c>
      <c r="B11" s="4" t="s">
        <v>72</v>
      </c>
      <c r="C11" s="4" t="s">
        <v>73</v>
      </c>
      <c r="D11" s="4" t="s">
        <v>74</v>
      </c>
      <c r="E11" s="4" t="s">
        <v>75</v>
      </c>
      <c r="F11" s="4" t="s">
        <v>76</v>
      </c>
      <c r="G11" s="4" t="s">
        <v>77</v>
      </c>
    </row>
    <row r="12" customFormat="false" ht="105" hidden="false" customHeight="true" outlineLevel="0" collapsed="false">
      <c r="A12" s="8" t="s">
        <v>78</v>
      </c>
      <c r="B12" s="4" t="s">
        <v>79</v>
      </c>
      <c r="C12" s="4" t="s">
        <v>80</v>
      </c>
      <c r="D12" s="4" t="s">
        <v>81</v>
      </c>
      <c r="E12" s="4" t="s">
        <v>82</v>
      </c>
      <c r="F12" s="4" t="s">
        <v>83</v>
      </c>
      <c r="G12" s="4" t="s">
        <v>84</v>
      </c>
    </row>
    <row r="13" customFormat="false" ht="105" hidden="false" customHeight="true" outlineLevel="0" collapsed="false">
      <c r="A13" s="8" t="s">
        <v>85</v>
      </c>
      <c r="B13" s="4" t="s">
        <v>86</v>
      </c>
      <c r="C13" s="4" t="s">
        <v>87</v>
      </c>
      <c r="D13" s="4" t="s">
        <v>88</v>
      </c>
      <c r="E13" s="4" t="s">
        <v>89</v>
      </c>
      <c r="F13" s="4" t="s">
        <v>90</v>
      </c>
      <c r="G13" s="4" t="s">
        <v>91</v>
      </c>
    </row>
    <row r="14" customFormat="false" ht="105" hidden="false" customHeight="true" outlineLevel="0" collapsed="false">
      <c r="A14" s="8" t="s">
        <v>92</v>
      </c>
      <c r="B14" s="4" t="s">
        <v>93</v>
      </c>
      <c r="C14" s="4" t="s">
        <v>94</v>
      </c>
      <c r="D14" s="4" t="s">
        <v>95</v>
      </c>
      <c r="E14" s="4" t="s">
        <v>96</v>
      </c>
      <c r="F14" s="4" t="s">
        <v>97</v>
      </c>
      <c r="G14" s="4" t="s">
        <v>98</v>
      </c>
    </row>
    <row r="15" customFormat="false" ht="105" hidden="false" customHeight="true" outlineLevel="0" collapsed="false">
      <c r="A15" s="8" t="s">
        <v>99</v>
      </c>
      <c r="B15" s="4" t="s">
        <v>100</v>
      </c>
      <c r="C15" s="4" t="s">
        <v>101</v>
      </c>
      <c r="D15" s="4" t="s">
        <v>102</v>
      </c>
      <c r="E15" s="4" t="s">
        <v>103</v>
      </c>
      <c r="F15" s="4" t="s">
        <v>104</v>
      </c>
      <c r="G15" s="4" t="s">
        <v>105</v>
      </c>
    </row>
    <row r="16" customFormat="false" ht="105" hidden="false" customHeight="true" outlineLevel="0" collapsed="false">
      <c r="A16" s="8" t="s">
        <v>106</v>
      </c>
      <c r="B16" s="4" t="s">
        <v>107</v>
      </c>
      <c r="C16" s="4" t="s">
        <v>108</v>
      </c>
      <c r="D16" s="4" t="s">
        <v>109</v>
      </c>
      <c r="E16" s="4" t="s">
        <v>110</v>
      </c>
      <c r="F16" s="4" t="s">
        <v>111</v>
      </c>
      <c r="G16" s="4" t="s">
        <v>112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44"/>
    <col collapsed="false" customWidth="true" hidden="false" outlineLevel="0" max="3" min="3" style="0" width="48"/>
    <col collapsed="false" customWidth="true" hidden="false" outlineLevel="0" max="4" min="4" style="0" width="14"/>
    <col collapsed="false" customWidth="true" hidden="false" outlineLevel="0" max="5" min="5" style="0" width="8"/>
    <col collapsed="false" customWidth="true" hidden="false" outlineLevel="0" max="6" min="6" style="0" width="18"/>
    <col collapsed="false" customWidth="true" hidden="false" outlineLevel="0" max="7" min="7" style="0" width="14"/>
    <col collapsed="false" customWidth="true" hidden="false" outlineLevel="0" max="8" min="8" style="0" width="70"/>
  </cols>
  <sheetData>
    <row r="1" customFormat="false" ht="17.35" hidden="false" customHeight="false" outlineLevel="0" collapsed="false">
      <c r="A1" s="1" t="s">
        <v>113</v>
      </c>
    </row>
    <row r="2" customFormat="false" ht="15" hidden="false" customHeight="false" outlineLevel="0" collapsed="false">
      <c r="A2" s="2" t="s">
        <v>114</v>
      </c>
    </row>
    <row r="4" customFormat="false" ht="23.85" hidden="false" customHeight="false" outlineLevel="0" collapsed="false">
      <c r="A4" s="7" t="s">
        <v>22</v>
      </c>
      <c r="B4" s="7" t="s">
        <v>115</v>
      </c>
      <c r="C4" s="7" t="s">
        <v>116</v>
      </c>
      <c r="D4" s="7" t="s">
        <v>117</v>
      </c>
      <c r="E4" s="7" t="s">
        <v>118</v>
      </c>
      <c r="F4" s="7" t="s">
        <v>119</v>
      </c>
      <c r="G4" s="7" t="s">
        <v>120</v>
      </c>
      <c r="H4" s="7" t="s">
        <v>121</v>
      </c>
    </row>
    <row r="5" customFormat="false" ht="23.85" hidden="false" customHeight="false" outlineLevel="0" collapsed="false">
      <c r="A5" s="4" t="s">
        <v>29</v>
      </c>
      <c r="B5" s="4" t="s">
        <v>122</v>
      </c>
      <c r="C5" s="4" t="s">
        <v>123</v>
      </c>
      <c r="D5" s="9" t="n">
        <v>72.6</v>
      </c>
      <c r="E5" s="4" t="s">
        <v>124</v>
      </c>
      <c r="F5" s="4" t="s">
        <v>125</v>
      </c>
      <c r="G5" s="10" t="n">
        <f aca="false">IF(OR(F5="Component",F5="Derived component"),D5/(SUMIFS($D$5:$D$200,$A$5:$A$200,A5,$B$5:$B$200,B5,$F$5:$F$200,"Component")+SUMIFS($D$5:$D$200,$A$5:$A$200,A5,$B$5:$B$200,B5,$F$5:$F$200,"Derived component")),"")</f>
        <v>0.872596153846154</v>
      </c>
      <c r="H5" s="4" t="s">
        <v>126</v>
      </c>
    </row>
    <row r="6" customFormat="false" ht="15" hidden="false" customHeight="false" outlineLevel="0" collapsed="false">
      <c r="A6" s="4" t="s">
        <v>29</v>
      </c>
      <c r="B6" s="4" t="s">
        <v>122</v>
      </c>
      <c r="C6" s="4" t="s">
        <v>127</v>
      </c>
      <c r="D6" s="9" t="n">
        <v>10.6</v>
      </c>
      <c r="E6" s="4" t="s">
        <v>124</v>
      </c>
      <c r="F6" s="4" t="s">
        <v>125</v>
      </c>
      <c r="G6" s="10" t="n">
        <f aca="false">IF(OR(F6="Component",F6="Derived component"),D6/(SUMIFS($D$5:$D$200,$A$5:$A$200,A6,$B$5:$B$200,B6,$F$5:$F$200,"Component")+SUMIFS($D$5:$D$200,$A$5:$A$200,A6,$B$5:$B$200,B6,$F$5:$F$200,"Derived component")),"")</f>
        <v>0.127403846153846</v>
      </c>
      <c r="H6" s="4" t="s">
        <v>128</v>
      </c>
    </row>
    <row r="7" customFormat="false" ht="15" hidden="false" customHeight="false" outlineLevel="0" collapsed="false">
      <c r="A7" s="11" t="s">
        <v>29</v>
      </c>
      <c r="B7" s="11" t="s">
        <v>122</v>
      </c>
      <c r="C7" s="11" t="s">
        <v>129</v>
      </c>
      <c r="D7" s="12" t="n">
        <v>83.2</v>
      </c>
      <c r="E7" s="11" t="s">
        <v>124</v>
      </c>
      <c r="F7" s="11" t="s">
        <v>130</v>
      </c>
      <c r="G7" s="13" t="str">
        <f aca="false">IF(OR(F7="Component",F7="Derived component"),D7/(SUMIFS($D$5:$D$200,$A$5:$A$200,A7,$B$5:$B$200,B7,$F$5:$F$200,"Component")+SUMIFS($D$5:$D$200,$A$5:$A$200,A7,$B$5:$B$200,B7,$F$5:$F$200,"Derived component")),"")</f>
        <v/>
      </c>
      <c r="H7" s="11" t="s">
        <v>131</v>
      </c>
    </row>
    <row r="8" customFormat="false" ht="15" hidden="false" customHeight="false" outlineLevel="0" collapsed="false">
      <c r="A8" s="4" t="s">
        <v>29</v>
      </c>
      <c r="B8" s="4" t="s">
        <v>132</v>
      </c>
      <c r="C8" s="4" t="s">
        <v>133</v>
      </c>
      <c r="D8" s="14" t="n">
        <v>81.66</v>
      </c>
      <c r="E8" s="4" t="s">
        <v>124</v>
      </c>
      <c r="F8" s="4" t="s">
        <v>134</v>
      </c>
      <c r="G8" s="10" t="str">
        <f aca="false">IF(OR(F8="Component",F8="Derived component"),D8/(SUMIFS($D$5:$D$200,$A$5:$A$200,A8,$B$5:$B$200,B8,$F$5:$F$200,"Component")+SUMIFS($D$5:$D$200,$A$5:$A$200,A8,$B$5:$B$200,B8,$F$5:$F$200,"Derived component")),"")</f>
        <v/>
      </c>
      <c r="H8" s="4" t="s">
        <v>128</v>
      </c>
    </row>
    <row r="9" customFormat="false" ht="23.85" hidden="false" customHeight="false" outlineLevel="0" collapsed="false">
      <c r="A9" s="4" t="s">
        <v>29</v>
      </c>
      <c r="B9" s="4" t="s">
        <v>132</v>
      </c>
      <c r="C9" s="4" t="s">
        <v>135</v>
      </c>
      <c r="D9" s="14" t="n">
        <v>3.58</v>
      </c>
      <c r="E9" s="4" t="s">
        <v>124</v>
      </c>
      <c r="F9" s="4" t="s">
        <v>134</v>
      </c>
      <c r="G9" s="10" t="str">
        <f aca="false">IF(OR(F9="Component",F9="Derived component"),D9/(SUMIFS($D$5:$D$200,$A$5:$A$200,A9,$B$5:$B$200,B9,$F$5:$F$200,"Component")+SUMIFS($D$5:$D$200,$A$5:$A$200,A9,$B$5:$B$200,B9,$F$5:$F$200,"Derived component")),"")</f>
        <v/>
      </c>
      <c r="H9" s="4" t="s">
        <v>136</v>
      </c>
    </row>
    <row r="10" customFormat="false" ht="15" hidden="false" customHeight="false" outlineLevel="0" collapsed="false">
      <c r="A10" s="4" t="s">
        <v>29</v>
      </c>
      <c r="B10" s="4" t="s">
        <v>132</v>
      </c>
      <c r="C10" s="4" t="s">
        <v>137</v>
      </c>
      <c r="D10" s="14" t="n">
        <v>11.31</v>
      </c>
      <c r="E10" s="4" t="s">
        <v>124</v>
      </c>
      <c r="F10" s="4" t="s">
        <v>134</v>
      </c>
      <c r="G10" s="10" t="str">
        <f aca="false">IF(OR(F10="Component",F10="Derived component"),D10/(SUMIFS($D$5:$D$200,$A$5:$A$200,A10,$B$5:$B$200,B10,$F$5:$F$200,"Component")+SUMIFS($D$5:$D$200,$A$5:$A$200,A10,$B$5:$B$200,B10,$F$5:$F$200,"Derived component")),"")</f>
        <v/>
      </c>
      <c r="H10" s="4" t="s">
        <v>128</v>
      </c>
    </row>
    <row r="11" customFormat="false" ht="15" hidden="false" customHeight="false" outlineLevel="0" collapsed="false">
      <c r="A11" s="4" t="s">
        <v>36</v>
      </c>
      <c r="B11" s="4" t="s">
        <v>122</v>
      </c>
      <c r="C11" s="4" t="s">
        <v>138</v>
      </c>
      <c r="D11" s="15" t="n">
        <v>21280</v>
      </c>
      <c r="E11" s="4" t="s">
        <v>139</v>
      </c>
      <c r="F11" s="4" t="s">
        <v>125</v>
      </c>
      <c r="G11" s="10" t="n">
        <f aca="false">IF(OR(F11="Component",F11="Derived component"),D11/(SUMIFS($D$5:$D$200,$A$5:$A$200,A11,$B$5:$B$200,B11,$F$5:$F$200,"Component")+SUMIFS($D$5:$D$200,$A$5:$A$200,A11,$B$5:$B$200,B11,$F$5:$F$200,"Derived component")),"")</f>
        <v>0.388023777396886</v>
      </c>
      <c r="H11" s="4" t="s">
        <v>140</v>
      </c>
    </row>
    <row r="12" customFormat="false" ht="15" hidden="false" customHeight="false" outlineLevel="0" collapsed="false">
      <c r="A12" s="4" t="s">
        <v>36</v>
      </c>
      <c r="B12" s="4" t="s">
        <v>122</v>
      </c>
      <c r="C12" s="4" t="s">
        <v>141</v>
      </c>
      <c r="D12" s="15" t="n">
        <v>7024</v>
      </c>
      <c r="E12" s="4" t="s">
        <v>139</v>
      </c>
      <c r="F12" s="4" t="s">
        <v>125</v>
      </c>
      <c r="G12" s="10" t="n">
        <f aca="false">IF(OR(F12="Component",F12="Derived component"),D12/(SUMIFS($D$5:$D$200,$A$5:$A$200,A12,$B$5:$B$200,B12,$F$5:$F$200,"Component")+SUMIFS($D$5:$D$200,$A$5:$A$200,A12,$B$5:$B$200,B12,$F$5:$F$200,"Derived component")),"")</f>
        <v>0.128077021261077</v>
      </c>
      <c r="H12" s="4" t="s">
        <v>140</v>
      </c>
    </row>
    <row r="13" customFormat="false" ht="15" hidden="false" customHeight="false" outlineLevel="0" collapsed="false">
      <c r="A13" s="4" t="s">
        <v>36</v>
      </c>
      <c r="B13" s="4" t="s">
        <v>122</v>
      </c>
      <c r="C13" s="4" t="s">
        <v>142</v>
      </c>
      <c r="D13" s="15" t="n">
        <v>2926</v>
      </c>
      <c r="E13" s="4" t="s">
        <v>139</v>
      </c>
      <c r="F13" s="4" t="s">
        <v>125</v>
      </c>
      <c r="G13" s="10" t="n">
        <f aca="false">IF(OR(F13="Component",F13="Derived component"),D13/(SUMIFS($D$5:$D$200,$A$5:$A$200,A13,$B$5:$B$200,B13,$F$5:$F$200,"Component")+SUMIFS($D$5:$D$200,$A$5:$A$200,A13,$B$5:$B$200,B13,$F$5:$F$200,"Derived component")),"")</f>
        <v>0.0533532693920718</v>
      </c>
      <c r="H13" s="4" t="s">
        <v>140</v>
      </c>
    </row>
    <row r="14" customFormat="false" ht="15" hidden="false" customHeight="false" outlineLevel="0" collapsed="false">
      <c r="A14" s="4" t="s">
        <v>36</v>
      </c>
      <c r="B14" s="4" t="s">
        <v>122</v>
      </c>
      <c r="C14" s="4" t="s">
        <v>143</v>
      </c>
      <c r="D14" s="15" t="n">
        <v>15024</v>
      </c>
      <c r="E14" s="4" t="s">
        <v>139</v>
      </c>
      <c r="F14" s="4" t="s">
        <v>125</v>
      </c>
      <c r="G14" s="10" t="n">
        <f aca="false">IF(OR(F14="Component",F14="Derived component"),D14/(SUMIFS($D$5:$D$200,$A$5:$A$200,A14,$B$5:$B$200,B14,$F$5:$F$200,"Component")+SUMIFS($D$5:$D$200,$A$5:$A$200,A14,$B$5:$B$200,B14,$F$5:$F$200,"Derived component")),"")</f>
        <v>0.273950621786222</v>
      </c>
      <c r="H14" s="4" t="s">
        <v>140</v>
      </c>
    </row>
    <row r="15" customFormat="false" ht="15" hidden="false" customHeight="false" outlineLevel="0" collapsed="false">
      <c r="A15" s="4" t="s">
        <v>36</v>
      </c>
      <c r="B15" s="4" t="s">
        <v>122</v>
      </c>
      <c r="C15" s="4" t="s">
        <v>144</v>
      </c>
      <c r="D15" s="15" t="n">
        <v>1309</v>
      </c>
      <c r="E15" s="4" t="s">
        <v>139</v>
      </c>
      <c r="F15" s="4" t="s">
        <v>125</v>
      </c>
      <c r="G15" s="10" t="n">
        <f aca="false">IF(OR(F15="Component",F15="Derived component"),D15/(SUMIFS($D$5:$D$200,$A$5:$A$200,A15,$B$5:$B$200,B15,$F$5:$F$200,"Component")+SUMIFS($D$5:$D$200,$A$5:$A$200,A15,$B$5:$B$200,B15,$F$5:$F$200,"Derived component")),"")</f>
        <v>0.0238685678859268</v>
      </c>
      <c r="H15" s="4" t="s">
        <v>140</v>
      </c>
    </row>
    <row r="16" customFormat="false" ht="15" hidden="false" customHeight="false" outlineLevel="0" collapsed="false">
      <c r="A16" s="4" t="s">
        <v>36</v>
      </c>
      <c r="B16" s="4" t="s">
        <v>122</v>
      </c>
      <c r="C16" s="4" t="s">
        <v>145</v>
      </c>
      <c r="D16" s="15" t="n">
        <v>7279</v>
      </c>
      <c r="E16" s="4" t="s">
        <v>139</v>
      </c>
      <c r="F16" s="4" t="s">
        <v>125</v>
      </c>
      <c r="G16" s="10" t="n">
        <f aca="false">IF(OR(F16="Component",F16="Derived component"),D16/(SUMIFS($D$5:$D$200,$A$5:$A$200,A16,$B$5:$B$200,B16,$F$5:$F$200,"Component")+SUMIFS($D$5:$D$200,$A$5:$A$200,A16,$B$5:$B$200,B16,$F$5:$F$200,"Derived component")),"")</f>
        <v>0.132726742277816</v>
      </c>
      <c r="H16" s="4" t="s">
        <v>140</v>
      </c>
    </row>
    <row r="17" customFormat="false" ht="15" hidden="false" customHeight="false" outlineLevel="0" collapsed="false">
      <c r="A17" s="11" t="s">
        <v>36</v>
      </c>
      <c r="B17" s="11" t="s">
        <v>122</v>
      </c>
      <c r="C17" s="11" t="s">
        <v>129</v>
      </c>
      <c r="D17" s="16" t="n">
        <v>54842</v>
      </c>
      <c r="E17" s="11" t="s">
        <v>139</v>
      </c>
      <c r="F17" s="11" t="s">
        <v>130</v>
      </c>
      <c r="G17" s="13" t="str">
        <f aca="false">IF(OR(F17="Component",F17="Derived component"),D17/(SUMIFS($D$5:$D$200,$A$5:$A$200,A17,$B$5:$B$200,B17,$F$5:$F$200,"Component")+SUMIFS($D$5:$D$200,$A$5:$A$200,A17,$B$5:$B$200,B17,$F$5:$F$200,"Derived component")),"")</f>
        <v/>
      </c>
      <c r="H17" s="11" t="s">
        <v>140</v>
      </c>
    </row>
    <row r="18" customFormat="false" ht="15" hidden="false" customHeight="false" outlineLevel="0" collapsed="false">
      <c r="A18" s="4" t="s">
        <v>36</v>
      </c>
      <c r="B18" s="4" t="s">
        <v>146</v>
      </c>
      <c r="C18" s="4" t="s">
        <v>138</v>
      </c>
      <c r="D18" s="15" t="n">
        <v>7559</v>
      </c>
      <c r="E18" s="4" t="s">
        <v>139</v>
      </c>
      <c r="F18" s="4" t="s">
        <v>125</v>
      </c>
      <c r="G18" s="10" t="n">
        <f aca="false">IF(OR(F18="Component",F18="Derived component"),D18/(SUMIFS($D$5:$D$200,$A$5:$A$200,A18,$B$5:$B$200,B18,$F$5:$F$200,"Component")+SUMIFS($D$5:$D$200,$A$5:$A$200,A18,$B$5:$B$200,B18,$F$5:$F$200,"Derived component")),"")</f>
        <v>0.53131369930414</v>
      </c>
      <c r="H18" s="4" t="s">
        <v>140</v>
      </c>
    </row>
    <row r="19" customFormat="false" ht="15" hidden="false" customHeight="false" outlineLevel="0" collapsed="false">
      <c r="A19" s="4" t="s">
        <v>36</v>
      </c>
      <c r="B19" s="4" t="s">
        <v>146</v>
      </c>
      <c r="C19" s="4" t="s">
        <v>141</v>
      </c>
      <c r="D19" s="15" t="n">
        <v>1048</v>
      </c>
      <c r="E19" s="4" t="s">
        <v>139</v>
      </c>
      <c r="F19" s="4" t="s">
        <v>125</v>
      </c>
      <c r="G19" s="10" t="n">
        <f aca="false">IF(OR(F19="Component",F19="Derived component"),D19/(SUMIFS($D$5:$D$200,$A$5:$A$200,A19,$B$5:$B$200,B19,$F$5:$F$200,"Component")+SUMIFS($D$5:$D$200,$A$5:$A$200,A19,$B$5:$B$200,B19,$F$5:$F$200,"Derived component")),"")</f>
        <v>0.0736627539186055</v>
      </c>
      <c r="H19" s="4" t="s">
        <v>140</v>
      </c>
    </row>
    <row r="20" customFormat="false" ht="15" hidden="false" customHeight="false" outlineLevel="0" collapsed="false">
      <c r="A20" s="4" t="s">
        <v>36</v>
      </c>
      <c r="B20" s="4" t="s">
        <v>146</v>
      </c>
      <c r="C20" s="4" t="s">
        <v>142</v>
      </c>
      <c r="D20" s="15" t="n">
        <v>577</v>
      </c>
      <c r="E20" s="4" t="s">
        <v>139</v>
      </c>
      <c r="F20" s="4" t="s">
        <v>125</v>
      </c>
      <c r="G20" s="10" t="n">
        <f aca="false">IF(OR(F20="Component",F20="Derived component"),D20/(SUMIFS($D$5:$D$200,$A$5:$A$200,A20,$B$5:$B$200,B20,$F$5:$F$200,"Component")+SUMIFS($D$5:$D$200,$A$5:$A$200,A20,$B$5:$B$200,B20,$F$5:$F$200,"Derived component")),"")</f>
        <v>0.0405566879876292</v>
      </c>
      <c r="H20" s="4" t="s">
        <v>140</v>
      </c>
    </row>
    <row r="21" customFormat="false" ht="15" hidden="false" customHeight="false" outlineLevel="0" collapsed="false">
      <c r="A21" s="4" t="s">
        <v>36</v>
      </c>
      <c r="B21" s="4" t="s">
        <v>146</v>
      </c>
      <c r="C21" s="4" t="s">
        <v>143</v>
      </c>
      <c r="D21" s="15" t="n">
        <v>3167</v>
      </c>
      <c r="E21" s="4" t="s">
        <v>139</v>
      </c>
      <c r="F21" s="4" t="s">
        <v>125</v>
      </c>
      <c r="G21" s="10" t="n">
        <f aca="false">IF(OR(F21="Component",F21="Derived component"),D21/(SUMIFS($D$5:$D$200,$A$5:$A$200,A21,$B$5:$B$200,B21,$F$5:$F$200,"Component")+SUMIFS($D$5:$D$200,$A$5:$A$200,A21,$B$5:$B$200,B21,$F$5:$F$200,"Derived component")),"")</f>
        <v>0.222604906164335</v>
      </c>
      <c r="H21" s="4" t="s">
        <v>140</v>
      </c>
    </row>
    <row r="22" customFormat="false" ht="15" hidden="false" customHeight="false" outlineLevel="0" collapsed="false">
      <c r="A22" s="4" t="s">
        <v>36</v>
      </c>
      <c r="B22" s="4" t="s">
        <v>146</v>
      </c>
      <c r="C22" s="4" t="s">
        <v>144</v>
      </c>
      <c r="D22" s="15" t="n">
        <v>634</v>
      </c>
      <c r="E22" s="4" t="s">
        <v>139</v>
      </c>
      <c r="F22" s="4" t="s">
        <v>125</v>
      </c>
      <c r="G22" s="10" t="n">
        <f aca="false">IF(OR(F22="Component",F22="Derived component"),D22/(SUMIFS($D$5:$D$200,$A$5:$A$200,A22,$B$5:$B$200,B22,$F$5:$F$200,"Component")+SUMIFS($D$5:$D$200,$A$5:$A$200,A22,$B$5:$B$200,B22,$F$5:$F$200,"Derived component")),"")</f>
        <v>0.0445631545652632</v>
      </c>
      <c r="H22" s="4" t="s">
        <v>140</v>
      </c>
    </row>
    <row r="23" customFormat="false" ht="15" hidden="false" customHeight="false" outlineLevel="0" collapsed="false">
      <c r="A23" s="4" t="s">
        <v>36</v>
      </c>
      <c r="B23" s="4" t="s">
        <v>146</v>
      </c>
      <c r="C23" s="4" t="s">
        <v>145</v>
      </c>
      <c r="D23" s="15" t="n">
        <v>1242</v>
      </c>
      <c r="E23" s="4" t="s">
        <v>139</v>
      </c>
      <c r="F23" s="4" t="s">
        <v>125</v>
      </c>
      <c r="G23" s="10" t="n">
        <f aca="false">IF(OR(F23="Component",F23="Derived component"),D23/(SUMIFS($D$5:$D$200,$A$5:$A$200,A23,$B$5:$B$200,B23,$F$5:$F$200,"Component")+SUMIFS($D$5:$D$200,$A$5:$A$200,A23,$B$5:$B$200,B23,$F$5:$F$200,"Derived component")),"")</f>
        <v>0.0872987980600267</v>
      </c>
      <c r="H23" s="4" t="s">
        <v>140</v>
      </c>
    </row>
    <row r="24" customFormat="false" ht="15" hidden="false" customHeight="false" outlineLevel="0" collapsed="false">
      <c r="A24" s="11" t="s">
        <v>36</v>
      </c>
      <c r="B24" s="11" t="s">
        <v>146</v>
      </c>
      <c r="C24" s="11" t="s">
        <v>147</v>
      </c>
      <c r="D24" s="16" t="n">
        <v>14227</v>
      </c>
      <c r="E24" s="11" t="s">
        <v>139</v>
      </c>
      <c r="F24" s="11" t="s">
        <v>130</v>
      </c>
      <c r="G24" s="13" t="str">
        <f aca="false">IF(OR(F24="Component",F24="Derived component"),D24/(SUMIFS($D$5:$D$200,$A$5:$A$200,A24,$B$5:$B$200,B24,$F$5:$F$200,"Component")+SUMIFS($D$5:$D$200,$A$5:$A$200,A24,$B$5:$B$200,B24,$F$5:$F$200,"Derived component")),"")</f>
        <v/>
      </c>
      <c r="H24" s="11" t="s">
        <v>140</v>
      </c>
    </row>
    <row r="25" customFormat="false" ht="15" hidden="false" customHeight="false" outlineLevel="0" collapsed="false">
      <c r="A25" s="4" t="s">
        <v>43</v>
      </c>
      <c r="B25" s="4" t="s">
        <v>148</v>
      </c>
      <c r="C25" s="4" t="s">
        <v>149</v>
      </c>
      <c r="D25" s="15" t="n">
        <v>8759</v>
      </c>
      <c r="E25" s="4" t="s">
        <v>139</v>
      </c>
      <c r="F25" s="4" t="s">
        <v>125</v>
      </c>
      <c r="G25" s="10" t="n">
        <f aca="false">IF(OR(F25="Component",F25="Derived component"),D25/(SUMIFS($D$5:$D$200,$A$5:$A$200,A25,$B$5:$B$200,B25,$F$5:$F$200,"Component")+SUMIFS($D$5:$D$200,$A$5:$A$200,A25,$B$5:$B$200,B25,$F$5:$F$200,"Derived component")),"")</f>
        <v>0.369968321013728</v>
      </c>
      <c r="H25" s="4" t="s">
        <v>150</v>
      </c>
    </row>
    <row r="26" customFormat="false" ht="15" hidden="false" customHeight="false" outlineLevel="0" collapsed="false">
      <c r="A26" s="4" t="s">
        <v>43</v>
      </c>
      <c r="B26" s="4" t="s">
        <v>148</v>
      </c>
      <c r="C26" s="4" t="s">
        <v>151</v>
      </c>
      <c r="D26" s="15" t="n">
        <v>8663</v>
      </c>
      <c r="E26" s="4" t="s">
        <v>139</v>
      </c>
      <c r="F26" s="4" t="s">
        <v>125</v>
      </c>
      <c r="G26" s="10" t="n">
        <f aca="false">IF(OR(F26="Component",F26="Derived component"),D26/(SUMIFS($D$5:$D$200,$A$5:$A$200,A26,$B$5:$B$200,B26,$F$5:$F$200,"Component")+SUMIFS($D$5:$D$200,$A$5:$A$200,A26,$B$5:$B$200,B26,$F$5:$F$200,"Derived component")),"")</f>
        <v>0.365913410770855</v>
      </c>
      <c r="H26" s="4" t="s">
        <v>150</v>
      </c>
    </row>
    <row r="27" customFormat="false" ht="15" hidden="false" customHeight="false" outlineLevel="0" collapsed="false">
      <c r="A27" s="4" t="s">
        <v>43</v>
      </c>
      <c r="B27" s="4" t="s">
        <v>148</v>
      </c>
      <c r="C27" s="4" t="s">
        <v>152</v>
      </c>
      <c r="D27" s="15" t="n">
        <v>6253</v>
      </c>
      <c r="E27" s="4" t="s">
        <v>139</v>
      </c>
      <c r="F27" s="4" t="s">
        <v>125</v>
      </c>
      <c r="G27" s="10" t="n">
        <f aca="false">IF(OR(F27="Component",F27="Derived component"),D27/(SUMIFS($D$5:$D$200,$A$5:$A$200,A27,$B$5:$B$200,B27,$F$5:$F$200,"Component")+SUMIFS($D$5:$D$200,$A$5:$A$200,A27,$B$5:$B$200,B27,$F$5:$F$200,"Derived component")),"")</f>
        <v>0.264118268215417</v>
      </c>
      <c r="H27" s="4" t="s">
        <v>150</v>
      </c>
    </row>
    <row r="28" customFormat="false" ht="15" hidden="false" customHeight="false" outlineLevel="0" collapsed="false">
      <c r="A28" s="11" t="s">
        <v>43</v>
      </c>
      <c r="B28" s="11" t="s">
        <v>148</v>
      </c>
      <c r="C28" s="11" t="s">
        <v>153</v>
      </c>
      <c r="D28" s="16" t="n">
        <v>23675</v>
      </c>
      <c r="E28" s="11" t="s">
        <v>139</v>
      </c>
      <c r="F28" s="11" t="s">
        <v>130</v>
      </c>
      <c r="G28" s="13" t="str">
        <f aca="false">IF(OR(F28="Component",F28="Derived component"),D28/(SUMIFS($D$5:$D$200,$A$5:$A$200,A28,$B$5:$B$200,B28,$F$5:$F$200,"Component")+SUMIFS($D$5:$D$200,$A$5:$A$200,A28,$B$5:$B$200,B28,$F$5:$F$200,"Derived component")),"")</f>
        <v/>
      </c>
      <c r="H28" s="11" t="s">
        <v>150</v>
      </c>
    </row>
    <row r="29" customFormat="false" ht="15" hidden="false" customHeight="false" outlineLevel="0" collapsed="false">
      <c r="A29" s="4" t="s">
        <v>43</v>
      </c>
      <c r="B29" s="4" t="s">
        <v>154</v>
      </c>
      <c r="C29" s="4" t="s">
        <v>155</v>
      </c>
      <c r="D29" s="15" t="n">
        <v>2300</v>
      </c>
      <c r="E29" s="4" t="s">
        <v>139</v>
      </c>
      <c r="F29" s="4" t="s">
        <v>134</v>
      </c>
      <c r="G29" s="10" t="str">
        <f aca="false">IF(OR(F29="Component",F29="Derived component"),D29/(SUMIFS($D$5:$D$200,$A$5:$A$200,A29,$B$5:$B$200,B29,$F$5:$F$200,"Component")+SUMIFS($D$5:$D$200,$A$5:$A$200,A29,$B$5:$B$200,B29,$F$5:$F$200,"Derived component")),"")</f>
        <v/>
      </c>
      <c r="H29" s="4" t="s">
        <v>156</v>
      </c>
    </row>
    <row r="30" customFormat="false" ht="15" hidden="false" customHeight="false" outlineLevel="0" collapsed="false">
      <c r="A30" s="4" t="s">
        <v>43</v>
      </c>
      <c r="B30" s="4" t="s">
        <v>154</v>
      </c>
      <c r="C30" s="4" t="s">
        <v>157</v>
      </c>
      <c r="D30" s="15" t="n">
        <v>1100</v>
      </c>
      <c r="E30" s="4" t="s">
        <v>139</v>
      </c>
      <c r="F30" s="4" t="s">
        <v>134</v>
      </c>
      <c r="G30" s="10" t="str">
        <f aca="false">IF(OR(F30="Component",F30="Derived component"),D30/(SUMIFS($D$5:$D$200,$A$5:$A$200,A30,$B$5:$B$200,B30,$F$5:$F$200,"Component")+SUMIFS($D$5:$D$200,$A$5:$A$200,A30,$B$5:$B$200,B30,$F$5:$F$200,"Derived component")),"")</f>
        <v/>
      </c>
      <c r="H30" s="4" t="s">
        <v>158</v>
      </c>
    </row>
    <row r="31" customFormat="false" ht="15" hidden="false" customHeight="false" outlineLevel="0" collapsed="false">
      <c r="A31" s="4" t="s">
        <v>43</v>
      </c>
      <c r="B31" s="4" t="s">
        <v>154</v>
      </c>
      <c r="C31" s="4" t="s">
        <v>159</v>
      </c>
      <c r="D31" s="15" t="n">
        <v>70</v>
      </c>
      <c r="E31" s="4" t="s">
        <v>139</v>
      </c>
      <c r="F31" s="4" t="s">
        <v>134</v>
      </c>
      <c r="G31" s="10" t="str">
        <f aca="false">IF(OR(F31="Component",F31="Derived component"),D31/(SUMIFS($D$5:$D$200,$A$5:$A$200,A31,$B$5:$B$200,B31,$F$5:$F$200,"Component")+SUMIFS($D$5:$D$200,$A$5:$A$200,A31,$B$5:$B$200,B31,$F$5:$F$200,"Derived component")),"")</f>
        <v/>
      </c>
      <c r="H31" s="4" t="s">
        <v>160</v>
      </c>
    </row>
    <row r="32" customFormat="false" ht="15" hidden="false" customHeight="false" outlineLevel="0" collapsed="false">
      <c r="A32" s="4" t="s">
        <v>43</v>
      </c>
      <c r="B32" s="4" t="s">
        <v>154</v>
      </c>
      <c r="C32" s="4" t="s">
        <v>161</v>
      </c>
      <c r="D32" s="15" t="n">
        <v>4200</v>
      </c>
      <c r="E32" s="4" t="s">
        <v>139</v>
      </c>
      <c r="F32" s="4" t="s">
        <v>134</v>
      </c>
      <c r="G32" s="10" t="str">
        <f aca="false">IF(OR(F32="Component",F32="Derived component"),D32/(SUMIFS($D$5:$D$200,$A$5:$A$200,A32,$B$5:$B$200,B32,$F$5:$F$200,"Component")+SUMIFS($D$5:$D$200,$A$5:$A$200,A32,$B$5:$B$200,B32,$F$5:$F$200,"Derived component")),"")</f>
        <v/>
      </c>
      <c r="H32" s="4" t="s">
        <v>162</v>
      </c>
    </row>
    <row r="33" customFormat="false" ht="15" hidden="false" customHeight="false" outlineLevel="0" collapsed="false">
      <c r="A33" s="4" t="s">
        <v>50</v>
      </c>
      <c r="B33" s="4" t="s">
        <v>163</v>
      </c>
      <c r="C33" s="4" t="s">
        <v>164</v>
      </c>
      <c r="D33" s="9" t="n">
        <v>9</v>
      </c>
      <c r="E33" s="4" t="s">
        <v>165</v>
      </c>
      <c r="F33" s="4" t="s">
        <v>125</v>
      </c>
      <c r="G33" s="10" t="n">
        <f aca="false">IF(OR(F33="Component",F33="Derived component"),D33/(SUMIFS($D$5:$D$200,$A$5:$A$200,A33,$B$5:$B$200,B33,$F$5:$F$200,"Component")+SUMIFS($D$5:$D$200,$A$5:$A$200,A33,$B$5:$B$200,B33,$F$5:$F$200,"Derived component")),"")</f>
        <v>0.517241379310345</v>
      </c>
      <c r="H33" s="4" t="s">
        <v>166</v>
      </c>
    </row>
    <row r="34" customFormat="false" ht="15" hidden="false" customHeight="false" outlineLevel="0" collapsed="false">
      <c r="A34" s="4" t="s">
        <v>50</v>
      </c>
      <c r="B34" s="4" t="s">
        <v>163</v>
      </c>
      <c r="C34" s="4" t="s">
        <v>167</v>
      </c>
      <c r="D34" s="9" t="n">
        <v>5.6</v>
      </c>
      <c r="E34" s="4" t="s">
        <v>165</v>
      </c>
      <c r="F34" s="4" t="s">
        <v>125</v>
      </c>
      <c r="G34" s="10" t="n">
        <f aca="false">IF(OR(F34="Component",F34="Derived component"),D34/(SUMIFS($D$5:$D$200,$A$5:$A$200,A34,$B$5:$B$200,B34,$F$5:$F$200,"Component")+SUMIFS($D$5:$D$200,$A$5:$A$200,A34,$B$5:$B$200,B34,$F$5:$F$200,"Derived component")),"")</f>
        <v>0.32183908045977</v>
      </c>
      <c r="H34" s="4" t="s">
        <v>166</v>
      </c>
    </row>
    <row r="35" customFormat="false" ht="15" hidden="false" customHeight="false" outlineLevel="0" collapsed="false">
      <c r="A35" s="17" t="s">
        <v>50</v>
      </c>
      <c r="B35" s="17" t="s">
        <v>163</v>
      </c>
      <c r="C35" s="17" t="s">
        <v>168</v>
      </c>
      <c r="D35" s="18" t="n">
        <f aca="false">D36-D33-D34</f>
        <v>2.8</v>
      </c>
      <c r="E35" s="17" t="s">
        <v>165</v>
      </c>
      <c r="F35" s="17" t="s">
        <v>169</v>
      </c>
      <c r="G35" s="19" t="n">
        <f aca="false">IF(OR(F35="Component",F35="Derived component"),D35/(SUMIFS($D$5:$D$200,$A$5:$A$200,A35,$B$5:$B$200,B35,$F$5:$F$200,"Component")+SUMIFS($D$5:$D$200,$A$5:$A$200,A35,$B$5:$B$200,B35,$F$5:$F$200,"Derived component")),"")</f>
        <v>0.160919540229885</v>
      </c>
      <c r="H35" s="17" t="s">
        <v>170</v>
      </c>
    </row>
    <row r="36" customFormat="false" ht="15" hidden="false" customHeight="false" outlineLevel="0" collapsed="false">
      <c r="A36" s="11" t="s">
        <v>50</v>
      </c>
      <c r="B36" s="11" t="s">
        <v>163</v>
      </c>
      <c r="C36" s="11" t="s">
        <v>171</v>
      </c>
      <c r="D36" s="12" t="n">
        <v>17.4</v>
      </c>
      <c r="E36" s="11" t="s">
        <v>165</v>
      </c>
      <c r="F36" s="11" t="s">
        <v>130</v>
      </c>
      <c r="G36" s="13" t="str">
        <f aca="false">IF(OR(F36="Component",F36="Derived component"),D36/(SUMIFS($D$5:$D$200,$A$5:$A$200,A36,$B$5:$B$200,B36,$F$5:$F$200,"Component")+SUMIFS($D$5:$D$200,$A$5:$A$200,A36,$B$5:$B$200,B36,$F$5:$F$200,"Derived component")),"")</f>
        <v/>
      </c>
      <c r="H36" s="11" t="s">
        <v>166</v>
      </c>
    </row>
    <row r="37" customFormat="false" ht="15" hidden="false" customHeight="false" outlineLevel="0" collapsed="false">
      <c r="A37" s="4" t="s">
        <v>50</v>
      </c>
      <c r="B37" s="4" t="s">
        <v>172</v>
      </c>
      <c r="C37" s="4" t="s">
        <v>173</v>
      </c>
      <c r="D37" s="9" t="n">
        <v>186.9</v>
      </c>
      <c r="E37" s="4" t="s">
        <v>165</v>
      </c>
      <c r="F37" s="4" t="s">
        <v>134</v>
      </c>
      <c r="G37" s="10" t="str">
        <f aca="false">IF(OR(F37="Component",F37="Derived component"),D37/(SUMIFS($D$5:$D$200,$A$5:$A$200,A37,$B$5:$B$200,B37,$F$5:$F$200,"Component")+SUMIFS($D$5:$D$200,$A$5:$A$200,A37,$B$5:$B$200,B37,$F$5:$F$200,"Derived component")),"")</f>
        <v/>
      </c>
      <c r="H37" s="4" t="s">
        <v>166</v>
      </c>
    </row>
    <row r="38" customFormat="false" ht="15" hidden="false" customHeight="false" outlineLevel="0" collapsed="false">
      <c r="A38" s="4" t="s">
        <v>50</v>
      </c>
      <c r="B38" s="4" t="s">
        <v>172</v>
      </c>
      <c r="C38" s="4" t="s">
        <v>174</v>
      </c>
      <c r="D38" s="9" t="n">
        <v>86.7</v>
      </c>
      <c r="E38" s="4" t="s">
        <v>165</v>
      </c>
      <c r="F38" s="4" t="s">
        <v>134</v>
      </c>
      <c r="G38" s="10" t="str">
        <f aca="false">IF(OR(F38="Component",F38="Derived component"),D38/(SUMIFS($D$5:$D$200,$A$5:$A$200,A38,$B$5:$B$200,B38,$F$5:$F$200,"Component")+SUMIFS($D$5:$D$200,$A$5:$A$200,A38,$B$5:$B$200,B38,$F$5:$F$200,"Derived component")),"")</f>
        <v/>
      </c>
      <c r="H38" s="4" t="s">
        <v>166</v>
      </c>
    </row>
    <row r="39" customFormat="false" ht="15" hidden="false" customHeight="false" outlineLevel="0" collapsed="false">
      <c r="A39" s="4" t="s">
        <v>50</v>
      </c>
      <c r="B39" s="4" t="s">
        <v>172</v>
      </c>
      <c r="C39" s="4" t="s">
        <v>175</v>
      </c>
      <c r="D39" s="9" t="n">
        <v>8.5</v>
      </c>
      <c r="E39" s="4" t="s">
        <v>165</v>
      </c>
      <c r="F39" s="4" t="s">
        <v>134</v>
      </c>
      <c r="G39" s="10" t="str">
        <f aca="false">IF(OR(F39="Component",F39="Derived component"),D39/(SUMIFS($D$5:$D$200,$A$5:$A$200,A39,$B$5:$B$200,B39,$F$5:$F$200,"Component")+SUMIFS($D$5:$D$200,$A$5:$A$200,A39,$B$5:$B$200,B39,$F$5:$F$200,"Derived component")),"")</f>
        <v/>
      </c>
      <c r="H39" s="4" t="s">
        <v>166</v>
      </c>
    </row>
    <row r="40" customFormat="false" ht="15" hidden="false" customHeight="false" outlineLevel="0" collapsed="false">
      <c r="A40" s="4" t="s">
        <v>50</v>
      </c>
      <c r="B40" s="4" t="s">
        <v>172</v>
      </c>
      <c r="C40" s="4" t="s">
        <v>176</v>
      </c>
      <c r="D40" s="20" t="n">
        <v>1.99</v>
      </c>
      <c r="E40" s="4" t="s">
        <v>177</v>
      </c>
      <c r="F40" s="4" t="s">
        <v>134</v>
      </c>
      <c r="G40" s="10" t="str">
        <f aca="false">IF(OR(F40="Component",F40="Derived component"),D40/(SUMIFS($D$5:$D$200,$A$5:$A$200,A40,$B$5:$B$200,B40,$F$5:$F$200,"Component")+SUMIFS($D$5:$D$200,$A$5:$A$200,A40,$B$5:$B$200,B40,$F$5:$F$200,"Derived component")),"")</f>
        <v/>
      </c>
      <c r="H40" s="4" t="s">
        <v>178</v>
      </c>
    </row>
    <row r="41" customFormat="false" ht="15" hidden="false" customHeight="false" outlineLevel="0" collapsed="false">
      <c r="A41" s="17" t="s">
        <v>57</v>
      </c>
      <c r="B41" s="17" t="s">
        <v>179</v>
      </c>
      <c r="C41" s="17" t="s">
        <v>180</v>
      </c>
      <c r="D41" s="18" t="n">
        <f aca="false">D44-D42-D43</f>
        <v>22.6</v>
      </c>
      <c r="E41" s="17" t="s">
        <v>124</v>
      </c>
      <c r="F41" s="17" t="s">
        <v>169</v>
      </c>
      <c r="G41" s="19" t="n">
        <f aca="false">IF(OR(F41="Component",F41="Derived component"),D41/(SUMIFS($D$5:$D$200,$A$5:$A$200,A41,$B$5:$B$200,B41,$F$5:$F$200,"Component")+SUMIFS($D$5:$D$200,$A$5:$A$200,A41,$B$5:$B$200,B41,$F$5:$F$200,"Derived component")),"")</f>
        <v>0.509009009009009</v>
      </c>
      <c r="H41" s="17" t="s">
        <v>181</v>
      </c>
    </row>
    <row r="42" customFormat="false" ht="15" hidden="false" customHeight="false" outlineLevel="0" collapsed="false">
      <c r="A42" s="4" t="s">
        <v>57</v>
      </c>
      <c r="B42" s="4" t="s">
        <v>179</v>
      </c>
      <c r="C42" s="4" t="s">
        <v>182</v>
      </c>
      <c r="D42" s="9" t="n">
        <v>4.3</v>
      </c>
      <c r="E42" s="4" t="s">
        <v>124</v>
      </c>
      <c r="F42" s="4" t="s">
        <v>125</v>
      </c>
      <c r="G42" s="10" t="n">
        <f aca="false">IF(OR(F42="Component",F42="Derived component"),D42/(SUMIFS($D$5:$D$200,$A$5:$A$200,A42,$B$5:$B$200,B42,$F$5:$F$200,"Component")+SUMIFS($D$5:$D$200,$A$5:$A$200,A42,$B$5:$B$200,B42,$F$5:$F$200,"Derived component")),"")</f>
        <v>0.0968468468468468</v>
      </c>
      <c r="H42" s="4" t="s">
        <v>183</v>
      </c>
    </row>
    <row r="43" customFormat="false" ht="15" hidden="false" customHeight="false" outlineLevel="0" collapsed="false">
      <c r="A43" s="4" t="s">
        <v>57</v>
      </c>
      <c r="B43" s="4" t="s">
        <v>179</v>
      </c>
      <c r="C43" s="4" t="s">
        <v>184</v>
      </c>
      <c r="D43" s="9" t="n">
        <v>17.5</v>
      </c>
      <c r="E43" s="4" t="s">
        <v>124</v>
      </c>
      <c r="F43" s="4" t="s">
        <v>125</v>
      </c>
      <c r="G43" s="10" t="n">
        <f aca="false">IF(OR(F43="Component",F43="Derived component"),D43/(SUMIFS($D$5:$D$200,$A$5:$A$200,A43,$B$5:$B$200,B43,$F$5:$F$200,"Component")+SUMIFS($D$5:$D$200,$A$5:$A$200,A43,$B$5:$B$200,B43,$F$5:$F$200,"Derived component")),"")</f>
        <v>0.394144144144144</v>
      </c>
      <c r="H43" s="4" t="s">
        <v>183</v>
      </c>
    </row>
    <row r="44" customFormat="false" ht="15" hidden="false" customHeight="false" outlineLevel="0" collapsed="false">
      <c r="A44" s="11" t="s">
        <v>57</v>
      </c>
      <c r="B44" s="11" t="s">
        <v>179</v>
      </c>
      <c r="C44" s="11" t="s">
        <v>185</v>
      </c>
      <c r="D44" s="12" t="n">
        <v>44.4</v>
      </c>
      <c r="E44" s="11" t="s">
        <v>124</v>
      </c>
      <c r="F44" s="11" t="s">
        <v>130</v>
      </c>
      <c r="G44" s="13" t="str">
        <f aca="false">IF(OR(F44="Component",F44="Derived component"),D44/(SUMIFS($D$5:$D$200,$A$5:$A$200,A44,$B$5:$B$200,B44,$F$5:$F$200,"Component")+SUMIFS($D$5:$D$200,$A$5:$A$200,A44,$B$5:$B$200,B44,$F$5:$F$200,"Derived component")),"")</f>
        <v/>
      </c>
      <c r="H44" s="11" t="s">
        <v>183</v>
      </c>
    </row>
    <row r="45" customFormat="false" ht="15" hidden="false" customHeight="false" outlineLevel="0" collapsed="false">
      <c r="A45" s="4" t="s">
        <v>57</v>
      </c>
      <c r="B45" s="4" t="s">
        <v>186</v>
      </c>
      <c r="C45" s="4" t="s">
        <v>187</v>
      </c>
      <c r="D45" s="15" t="n">
        <v>1290</v>
      </c>
      <c r="E45" s="4" t="s">
        <v>139</v>
      </c>
      <c r="F45" s="4" t="s">
        <v>125</v>
      </c>
      <c r="G45" s="10" t="n">
        <f aca="false">IF(OR(F45="Component",F45="Derived component"),D45/(SUMIFS($D$5:$D$200,$A$5:$A$200,A45,$B$5:$B$200,B45,$F$5:$F$200,"Component")+SUMIFS($D$5:$D$200,$A$5:$A$200,A45,$B$5:$B$200,B45,$F$5:$F$200,"Derived component")),"")</f>
        <v>0.493119266055046</v>
      </c>
      <c r="H45" s="4" t="s">
        <v>188</v>
      </c>
    </row>
    <row r="46" customFormat="false" ht="15" hidden="false" customHeight="false" outlineLevel="0" collapsed="false">
      <c r="A46" s="4" t="s">
        <v>57</v>
      </c>
      <c r="B46" s="4" t="s">
        <v>186</v>
      </c>
      <c r="C46" s="4" t="s">
        <v>182</v>
      </c>
      <c r="D46" s="15" t="n">
        <v>236</v>
      </c>
      <c r="E46" s="4" t="s">
        <v>139</v>
      </c>
      <c r="F46" s="4" t="s">
        <v>125</v>
      </c>
      <c r="G46" s="10" t="n">
        <f aca="false">IF(OR(F46="Component",F46="Derived component"),D46/(SUMIFS($D$5:$D$200,$A$5:$A$200,A46,$B$5:$B$200,B46,$F$5:$F$200,"Component")+SUMIFS($D$5:$D$200,$A$5:$A$200,A46,$B$5:$B$200,B46,$F$5:$F$200,"Derived component")),"")</f>
        <v>0.0902140672782875</v>
      </c>
      <c r="H46" s="4" t="s">
        <v>189</v>
      </c>
    </row>
    <row r="47" customFormat="false" ht="15" hidden="false" customHeight="false" outlineLevel="0" collapsed="false">
      <c r="A47" s="4" t="s">
        <v>57</v>
      </c>
      <c r="B47" s="4" t="s">
        <v>186</v>
      </c>
      <c r="C47" s="4" t="s">
        <v>184</v>
      </c>
      <c r="D47" s="15" t="n">
        <v>1090</v>
      </c>
      <c r="E47" s="4" t="s">
        <v>139</v>
      </c>
      <c r="F47" s="4" t="s">
        <v>125</v>
      </c>
      <c r="G47" s="10" t="n">
        <f aca="false">IF(OR(F47="Component",F47="Derived component"),D47/(SUMIFS($D$5:$D$200,$A$5:$A$200,A47,$B$5:$B$200,B47,$F$5:$F$200,"Component")+SUMIFS($D$5:$D$200,$A$5:$A$200,A47,$B$5:$B$200,B47,$F$5:$F$200,"Derived component")),"")</f>
        <v>0.416666666666667</v>
      </c>
      <c r="H47" s="4" t="s">
        <v>190</v>
      </c>
    </row>
    <row r="48" customFormat="false" ht="15" hidden="false" customHeight="false" outlineLevel="0" collapsed="false">
      <c r="A48" s="4" t="s">
        <v>64</v>
      </c>
      <c r="B48" s="4" t="s">
        <v>191</v>
      </c>
      <c r="C48" s="4" t="s">
        <v>192</v>
      </c>
      <c r="D48" s="14" t="n">
        <v>9.62</v>
      </c>
      <c r="E48" s="4" t="s">
        <v>124</v>
      </c>
      <c r="F48" s="4" t="s">
        <v>125</v>
      </c>
      <c r="G48" s="10" t="n">
        <f aca="false">IF(OR(F48="Component",F48="Derived component"),D48/(SUMIFS($D$5:$D$200,$A$5:$A$200,A48,$B$5:$B$200,B48,$F$5:$F$200,"Component")+SUMIFS($D$5:$D$200,$A$5:$A$200,A48,$B$5:$B$200,B48,$F$5:$F$200,"Derived component")),"")</f>
        <v>0.65</v>
      </c>
      <c r="H48" s="4" t="s">
        <v>193</v>
      </c>
    </row>
    <row r="49" customFormat="false" ht="15" hidden="false" customHeight="false" outlineLevel="0" collapsed="false">
      <c r="A49" s="4" t="s">
        <v>64</v>
      </c>
      <c r="B49" s="4" t="s">
        <v>191</v>
      </c>
      <c r="C49" s="4" t="s">
        <v>194</v>
      </c>
      <c r="D49" s="14" t="n">
        <v>4.06</v>
      </c>
      <c r="E49" s="4" t="s">
        <v>124</v>
      </c>
      <c r="F49" s="4" t="s">
        <v>125</v>
      </c>
      <c r="G49" s="10" t="n">
        <f aca="false">IF(OR(F49="Component",F49="Derived component"),D49/(SUMIFS($D$5:$D$200,$A$5:$A$200,A49,$B$5:$B$200,B49,$F$5:$F$200,"Component")+SUMIFS($D$5:$D$200,$A$5:$A$200,A49,$B$5:$B$200,B49,$F$5:$F$200,"Derived component")),"")</f>
        <v>0.274324324324324</v>
      </c>
      <c r="H49" s="4" t="s">
        <v>193</v>
      </c>
    </row>
    <row r="50" customFormat="false" ht="15" hidden="false" customHeight="false" outlineLevel="0" collapsed="false">
      <c r="A50" s="17" t="s">
        <v>64</v>
      </c>
      <c r="B50" s="17" t="s">
        <v>191</v>
      </c>
      <c r="C50" s="17" t="s">
        <v>195</v>
      </c>
      <c r="D50" s="21" t="n">
        <f aca="false">D51-D48-D49</f>
        <v>1.12</v>
      </c>
      <c r="E50" s="17" t="s">
        <v>124</v>
      </c>
      <c r="F50" s="17" t="s">
        <v>169</v>
      </c>
      <c r="G50" s="19" t="n">
        <f aca="false">IF(OR(F50="Component",F50="Derived component"),D50/(SUMIFS($D$5:$D$200,$A$5:$A$200,A50,$B$5:$B$200,B50,$F$5:$F$200,"Component")+SUMIFS($D$5:$D$200,$A$5:$A$200,A50,$B$5:$B$200,B50,$F$5:$F$200,"Derived component")),"")</f>
        <v>0.0756756756756758</v>
      </c>
      <c r="H50" s="17" t="s">
        <v>196</v>
      </c>
    </row>
    <row r="51" customFormat="false" ht="15" hidden="false" customHeight="false" outlineLevel="0" collapsed="false">
      <c r="A51" s="11" t="s">
        <v>64</v>
      </c>
      <c r="B51" s="11" t="s">
        <v>191</v>
      </c>
      <c r="C51" s="11" t="s">
        <v>197</v>
      </c>
      <c r="D51" s="22" t="n">
        <v>14.8</v>
      </c>
      <c r="E51" s="11" t="s">
        <v>124</v>
      </c>
      <c r="F51" s="11" t="s">
        <v>130</v>
      </c>
      <c r="G51" s="13" t="str">
        <f aca="false">IF(OR(F51="Component",F51="Derived component"),D51/(SUMIFS($D$5:$D$200,$A$5:$A$200,A51,$B$5:$B$200,B51,$F$5:$F$200,"Component")+SUMIFS($D$5:$D$200,$A$5:$A$200,A51,$B$5:$B$200,B51,$F$5:$F$200,"Derived component")),"")</f>
        <v/>
      </c>
      <c r="H51" s="11" t="s">
        <v>193</v>
      </c>
    </row>
    <row r="52" customFormat="false" ht="15" hidden="false" customHeight="false" outlineLevel="0" collapsed="false">
      <c r="A52" s="4" t="s">
        <v>64</v>
      </c>
      <c r="B52" s="4" t="s">
        <v>198</v>
      </c>
      <c r="C52" s="4" t="s">
        <v>199</v>
      </c>
      <c r="D52" s="14" t="n">
        <v>67.7</v>
      </c>
      <c r="E52" s="4" t="s">
        <v>124</v>
      </c>
      <c r="F52" s="4" t="s">
        <v>134</v>
      </c>
      <c r="G52" s="10" t="str">
        <f aca="false">IF(OR(F52="Component",F52="Derived component"),D52/(SUMIFS($D$5:$D$200,$A$5:$A$200,A52,$B$5:$B$200,B52,$F$5:$F$200,"Component")+SUMIFS($D$5:$D$200,$A$5:$A$200,A52,$B$5:$B$200,B52,$F$5:$F$200,"Derived component")),"")</f>
        <v/>
      </c>
      <c r="H52" s="4" t="s">
        <v>193</v>
      </c>
    </row>
    <row r="53" customFormat="false" ht="15" hidden="false" customHeight="false" outlineLevel="0" collapsed="false">
      <c r="A53" s="4" t="s">
        <v>64</v>
      </c>
      <c r="B53" s="4" t="s">
        <v>198</v>
      </c>
      <c r="C53" s="4" t="s">
        <v>137</v>
      </c>
      <c r="D53" s="14" t="n">
        <v>10.2</v>
      </c>
      <c r="E53" s="4" t="s">
        <v>124</v>
      </c>
      <c r="F53" s="4" t="s">
        <v>134</v>
      </c>
      <c r="G53" s="10" t="str">
        <f aca="false">IF(OR(F53="Component",F53="Derived component"),D53/(SUMIFS($D$5:$D$200,$A$5:$A$200,A53,$B$5:$B$200,B53,$F$5:$F$200,"Component")+SUMIFS($D$5:$D$200,$A$5:$A$200,A53,$B$5:$B$200,B53,$F$5:$F$200,"Derived component")),"")</f>
        <v/>
      </c>
      <c r="H53" s="4" t="s">
        <v>193</v>
      </c>
    </row>
    <row r="54" customFormat="false" ht="15" hidden="false" customHeight="false" outlineLevel="0" collapsed="false">
      <c r="A54" s="4" t="s">
        <v>64</v>
      </c>
      <c r="B54" s="4" t="s">
        <v>198</v>
      </c>
      <c r="C54" s="4" t="s">
        <v>200</v>
      </c>
      <c r="D54" s="14" t="n">
        <v>3.006</v>
      </c>
      <c r="E54" s="4" t="s">
        <v>124</v>
      </c>
      <c r="F54" s="4" t="s">
        <v>134</v>
      </c>
      <c r="G54" s="10" t="str">
        <f aca="false">IF(OR(F54="Component",F54="Derived component"),D54/(SUMIFS($D$5:$D$200,$A$5:$A$200,A54,$B$5:$B$200,B54,$F$5:$F$200,"Component")+SUMIFS($D$5:$D$200,$A$5:$A$200,A54,$B$5:$B$200,B54,$F$5:$F$200,"Derived component")),"")</f>
        <v/>
      </c>
      <c r="H54" s="4" t="s">
        <v>201</v>
      </c>
    </row>
    <row r="55" customFormat="false" ht="15" hidden="false" customHeight="false" outlineLevel="0" collapsed="false">
      <c r="A55" s="4" t="s">
        <v>71</v>
      </c>
      <c r="B55" s="4" t="s">
        <v>202</v>
      </c>
      <c r="C55" s="4" t="s">
        <v>203</v>
      </c>
      <c r="D55" s="9" t="n">
        <v>252</v>
      </c>
      <c r="E55" s="4" t="s">
        <v>139</v>
      </c>
      <c r="F55" s="4" t="s">
        <v>125</v>
      </c>
      <c r="G55" s="10" t="n">
        <f aca="false">IF(OR(F55="Component",F55="Derived component"),D55/(SUMIFS($D$5:$D$200,$A$5:$A$200,A55,$B$5:$B$200,B55,$F$5:$F$200,"Component")+SUMIFS($D$5:$D$200,$A$5:$A$200,A55,$B$5:$B$200,B55,$F$5:$F$200,"Derived component")),"")</f>
        <v>0.855978260869565</v>
      </c>
      <c r="H55" s="4" t="s">
        <v>204</v>
      </c>
    </row>
    <row r="56" customFormat="false" ht="15" hidden="false" customHeight="false" outlineLevel="0" collapsed="false">
      <c r="A56" s="4" t="s">
        <v>71</v>
      </c>
      <c r="B56" s="4" t="s">
        <v>202</v>
      </c>
      <c r="C56" s="4" t="s">
        <v>205</v>
      </c>
      <c r="D56" s="9" t="n">
        <v>20.4</v>
      </c>
      <c r="E56" s="4" t="s">
        <v>139</v>
      </c>
      <c r="F56" s="4" t="s">
        <v>125</v>
      </c>
      <c r="G56" s="10" t="n">
        <f aca="false">IF(OR(F56="Component",F56="Derived component"),D56/(SUMIFS($D$5:$D$200,$A$5:$A$200,A56,$B$5:$B$200,B56,$F$5:$F$200,"Component")+SUMIFS($D$5:$D$200,$A$5:$A$200,A56,$B$5:$B$200,B56,$F$5:$F$200,"Derived component")),"")</f>
        <v>0.0692934782608696</v>
      </c>
      <c r="H56" s="4" t="s">
        <v>204</v>
      </c>
    </row>
    <row r="57" customFormat="false" ht="15" hidden="false" customHeight="false" outlineLevel="0" collapsed="false">
      <c r="A57" s="4" t="s">
        <v>71</v>
      </c>
      <c r="B57" s="4" t="s">
        <v>202</v>
      </c>
      <c r="C57" s="4" t="s">
        <v>206</v>
      </c>
      <c r="D57" s="9" t="n">
        <v>9.7</v>
      </c>
      <c r="E57" s="4" t="s">
        <v>139</v>
      </c>
      <c r="F57" s="4" t="s">
        <v>125</v>
      </c>
      <c r="G57" s="10" t="n">
        <f aca="false">IF(OR(F57="Component",F57="Derived component"),D57/(SUMIFS($D$5:$D$200,$A$5:$A$200,A57,$B$5:$B$200,B57,$F$5:$F$200,"Component")+SUMIFS($D$5:$D$200,$A$5:$A$200,A57,$B$5:$B$200,B57,$F$5:$F$200,"Derived component")),"")</f>
        <v>0.0329483695652174</v>
      </c>
      <c r="H57" s="4" t="s">
        <v>204</v>
      </c>
    </row>
    <row r="58" customFormat="false" ht="15" hidden="false" customHeight="false" outlineLevel="0" collapsed="false">
      <c r="A58" s="4" t="s">
        <v>71</v>
      </c>
      <c r="B58" s="4" t="s">
        <v>202</v>
      </c>
      <c r="C58" s="4" t="s">
        <v>207</v>
      </c>
      <c r="D58" s="9" t="n">
        <v>12.3</v>
      </c>
      <c r="E58" s="4" t="s">
        <v>139</v>
      </c>
      <c r="F58" s="4" t="s">
        <v>125</v>
      </c>
      <c r="G58" s="10" t="n">
        <f aca="false">IF(OR(F58="Component",F58="Derived component"),D58/(SUMIFS($D$5:$D$200,$A$5:$A$200,A58,$B$5:$B$200,B58,$F$5:$F$200,"Component")+SUMIFS($D$5:$D$200,$A$5:$A$200,A58,$B$5:$B$200,B58,$F$5:$F$200,"Derived component")),"")</f>
        <v>0.0417798913043478</v>
      </c>
      <c r="H58" s="4" t="s">
        <v>204</v>
      </c>
    </row>
    <row r="59" customFormat="false" ht="15" hidden="false" customHeight="false" outlineLevel="0" collapsed="false">
      <c r="A59" s="11" t="s">
        <v>71</v>
      </c>
      <c r="B59" s="11" t="s">
        <v>202</v>
      </c>
      <c r="C59" s="11" t="s">
        <v>208</v>
      </c>
      <c r="D59" s="12" t="n">
        <v>294.4</v>
      </c>
      <c r="E59" s="11" t="s">
        <v>139</v>
      </c>
      <c r="F59" s="11" t="s">
        <v>130</v>
      </c>
      <c r="G59" s="13" t="str">
        <f aca="false">IF(OR(F59="Component",F59="Derived component"),D59/(SUMIFS($D$5:$D$200,$A$5:$A$200,A59,$B$5:$B$200,B59,$F$5:$F$200,"Component")+SUMIFS($D$5:$D$200,$A$5:$A$200,A59,$B$5:$B$200,B59,$F$5:$F$200,"Derived component")),"")</f>
        <v/>
      </c>
      <c r="H59" s="11" t="s">
        <v>204</v>
      </c>
    </row>
    <row r="60" customFormat="false" ht="15" hidden="false" customHeight="false" outlineLevel="0" collapsed="false">
      <c r="A60" s="4" t="s">
        <v>71</v>
      </c>
      <c r="B60" s="4" t="s">
        <v>209</v>
      </c>
      <c r="C60" s="4" t="s">
        <v>203</v>
      </c>
      <c r="D60" s="9" t="n">
        <v>464.6</v>
      </c>
      <c r="E60" s="4" t="s">
        <v>139</v>
      </c>
      <c r="F60" s="4" t="s">
        <v>125</v>
      </c>
      <c r="G60" s="10" t="n">
        <f aca="false">IF(OR(F60="Component",F60="Derived component"),D60/(SUMIFS($D$5:$D$200,$A$5:$A$200,A60,$B$5:$B$200,B60,$F$5:$F$200,"Component")+SUMIFS($D$5:$D$200,$A$5:$A$200,A60,$B$5:$B$200,B60,$F$5:$F$200,"Derived component")),"")</f>
        <v>0.841057204923968</v>
      </c>
      <c r="H60" s="4" t="s">
        <v>204</v>
      </c>
    </row>
    <row r="61" customFormat="false" ht="15" hidden="false" customHeight="false" outlineLevel="0" collapsed="false">
      <c r="A61" s="4" t="s">
        <v>71</v>
      </c>
      <c r="B61" s="4" t="s">
        <v>209</v>
      </c>
      <c r="C61" s="4" t="s">
        <v>205</v>
      </c>
      <c r="D61" s="9" t="n">
        <v>44</v>
      </c>
      <c r="E61" s="4" t="s">
        <v>139</v>
      </c>
      <c r="F61" s="4" t="s">
        <v>125</v>
      </c>
      <c r="G61" s="10" t="n">
        <f aca="false">IF(OR(F61="Component",F61="Derived component"),D61/(SUMIFS($D$5:$D$200,$A$5:$A$200,A61,$B$5:$B$200,B61,$F$5:$F$200,"Component")+SUMIFS($D$5:$D$200,$A$5:$A$200,A61,$B$5:$B$200,B61,$F$5:$F$200,"Derived component")),"")</f>
        <v>0.0796524257784214</v>
      </c>
      <c r="H61" s="4" t="s">
        <v>204</v>
      </c>
    </row>
    <row r="62" customFormat="false" ht="15" hidden="false" customHeight="false" outlineLevel="0" collapsed="false">
      <c r="A62" s="4" t="s">
        <v>71</v>
      </c>
      <c r="B62" s="4" t="s">
        <v>209</v>
      </c>
      <c r="C62" s="4" t="s">
        <v>206</v>
      </c>
      <c r="D62" s="9" t="n">
        <v>19.5</v>
      </c>
      <c r="E62" s="4" t="s">
        <v>139</v>
      </c>
      <c r="F62" s="4" t="s">
        <v>125</v>
      </c>
      <c r="G62" s="10" t="n">
        <f aca="false">IF(OR(F62="Component",F62="Derived component"),D62/(SUMIFS($D$5:$D$200,$A$5:$A$200,A62,$B$5:$B$200,B62,$F$5:$F$200,"Component")+SUMIFS($D$5:$D$200,$A$5:$A$200,A62,$B$5:$B$200,B62,$F$5:$F$200,"Derived component")),"")</f>
        <v>0.0353005068790731</v>
      </c>
      <c r="H62" s="4" t="s">
        <v>204</v>
      </c>
    </row>
    <row r="63" customFormat="false" ht="15" hidden="false" customHeight="false" outlineLevel="0" collapsed="false">
      <c r="A63" s="4" t="s">
        <v>71</v>
      </c>
      <c r="B63" s="4" t="s">
        <v>209</v>
      </c>
      <c r="C63" s="4" t="s">
        <v>207</v>
      </c>
      <c r="D63" s="9" t="n">
        <v>24.3</v>
      </c>
      <c r="E63" s="4" t="s">
        <v>139</v>
      </c>
      <c r="F63" s="4" t="s">
        <v>125</v>
      </c>
      <c r="G63" s="10" t="n">
        <f aca="false">IF(OR(F63="Component",F63="Derived component"),D63/(SUMIFS($D$5:$D$200,$A$5:$A$200,A63,$B$5:$B$200,B63,$F$5:$F$200,"Component")+SUMIFS($D$5:$D$200,$A$5:$A$200,A63,$B$5:$B$200,B63,$F$5:$F$200,"Derived component")),"")</f>
        <v>0.0439898624185373</v>
      </c>
      <c r="H63" s="4" t="s">
        <v>204</v>
      </c>
    </row>
    <row r="64" customFormat="false" ht="15" hidden="false" customHeight="false" outlineLevel="0" collapsed="false">
      <c r="A64" s="11" t="s">
        <v>71</v>
      </c>
      <c r="B64" s="11" t="s">
        <v>209</v>
      </c>
      <c r="C64" s="11" t="s">
        <v>208</v>
      </c>
      <c r="D64" s="12" t="n">
        <v>552.4</v>
      </c>
      <c r="E64" s="11" t="s">
        <v>139</v>
      </c>
      <c r="F64" s="11" t="s">
        <v>130</v>
      </c>
      <c r="G64" s="13" t="str">
        <f aca="false">IF(OR(F64="Component",F64="Derived component"),D64/(SUMIFS($D$5:$D$200,$A$5:$A$200,A64,$B$5:$B$200,B64,$F$5:$F$200,"Component")+SUMIFS($D$5:$D$200,$A$5:$A$200,A64,$B$5:$B$200,B64,$F$5:$F$200,"Derived component")),"")</f>
        <v/>
      </c>
      <c r="H64" s="11" t="s">
        <v>204</v>
      </c>
    </row>
    <row r="65" customFormat="false" ht="15" hidden="false" customHeight="false" outlineLevel="0" collapsed="false">
      <c r="A65" s="4" t="s">
        <v>78</v>
      </c>
      <c r="B65" s="4" t="s">
        <v>210</v>
      </c>
      <c r="C65" s="4" t="s">
        <v>211</v>
      </c>
      <c r="D65" s="15" t="n">
        <v>26864</v>
      </c>
      <c r="E65" s="4" t="s">
        <v>212</v>
      </c>
      <c r="F65" s="4" t="s">
        <v>125</v>
      </c>
      <c r="G65" s="10" t="n">
        <f aca="false">IF(OR(F65="Component",F65="Derived component"),D65/(SUMIFS($D$5:$D$200,$A$5:$A$200,A65,$B$5:$B$200,B65,$F$5:$F$200,"Component")+SUMIFS($D$5:$D$200,$A$5:$A$200,A65,$B$5:$B$200,B65,$F$5:$F$200,"Derived component")),"")</f>
        <v>0.708681773814863</v>
      </c>
      <c r="H65" s="4" t="s">
        <v>213</v>
      </c>
    </row>
    <row r="66" customFormat="false" ht="15" hidden="false" customHeight="false" outlineLevel="0" collapsed="false">
      <c r="A66" s="17" t="s">
        <v>78</v>
      </c>
      <c r="B66" s="17" t="s">
        <v>210</v>
      </c>
      <c r="C66" s="17" t="s">
        <v>214</v>
      </c>
      <c r="D66" s="23" t="n">
        <f aca="false">D67-D65</f>
        <v>11043</v>
      </c>
      <c r="E66" s="17" t="s">
        <v>212</v>
      </c>
      <c r="F66" s="17" t="s">
        <v>169</v>
      </c>
      <c r="G66" s="19" t="n">
        <f aca="false">IF(OR(F66="Component",F66="Derived component"),D66/(SUMIFS($D$5:$D$200,$A$5:$A$200,A66,$B$5:$B$200,B66,$F$5:$F$200,"Component")+SUMIFS($D$5:$D$200,$A$5:$A$200,A66,$B$5:$B$200,B66,$F$5:$F$200,"Derived component")),"")</f>
        <v>0.291318226185137</v>
      </c>
      <c r="H66" s="17" t="s">
        <v>215</v>
      </c>
    </row>
    <row r="67" customFormat="false" ht="23.85" hidden="false" customHeight="false" outlineLevel="0" collapsed="false">
      <c r="A67" s="11" t="s">
        <v>78</v>
      </c>
      <c r="B67" s="11" t="s">
        <v>210</v>
      </c>
      <c r="C67" s="11" t="s">
        <v>171</v>
      </c>
      <c r="D67" s="16" t="n">
        <v>37907</v>
      </c>
      <c r="E67" s="11" t="s">
        <v>212</v>
      </c>
      <c r="F67" s="11" t="s">
        <v>130</v>
      </c>
      <c r="G67" s="13" t="str">
        <f aca="false">IF(OR(F67="Component",F67="Derived component"),D67/(SUMIFS($D$5:$D$200,$A$5:$A$200,A67,$B$5:$B$200,B67,$F$5:$F$200,"Component")+SUMIFS($D$5:$D$200,$A$5:$A$200,A67,$B$5:$B$200,B67,$F$5:$F$200,"Derived component")),"")</f>
        <v/>
      </c>
      <c r="H67" s="11" t="s">
        <v>213</v>
      </c>
    </row>
    <row r="68" customFormat="false" ht="15" hidden="false" customHeight="false" outlineLevel="0" collapsed="false">
      <c r="A68" s="4" t="s">
        <v>78</v>
      </c>
      <c r="B68" s="4" t="s">
        <v>216</v>
      </c>
      <c r="C68" s="4" t="s">
        <v>217</v>
      </c>
      <c r="D68" s="15" t="n">
        <v>134415</v>
      </c>
      <c r="E68" s="4" t="s">
        <v>212</v>
      </c>
      <c r="F68" s="4" t="s">
        <v>134</v>
      </c>
      <c r="G68" s="10" t="str">
        <f aca="false">IF(OR(F68="Component",F68="Derived component"),D68/(SUMIFS($D$5:$D$200,$A$5:$A$200,A68,$B$5:$B$200,B68,$F$5:$F$200,"Component")+SUMIFS($D$5:$D$200,$A$5:$A$200,A68,$B$5:$B$200,B68,$F$5:$F$200,"Derived component")),"")</f>
        <v/>
      </c>
      <c r="H68" s="4" t="s">
        <v>213</v>
      </c>
    </row>
    <row r="69" customFormat="false" ht="15" hidden="false" customHeight="false" outlineLevel="0" collapsed="false">
      <c r="A69" s="4" t="s">
        <v>78</v>
      </c>
      <c r="B69" s="4" t="s">
        <v>216</v>
      </c>
      <c r="C69" s="4" t="s">
        <v>218</v>
      </c>
      <c r="D69" s="15" t="n">
        <v>36897</v>
      </c>
      <c r="E69" s="4" t="s">
        <v>212</v>
      </c>
      <c r="F69" s="4" t="s">
        <v>134</v>
      </c>
      <c r="G69" s="10" t="str">
        <f aca="false">IF(OR(F69="Component",F69="Derived component"),D69/(SUMIFS($D$5:$D$200,$A$5:$A$200,A69,$B$5:$B$200,B69,$F$5:$F$200,"Component")+SUMIFS($D$5:$D$200,$A$5:$A$200,A69,$B$5:$B$200,B69,$F$5:$F$200,"Derived component")),"")</f>
        <v/>
      </c>
      <c r="H69" s="4" t="s">
        <v>213</v>
      </c>
    </row>
    <row r="70" customFormat="false" ht="15" hidden="false" customHeight="false" outlineLevel="0" collapsed="false">
      <c r="A70" s="4" t="s">
        <v>78</v>
      </c>
      <c r="B70" s="4" t="s">
        <v>216</v>
      </c>
      <c r="C70" s="4" t="s">
        <v>219</v>
      </c>
      <c r="D70" s="15" t="n">
        <v>42633</v>
      </c>
      <c r="E70" s="4" t="s">
        <v>212</v>
      </c>
      <c r="F70" s="4" t="s">
        <v>134</v>
      </c>
      <c r="G70" s="10" t="str">
        <f aca="false">IF(OR(F70="Component",F70="Derived component"),D70/(SUMIFS($D$5:$D$200,$A$5:$A$200,A70,$B$5:$B$200,B70,$F$5:$F$200,"Component")+SUMIFS($D$5:$D$200,$A$5:$A$200,A70,$B$5:$B$200,B70,$F$5:$F$200,"Derived component")),"")</f>
        <v/>
      </c>
      <c r="H70" s="4" t="s">
        <v>213</v>
      </c>
    </row>
    <row r="71" customFormat="false" ht="15" hidden="false" customHeight="false" outlineLevel="0" collapsed="false">
      <c r="A71" s="4" t="s">
        <v>78</v>
      </c>
      <c r="B71" s="4" t="s">
        <v>216</v>
      </c>
      <c r="C71" s="4" t="s">
        <v>220</v>
      </c>
      <c r="D71" s="15" t="n">
        <v>256250</v>
      </c>
      <c r="E71" s="4" t="s">
        <v>212</v>
      </c>
      <c r="F71" s="4" t="s">
        <v>134</v>
      </c>
      <c r="G71" s="10" t="str">
        <f aca="false">IF(OR(F71="Component",F71="Derived component"),D71/(SUMIFS($D$5:$D$200,$A$5:$A$200,A71,$B$5:$B$200,B71,$F$5:$F$200,"Component")+SUMIFS($D$5:$D$200,$A$5:$A$200,A71,$B$5:$B$200,B71,$F$5:$F$200,"Derived component")),"")</f>
        <v/>
      </c>
      <c r="H71" s="4" t="s">
        <v>221</v>
      </c>
    </row>
    <row r="72" customFormat="false" ht="15" hidden="false" customHeight="false" outlineLevel="0" collapsed="false">
      <c r="A72" s="4" t="s">
        <v>78</v>
      </c>
      <c r="B72" s="4" t="s">
        <v>216</v>
      </c>
      <c r="C72" s="4" t="s">
        <v>222</v>
      </c>
      <c r="D72" s="15" t="n">
        <v>15140</v>
      </c>
      <c r="E72" s="4" t="s">
        <v>212</v>
      </c>
      <c r="F72" s="4" t="s">
        <v>134</v>
      </c>
      <c r="G72" s="10" t="str">
        <f aca="false">IF(OR(F72="Component",F72="Derived component"),D72/(SUMIFS($D$5:$D$200,$A$5:$A$200,A72,$B$5:$B$200,B72,$F$5:$F$200,"Component")+SUMIFS($D$5:$D$200,$A$5:$A$200,A72,$B$5:$B$200,B72,$F$5:$F$200,"Derived component")),"")</f>
        <v/>
      </c>
      <c r="H72" s="4" t="s">
        <v>221</v>
      </c>
    </row>
    <row r="73" customFormat="false" ht="15" hidden="false" customHeight="false" outlineLevel="0" collapsed="false">
      <c r="A73" s="4" t="s">
        <v>85</v>
      </c>
      <c r="B73" s="4" t="s">
        <v>223</v>
      </c>
      <c r="C73" s="4" t="s">
        <v>224</v>
      </c>
      <c r="D73" s="15" t="n">
        <v>58038</v>
      </c>
      <c r="E73" s="4" t="s">
        <v>225</v>
      </c>
      <c r="F73" s="4" t="s">
        <v>125</v>
      </c>
      <c r="G73" s="10" t="n">
        <f aca="false">IF(OR(F73="Component",F73="Derived component"),D73/(SUMIFS($D$5:$D$200,$A$5:$A$200,A73,$B$5:$B$200,B73,$F$5:$F$200,"Component")+SUMIFS($D$5:$D$200,$A$5:$A$200,A73,$B$5:$B$200,B73,$F$5:$F$200,"Derived component")),"")</f>
        <v>0.500327586206897</v>
      </c>
      <c r="H73" s="4" t="s">
        <v>226</v>
      </c>
    </row>
    <row r="74" customFormat="false" ht="15" hidden="false" customHeight="false" outlineLevel="0" collapsed="false">
      <c r="A74" s="4" t="s">
        <v>85</v>
      </c>
      <c r="B74" s="4" t="s">
        <v>223</v>
      </c>
      <c r="C74" s="4" t="s">
        <v>211</v>
      </c>
      <c r="D74" s="15" t="n">
        <v>56512</v>
      </c>
      <c r="E74" s="4" t="s">
        <v>225</v>
      </c>
      <c r="F74" s="4" t="s">
        <v>125</v>
      </c>
      <c r="G74" s="10" t="n">
        <f aca="false">IF(OR(F74="Component",F74="Derived component"),D74/(SUMIFS($D$5:$D$200,$A$5:$A$200,A74,$B$5:$B$200,B74,$F$5:$F$200,"Component")+SUMIFS($D$5:$D$200,$A$5:$A$200,A74,$B$5:$B$200,B74,$F$5:$F$200,"Derived component")),"")</f>
        <v>0.487172413793103</v>
      </c>
      <c r="H74" s="4" t="s">
        <v>226</v>
      </c>
    </row>
    <row r="75" customFormat="false" ht="15" hidden="false" customHeight="false" outlineLevel="0" collapsed="false">
      <c r="A75" s="4" t="s">
        <v>85</v>
      </c>
      <c r="B75" s="4" t="s">
        <v>223</v>
      </c>
      <c r="C75" s="4" t="s">
        <v>227</v>
      </c>
      <c r="D75" s="15" t="n">
        <v>875</v>
      </c>
      <c r="E75" s="4" t="s">
        <v>225</v>
      </c>
      <c r="F75" s="4" t="s">
        <v>125</v>
      </c>
      <c r="G75" s="10" t="n">
        <f aca="false">IF(OR(F75="Component",F75="Derived component"),D75/(SUMIFS($D$5:$D$200,$A$5:$A$200,A75,$B$5:$B$200,B75,$F$5:$F$200,"Component")+SUMIFS($D$5:$D$200,$A$5:$A$200,A75,$B$5:$B$200,B75,$F$5:$F$200,"Derived component")),"")</f>
        <v>0.00754310344827586</v>
      </c>
      <c r="H75" s="4" t="s">
        <v>226</v>
      </c>
    </row>
    <row r="76" customFormat="false" ht="15" hidden="false" customHeight="false" outlineLevel="0" collapsed="false">
      <c r="A76" s="17" t="s">
        <v>85</v>
      </c>
      <c r="B76" s="17" t="s">
        <v>223</v>
      </c>
      <c r="C76" s="17" t="s">
        <v>228</v>
      </c>
      <c r="D76" s="23" t="n">
        <f aca="false">D77-D73-D74-D75</f>
        <v>575</v>
      </c>
      <c r="E76" s="17" t="s">
        <v>225</v>
      </c>
      <c r="F76" s="17" t="s">
        <v>169</v>
      </c>
      <c r="G76" s="19" t="n">
        <f aca="false">IF(OR(F76="Component",F76="Derived component"),D76/(SUMIFS($D$5:$D$200,$A$5:$A$200,A76,$B$5:$B$200,B76,$F$5:$F$200,"Component")+SUMIFS($D$5:$D$200,$A$5:$A$200,A76,$B$5:$B$200,B76,$F$5:$F$200,"Derived component")),"")</f>
        <v>0.00495689655172414</v>
      </c>
      <c r="H76" s="17" t="s">
        <v>229</v>
      </c>
    </row>
    <row r="77" customFormat="false" ht="15" hidden="false" customHeight="false" outlineLevel="0" collapsed="false">
      <c r="A77" s="11" t="s">
        <v>85</v>
      </c>
      <c r="B77" s="11" t="s">
        <v>223</v>
      </c>
      <c r="C77" s="11" t="s">
        <v>230</v>
      </c>
      <c r="D77" s="16" t="n">
        <v>116000</v>
      </c>
      <c r="E77" s="11" t="s">
        <v>225</v>
      </c>
      <c r="F77" s="11" t="s">
        <v>130</v>
      </c>
      <c r="G77" s="13" t="str">
        <f aca="false">IF(OR(F77="Component",F77="Derived component"),D77/(SUMIFS($D$5:$D$200,$A$5:$A$200,A77,$B$5:$B$200,B77,$F$5:$F$200,"Component")+SUMIFS($D$5:$D$200,$A$5:$A$200,A77,$B$5:$B$200,B77,$F$5:$F$200,"Derived component")),"")</f>
        <v/>
      </c>
      <c r="H77" s="11" t="s">
        <v>231</v>
      </c>
    </row>
    <row r="78" customFormat="false" ht="15" hidden="false" customHeight="false" outlineLevel="0" collapsed="false">
      <c r="A78" s="4" t="s">
        <v>92</v>
      </c>
      <c r="B78" s="4" t="s">
        <v>232</v>
      </c>
      <c r="C78" s="4" t="s">
        <v>233</v>
      </c>
      <c r="D78" s="15" t="n">
        <v>2800</v>
      </c>
      <c r="E78" s="4" t="s">
        <v>139</v>
      </c>
      <c r="F78" s="4" t="s">
        <v>125</v>
      </c>
      <c r="G78" s="10" t="n">
        <f aca="false">IF(OR(F78="Component",F78="Derived component"),D78/(SUMIFS($D$5:$D$200,$A$5:$A$200,A78,$B$5:$B$200,B78,$F$5:$F$200,"Component")+SUMIFS($D$5:$D$200,$A$5:$A$200,A78,$B$5:$B$200,B78,$F$5:$F$200,"Derived component")),"")</f>
        <v>0.550314465408805</v>
      </c>
      <c r="H78" s="4" t="s">
        <v>234</v>
      </c>
    </row>
    <row r="79" customFormat="false" ht="15" hidden="false" customHeight="false" outlineLevel="0" collapsed="false">
      <c r="A79" s="4" t="s">
        <v>92</v>
      </c>
      <c r="B79" s="4" t="s">
        <v>232</v>
      </c>
      <c r="C79" s="4" t="s">
        <v>235</v>
      </c>
      <c r="D79" s="15" t="n">
        <v>1300</v>
      </c>
      <c r="E79" s="4" t="s">
        <v>139</v>
      </c>
      <c r="F79" s="4" t="s">
        <v>125</v>
      </c>
      <c r="G79" s="10" t="n">
        <f aca="false">IF(OR(F79="Component",F79="Derived component"),D79/(SUMIFS($D$5:$D$200,$A$5:$A$200,A79,$B$5:$B$200,B79,$F$5:$F$200,"Component")+SUMIFS($D$5:$D$200,$A$5:$A$200,A79,$B$5:$B$200,B79,$F$5:$F$200,"Derived component")),"")</f>
        <v>0.255503144654088</v>
      </c>
      <c r="H79" s="4" t="s">
        <v>234</v>
      </c>
    </row>
    <row r="80" customFormat="false" ht="15" hidden="false" customHeight="false" outlineLevel="0" collapsed="false">
      <c r="A80" s="4" t="s">
        <v>92</v>
      </c>
      <c r="B80" s="4" t="s">
        <v>232</v>
      </c>
      <c r="C80" s="4" t="s">
        <v>236</v>
      </c>
      <c r="D80" s="15" t="n">
        <v>988</v>
      </c>
      <c r="E80" s="4" t="s">
        <v>139</v>
      </c>
      <c r="F80" s="4" t="s">
        <v>125</v>
      </c>
      <c r="G80" s="10" t="n">
        <f aca="false">IF(OR(F80="Component",F80="Derived component"),D80/(SUMIFS($D$5:$D$200,$A$5:$A$200,A80,$B$5:$B$200,B80,$F$5:$F$200,"Component")+SUMIFS($D$5:$D$200,$A$5:$A$200,A80,$B$5:$B$200,B80,$F$5:$F$200,"Derived component")),"")</f>
        <v>0.194182389937107</v>
      </c>
      <c r="H80" s="4" t="s">
        <v>234</v>
      </c>
    </row>
    <row r="81" customFormat="false" ht="15" hidden="false" customHeight="false" outlineLevel="0" collapsed="false">
      <c r="A81" s="17" t="s">
        <v>92</v>
      </c>
      <c r="B81" s="17" t="s">
        <v>232</v>
      </c>
      <c r="C81" s="17" t="s">
        <v>237</v>
      </c>
      <c r="D81" s="23" t="n">
        <f aca="false">D82-D78-D79-D80</f>
        <v>-288</v>
      </c>
      <c r="E81" s="17" t="s">
        <v>139</v>
      </c>
      <c r="F81" s="17" t="s">
        <v>238</v>
      </c>
      <c r="G81" s="19" t="str">
        <f aca="false">IF(OR(F81="Component",F81="Derived component"),D81/(SUMIFS($D$5:$D$200,$A$5:$A$200,A81,$B$5:$B$200,B81,$F$5:$F$200,"Component")+SUMIFS($D$5:$D$200,$A$5:$A$200,A81,$B$5:$B$200,B81,$F$5:$F$200,"Derived component")),"")</f>
        <v/>
      </c>
      <c r="H81" s="17" t="s">
        <v>239</v>
      </c>
    </row>
    <row r="82" customFormat="false" ht="15" hidden="false" customHeight="false" outlineLevel="0" collapsed="false">
      <c r="A82" s="11" t="s">
        <v>92</v>
      </c>
      <c r="B82" s="11" t="s">
        <v>232</v>
      </c>
      <c r="C82" s="11" t="s">
        <v>240</v>
      </c>
      <c r="D82" s="16" t="n">
        <v>4800</v>
      </c>
      <c r="E82" s="11" t="s">
        <v>139</v>
      </c>
      <c r="F82" s="11" t="s">
        <v>130</v>
      </c>
      <c r="G82" s="13" t="str">
        <f aca="false">IF(OR(F82="Component",F82="Derived component"),D82/(SUMIFS($D$5:$D$200,$A$5:$A$200,A82,$B$5:$B$200,B82,$F$5:$F$200,"Component")+SUMIFS($D$5:$D$200,$A$5:$A$200,A82,$B$5:$B$200,B82,$F$5:$F$200,"Derived component")),"")</f>
        <v/>
      </c>
      <c r="H82" s="11" t="s">
        <v>234</v>
      </c>
    </row>
    <row r="83" customFormat="false" ht="15" hidden="false" customHeight="false" outlineLevel="0" collapsed="false">
      <c r="A83" s="4" t="s">
        <v>99</v>
      </c>
      <c r="B83" s="4" t="s">
        <v>241</v>
      </c>
      <c r="C83" s="4" t="s">
        <v>242</v>
      </c>
      <c r="D83" s="15" t="n">
        <v>5204</v>
      </c>
      <c r="E83" s="4" t="s">
        <v>225</v>
      </c>
      <c r="F83" s="4" t="s">
        <v>125</v>
      </c>
      <c r="G83" s="10" t="n">
        <f aca="false">IF(OR(F83="Component",F83="Derived component"),D83/(SUMIFS($D$5:$D$200,$A$5:$A$200,A83,$B$5:$B$200,B83,$F$5:$F$200,"Component")+SUMIFS($D$5:$D$200,$A$5:$A$200,A83,$B$5:$B$200,B83,$F$5:$F$200,"Derived component")),"")</f>
        <v>0.850187877797746</v>
      </c>
      <c r="H83" s="4" t="s">
        <v>243</v>
      </c>
    </row>
    <row r="84" customFormat="false" ht="15" hidden="false" customHeight="false" outlineLevel="0" collapsed="false">
      <c r="A84" s="4" t="s">
        <v>99</v>
      </c>
      <c r="B84" s="4" t="s">
        <v>241</v>
      </c>
      <c r="C84" s="4" t="s">
        <v>244</v>
      </c>
      <c r="D84" s="15" t="n">
        <v>917</v>
      </c>
      <c r="E84" s="4" t="s">
        <v>225</v>
      </c>
      <c r="F84" s="4" t="s">
        <v>125</v>
      </c>
      <c r="G84" s="10" t="n">
        <f aca="false">IF(OR(F84="Component",F84="Derived component"),D84/(SUMIFS($D$5:$D$200,$A$5:$A$200,A84,$B$5:$B$200,B84,$F$5:$F$200,"Component")+SUMIFS($D$5:$D$200,$A$5:$A$200,A84,$B$5:$B$200,B84,$F$5:$F$200,"Derived component")),"")</f>
        <v>0.149812122202255</v>
      </c>
      <c r="H84" s="4" t="s">
        <v>243</v>
      </c>
    </row>
    <row r="85" customFormat="false" ht="15" hidden="false" customHeight="false" outlineLevel="0" collapsed="false">
      <c r="A85" s="11" t="s">
        <v>99</v>
      </c>
      <c r="B85" s="11" t="s">
        <v>241</v>
      </c>
      <c r="C85" s="11" t="s">
        <v>245</v>
      </c>
      <c r="D85" s="16" t="n">
        <v>6121</v>
      </c>
      <c r="E85" s="11" t="s">
        <v>225</v>
      </c>
      <c r="F85" s="11" t="s">
        <v>130</v>
      </c>
      <c r="G85" s="13" t="str">
        <f aca="false">IF(OR(F85="Component",F85="Derived component"),D85/(SUMIFS($D$5:$D$200,$A$5:$A$200,A85,$B$5:$B$200,B85,$F$5:$F$200,"Component")+SUMIFS($D$5:$D$200,$A$5:$A$200,A85,$B$5:$B$200,B85,$F$5:$F$200,"Derived component")),"")</f>
        <v/>
      </c>
      <c r="H85" s="11" t="s">
        <v>243</v>
      </c>
    </row>
    <row r="86" customFormat="false" ht="15" hidden="false" customHeight="false" outlineLevel="0" collapsed="false">
      <c r="A86" s="17" t="s">
        <v>99</v>
      </c>
      <c r="B86" s="17" t="s">
        <v>246</v>
      </c>
      <c r="C86" s="17" t="s">
        <v>247</v>
      </c>
      <c r="D86" s="23" t="n">
        <f aca="false">D88-D87</f>
        <v>38731</v>
      </c>
      <c r="E86" s="17" t="s">
        <v>225</v>
      </c>
      <c r="F86" s="17" t="s">
        <v>169</v>
      </c>
      <c r="G86" s="19" t="n">
        <f aca="false">IF(OR(F86="Component",F86="Derived component"),D86/(SUMIFS($D$5:$D$200,$A$5:$A$200,A86,$B$5:$B$200,B86,$F$5:$F$200,"Component")+SUMIFS($D$5:$D$200,$A$5:$A$200,A86,$B$5:$B$200,B86,$F$5:$F$200,"Derived component")),"")</f>
        <v>0.641114348142753</v>
      </c>
      <c r="H86" s="17" t="s">
        <v>181</v>
      </c>
    </row>
    <row r="87" customFormat="false" ht="15" hidden="false" customHeight="false" outlineLevel="0" collapsed="false">
      <c r="A87" s="4" t="s">
        <v>99</v>
      </c>
      <c r="B87" s="4" t="s">
        <v>246</v>
      </c>
      <c r="C87" s="4" t="s">
        <v>244</v>
      </c>
      <c r="D87" s="15" t="n">
        <v>21681</v>
      </c>
      <c r="E87" s="4" t="s">
        <v>225</v>
      </c>
      <c r="F87" s="4" t="s">
        <v>125</v>
      </c>
      <c r="G87" s="10" t="n">
        <f aca="false">IF(OR(F87="Component",F87="Derived component"),D87/(SUMIFS($D$5:$D$200,$A$5:$A$200,A87,$B$5:$B$200,B87,$F$5:$F$200,"Component")+SUMIFS($D$5:$D$200,$A$5:$A$200,A87,$B$5:$B$200,B87,$F$5:$F$200,"Derived component")),"")</f>
        <v>0.358885651857247</v>
      </c>
      <c r="H87" s="4" t="s">
        <v>243</v>
      </c>
    </row>
    <row r="88" customFormat="false" ht="15" hidden="false" customHeight="false" outlineLevel="0" collapsed="false">
      <c r="A88" s="11" t="s">
        <v>99</v>
      </c>
      <c r="B88" s="11" t="s">
        <v>246</v>
      </c>
      <c r="C88" s="11" t="s">
        <v>248</v>
      </c>
      <c r="D88" s="16" t="n">
        <v>60412</v>
      </c>
      <c r="E88" s="11" t="s">
        <v>225</v>
      </c>
      <c r="F88" s="11" t="s">
        <v>130</v>
      </c>
      <c r="G88" s="13" t="str">
        <f aca="false">IF(OR(F88="Component",F88="Derived component"),D88/(SUMIFS($D$5:$D$200,$A$5:$A$200,A88,$B$5:$B$200,B88,$F$5:$F$200,"Component")+SUMIFS($D$5:$D$200,$A$5:$A$200,A88,$B$5:$B$200,B88,$F$5:$F$200,"Derived component")),"")</f>
        <v/>
      </c>
      <c r="H88" s="11" t="s">
        <v>243</v>
      </c>
    </row>
    <row r="89" customFormat="false" ht="15" hidden="false" customHeight="false" outlineLevel="0" collapsed="false">
      <c r="A89" s="4" t="s">
        <v>99</v>
      </c>
      <c r="B89" s="4" t="s">
        <v>249</v>
      </c>
      <c r="C89" s="4" t="s">
        <v>250</v>
      </c>
      <c r="D89" s="15" t="n">
        <v>3308</v>
      </c>
      <c r="E89" s="4" t="s">
        <v>225</v>
      </c>
      <c r="F89" s="4" t="s">
        <v>134</v>
      </c>
      <c r="G89" s="10" t="str">
        <f aca="false">IF(OR(F89="Component",F89="Derived component"),D89/(SUMIFS($D$5:$D$200,$A$5:$A$200,A89,$B$5:$B$200,B89,$F$5:$F$200,"Component")+SUMIFS($D$5:$D$200,$A$5:$A$200,A89,$B$5:$B$200,B89,$F$5:$F$200,"Derived component")),"")</f>
        <v/>
      </c>
      <c r="H89" s="4" t="s">
        <v>243</v>
      </c>
    </row>
    <row r="90" customFormat="false" ht="15" hidden="false" customHeight="false" outlineLevel="0" collapsed="false">
      <c r="A90" s="4" t="s">
        <v>99</v>
      </c>
      <c r="B90" s="4" t="s">
        <v>249</v>
      </c>
      <c r="C90" s="4" t="s">
        <v>251</v>
      </c>
      <c r="D90" s="15" t="n">
        <v>1715</v>
      </c>
      <c r="E90" s="4" t="s">
        <v>225</v>
      </c>
      <c r="F90" s="4" t="s">
        <v>134</v>
      </c>
      <c r="G90" s="10" t="str">
        <f aca="false">IF(OR(F90="Component",F90="Derived component"),D90/(SUMIFS($D$5:$D$200,$A$5:$A$200,A90,$B$5:$B$200,B90,$F$5:$F$200,"Component")+SUMIFS($D$5:$D$200,$A$5:$A$200,A90,$B$5:$B$200,B90,$F$5:$F$200,"Derived component")),"")</f>
        <v/>
      </c>
      <c r="H90" s="4" t="s">
        <v>243</v>
      </c>
    </row>
    <row r="92" customFormat="false" ht="15" hidden="false" customHeight="false" outlineLevel="0" collapsed="false">
      <c r="A92" s="24" t="s">
        <v>252</v>
      </c>
    </row>
  </sheetData>
  <autoFilter ref="A4:H9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52"/>
    <col collapsed="false" customWidth="true" hidden="false" outlineLevel="0" max="3" min="3" style="0" width="8"/>
    <col collapsed="false" customWidth="true" hidden="false" outlineLevel="0" max="4" min="4" style="0" width="18"/>
    <col collapsed="false" customWidth="true" hidden="false" outlineLevel="0" max="5" min="5" style="0" width="16"/>
    <col collapsed="false" customWidth="true" hidden="false" outlineLevel="0" max="6" min="6" style="0" width="14"/>
    <col collapsed="false" customWidth="true" hidden="false" outlineLevel="0" max="7" min="7" style="0" width="24"/>
  </cols>
  <sheetData>
    <row r="1" customFormat="false" ht="17.35" hidden="false" customHeight="false" outlineLevel="0" collapsed="false">
      <c r="A1" s="1" t="s">
        <v>253</v>
      </c>
    </row>
    <row r="2" customFormat="false" ht="15" hidden="false" customHeight="false" outlineLevel="0" collapsed="false">
      <c r="A2" s="2" t="s">
        <v>254</v>
      </c>
    </row>
    <row r="4" customFormat="false" ht="15" hidden="false" customHeight="false" outlineLevel="0" collapsed="false">
      <c r="A4" s="7" t="s">
        <v>22</v>
      </c>
      <c r="B4" s="7" t="s">
        <v>115</v>
      </c>
      <c r="C4" s="7" t="s">
        <v>118</v>
      </c>
      <c r="D4" s="7" t="s">
        <v>255</v>
      </c>
      <c r="E4" s="7" t="s">
        <v>130</v>
      </c>
      <c r="F4" s="7" t="s">
        <v>256</v>
      </c>
      <c r="G4" s="7" t="s">
        <v>257</v>
      </c>
    </row>
    <row r="5" customFormat="false" ht="15" hidden="false" customHeight="false" outlineLevel="0" collapsed="false">
      <c r="A5" s="4" t="s">
        <v>29</v>
      </c>
      <c r="B5" s="4" t="s">
        <v>122</v>
      </c>
      <c r="C5" s="4" t="s">
        <v>124</v>
      </c>
      <c r="D5" s="25" t="n">
        <f aca="false">SUMIFS('Segment Data'!$D$5:$D$200,'Segment Data'!$A$5:$A$200,A5,'Segment Data'!$B$5:$B$200,B5,'Segment Data'!$F$5:$F$200,"Component")+SUMIFS('Segment Data'!$D$5:$D$200,'Segment Data'!$A$5:$A$200,A5,'Segment Data'!$B$5:$B$200,B5,'Segment Data'!$F$5:$F$200,"Derived component")</f>
        <v>83.2</v>
      </c>
      <c r="E5" s="26" t="n">
        <f aca="false">'Segment Data'!D7</f>
        <v>83.2</v>
      </c>
      <c r="F5" s="25" t="n">
        <f aca="false">D5-E5</f>
        <v>0</v>
      </c>
      <c r="G5" s="4" t="str">
        <f aca="false">IF(ABS(F5)&lt;0.005,"OK",IF(COUNTIFS('Segment Data'!$A$5:$A$200,A5,'Segment Data'!$B$5:$B$200,B5,'Segment Data'!$F$5:$F$200,"Reconciling item")&gt;0,"Group items explain gap","CHECK"))</f>
        <v>OK</v>
      </c>
    </row>
    <row r="6" customFormat="false" ht="15" hidden="false" customHeight="false" outlineLevel="0" collapsed="false">
      <c r="A6" s="4" t="s">
        <v>36</v>
      </c>
      <c r="B6" s="4" t="s">
        <v>122</v>
      </c>
      <c r="C6" s="4" t="s">
        <v>139</v>
      </c>
      <c r="D6" s="27" t="n">
        <f aca="false">SUMIFS('Segment Data'!$D$5:$D$200,'Segment Data'!$A$5:$A$200,A6,'Segment Data'!$B$5:$B$200,B6,'Segment Data'!$F$5:$F$200,"Component")+SUMIFS('Segment Data'!$D$5:$D$200,'Segment Data'!$A$5:$A$200,A6,'Segment Data'!$B$5:$B$200,B6,'Segment Data'!$F$5:$F$200,"Derived component")</f>
        <v>54842</v>
      </c>
      <c r="E6" s="28" t="n">
        <f aca="false">'Segment Data'!D17</f>
        <v>54842</v>
      </c>
      <c r="F6" s="27" t="n">
        <f aca="false">D6-E6</f>
        <v>0</v>
      </c>
      <c r="G6" s="4" t="str">
        <f aca="false">IF(ABS(F6)&lt;0.005,"OK",IF(COUNTIFS('Segment Data'!$A$5:$A$200,A6,'Segment Data'!$B$5:$B$200,B6,'Segment Data'!$F$5:$F$200,"Reconciling item")&gt;0,"Group items explain gap","CHECK"))</f>
        <v>OK</v>
      </c>
    </row>
    <row r="7" customFormat="false" ht="15" hidden="false" customHeight="false" outlineLevel="0" collapsed="false">
      <c r="A7" s="4" t="s">
        <v>36</v>
      </c>
      <c r="B7" s="4" t="s">
        <v>146</v>
      </c>
      <c r="C7" s="4" t="s">
        <v>139</v>
      </c>
      <c r="D7" s="27" t="n">
        <f aca="false">SUMIFS('Segment Data'!$D$5:$D$200,'Segment Data'!$A$5:$A$200,A7,'Segment Data'!$B$5:$B$200,B7,'Segment Data'!$F$5:$F$200,"Component")+SUMIFS('Segment Data'!$D$5:$D$200,'Segment Data'!$A$5:$A$200,A7,'Segment Data'!$B$5:$B$200,B7,'Segment Data'!$F$5:$F$200,"Derived component")</f>
        <v>14227</v>
      </c>
      <c r="E7" s="28" t="n">
        <f aca="false">'Segment Data'!D24</f>
        <v>14227</v>
      </c>
      <c r="F7" s="27" t="n">
        <f aca="false">D7-E7</f>
        <v>0</v>
      </c>
      <c r="G7" s="4" t="str">
        <f aca="false">IF(ABS(F7)&lt;0.005,"OK",IF(COUNTIFS('Segment Data'!$A$5:$A$200,A7,'Segment Data'!$B$5:$B$200,B7,'Segment Data'!$F$5:$F$200,"Reconciling item")&gt;0,"Group items explain gap","CHECK"))</f>
        <v>OK</v>
      </c>
    </row>
    <row r="8" customFormat="false" ht="15" hidden="false" customHeight="false" outlineLevel="0" collapsed="false">
      <c r="A8" s="4" t="s">
        <v>43</v>
      </c>
      <c r="B8" s="4" t="s">
        <v>148</v>
      </c>
      <c r="C8" s="4" t="s">
        <v>139</v>
      </c>
      <c r="D8" s="27" t="n">
        <f aca="false">SUMIFS('Segment Data'!$D$5:$D$200,'Segment Data'!$A$5:$A$200,A8,'Segment Data'!$B$5:$B$200,B8,'Segment Data'!$F$5:$F$200,"Component")+SUMIFS('Segment Data'!$D$5:$D$200,'Segment Data'!$A$5:$A$200,A8,'Segment Data'!$B$5:$B$200,B8,'Segment Data'!$F$5:$F$200,"Derived component")</f>
        <v>23675</v>
      </c>
      <c r="E8" s="28" t="n">
        <f aca="false">'Segment Data'!D28</f>
        <v>23675</v>
      </c>
      <c r="F8" s="27" t="n">
        <f aca="false">D8-E8</f>
        <v>0</v>
      </c>
      <c r="G8" s="4" t="str">
        <f aca="false">IF(ABS(F8)&lt;0.005,"OK",IF(COUNTIFS('Segment Data'!$A$5:$A$200,A8,'Segment Data'!$B$5:$B$200,B8,'Segment Data'!$F$5:$F$200,"Reconciling item")&gt;0,"Group items explain gap","CHECK"))</f>
        <v>OK</v>
      </c>
    </row>
    <row r="9" customFormat="false" ht="15" hidden="false" customHeight="false" outlineLevel="0" collapsed="false">
      <c r="A9" s="4" t="s">
        <v>50</v>
      </c>
      <c r="B9" s="4" t="s">
        <v>163</v>
      </c>
      <c r="C9" s="4" t="s">
        <v>165</v>
      </c>
      <c r="D9" s="25" t="n">
        <f aca="false">SUMIFS('Segment Data'!$D$5:$D$200,'Segment Data'!$A$5:$A$200,A9,'Segment Data'!$B$5:$B$200,B9,'Segment Data'!$F$5:$F$200,"Component")+SUMIFS('Segment Data'!$D$5:$D$200,'Segment Data'!$A$5:$A$200,A9,'Segment Data'!$B$5:$B$200,B9,'Segment Data'!$F$5:$F$200,"Derived component")</f>
        <v>17.4</v>
      </c>
      <c r="E9" s="26" t="n">
        <f aca="false">'Segment Data'!D36</f>
        <v>17.4</v>
      </c>
      <c r="F9" s="25" t="n">
        <f aca="false">D9-E9</f>
        <v>0</v>
      </c>
      <c r="G9" s="4" t="str">
        <f aca="false">IF(ABS(F9)&lt;0.005,"OK",IF(COUNTIFS('Segment Data'!$A$5:$A$200,A9,'Segment Data'!$B$5:$B$200,B9,'Segment Data'!$F$5:$F$200,"Reconciling item")&gt;0,"Group items explain gap","CHECK"))</f>
        <v>OK</v>
      </c>
    </row>
    <row r="10" customFormat="false" ht="15" hidden="false" customHeight="false" outlineLevel="0" collapsed="false">
      <c r="A10" s="4" t="s">
        <v>57</v>
      </c>
      <c r="B10" s="4" t="s">
        <v>179</v>
      </c>
      <c r="C10" s="4" t="s">
        <v>124</v>
      </c>
      <c r="D10" s="25" t="n">
        <f aca="false">SUMIFS('Segment Data'!$D$5:$D$200,'Segment Data'!$A$5:$A$200,A10,'Segment Data'!$B$5:$B$200,B10,'Segment Data'!$F$5:$F$200,"Component")+SUMIFS('Segment Data'!$D$5:$D$200,'Segment Data'!$A$5:$A$200,A10,'Segment Data'!$B$5:$B$200,B10,'Segment Data'!$F$5:$F$200,"Derived component")</f>
        <v>44.4</v>
      </c>
      <c r="E10" s="26" t="n">
        <f aca="false">'Segment Data'!D44</f>
        <v>44.4</v>
      </c>
      <c r="F10" s="25" t="n">
        <f aca="false">D10-E10</f>
        <v>0</v>
      </c>
      <c r="G10" s="4" t="str">
        <f aca="false">IF(ABS(F10)&lt;0.005,"OK",IF(COUNTIFS('Segment Data'!$A$5:$A$200,A10,'Segment Data'!$B$5:$B$200,B10,'Segment Data'!$F$5:$F$200,"Reconciling item")&gt;0,"Group items explain gap","CHECK"))</f>
        <v>OK</v>
      </c>
    </row>
    <row r="11" customFormat="false" ht="15" hidden="false" customHeight="false" outlineLevel="0" collapsed="false">
      <c r="A11" s="4" t="s">
        <v>64</v>
      </c>
      <c r="B11" s="4" t="s">
        <v>191</v>
      </c>
      <c r="C11" s="4" t="s">
        <v>124</v>
      </c>
      <c r="D11" s="29" t="n">
        <f aca="false">SUMIFS('Segment Data'!$D$5:$D$200,'Segment Data'!$A$5:$A$200,A11,'Segment Data'!$B$5:$B$200,B11,'Segment Data'!$F$5:$F$200,"Component")+SUMIFS('Segment Data'!$D$5:$D$200,'Segment Data'!$A$5:$A$200,A11,'Segment Data'!$B$5:$B$200,B11,'Segment Data'!$F$5:$F$200,"Derived component")</f>
        <v>14.8</v>
      </c>
      <c r="E11" s="30" t="n">
        <f aca="false">'Segment Data'!D51</f>
        <v>14.8</v>
      </c>
      <c r="F11" s="29" t="n">
        <f aca="false">D11-E11</f>
        <v>0</v>
      </c>
      <c r="G11" s="4" t="str">
        <f aca="false">IF(ABS(F11)&lt;0.005,"OK",IF(COUNTIFS('Segment Data'!$A$5:$A$200,A11,'Segment Data'!$B$5:$B$200,B11,'Segment Data'!$F$5:$F$200,"Reconciling item")&gt;0,"Group items explain gap","CHECK"))</f>
        <v>OK</v>
      </c>
    </row>
    <row r="12" customFormat="false" ht="15" hidden="false" customHeight="false" outlineLevel="0" collapsed="false">
      <c r="A12" s="4" t="s">
        <v>71</v>
      </c>
      <c r="B12" s="4" t="s">
        <v>202</v>
      </c>
      <c r="C12" s="4" t="s">
        <v>139</v>
      </c>
      <c r="D12" s="25" t="n">
        <f aca="false">SUMIFS('Segment Data'!$D$5:$D$200,'Segment Data'!$A$5:$A$200,A12,'Segment Data'!$B$5:$B$200,B12,'Segment Data'!$F$5:$F$200,"Component")+SUMIFS('Segment Data'!$D$5:$D$200,'Segment Data'!$A$5:$A$200,A12,'Segment Data'!$B$5:$B$200,B12,'Segment Data'!$F$5:$F$200,"Derived component")</f>
        <v>294.4</v>
      </c>
      <c r="E12" s="26" t="n">
        <f aca="false">'Segment Data'!D59</f>
        <v>294.4</v>
      </c>
      <c r="F12" s="25" t="n">
        <f aca="false">D12-E12</f>
        <v>0</v>
      </c>
      <c r="G12" s="4" t="str">
        <f aca="false">IF(ABS(F12)&lt;0.005,"OK",IF(COUNTIFS('Segment Data'!$A$5:$A$200,A12,'Segment Data'!$B$5:$B$200,B12,'Segment Data'!$F$5:$F$200,"Reconciling item")&gt;0,"Group items explain gap","CHECK"))</f>
        <v>OK</v>
      </c>
    </row>
    <row r="13" customFormat="false" ht="15" hidden="false" customHeight="false" outlineLevel="0" collapsed="false">
      <c r="A13" s="4" t="s">
        <v>71</v>
      </c>
      <c r="B13" s="4" t="s">
        <v>209</v>
      </c>
      <c r="C13" s="4" t="s">
        <v>139</v>
      </c>
      <c r="D13" s="25" t="n">
        <f aca="false">SUMIFS('Segment Data'!$D$5:$D$200,'Segment Data'!$A$5:$A$200,A13,'Segment Data'!$B$5:$B$200,B13,'Segment Data'!$F$5:$F$200,"Component")+SUMIFS('Segment Data'!$D$5:$D$200,'Segment Data'!$A$5:$A$200,A13,'Segment Data'!$B$5:$B$200,B13,'Segment Data'!$F$5:$F$200,"Derived component")</f>
        <v>552.4</v>
      </c>
      <c r="E13" s="26" t="n">
        <f aca="false">'Segment Data'!D64</f>
        <v>552.4</v>
      </c>
      <c r="F13" s="25" t="n">
        <f aca="false">D13-E13</f>
        <v>0</v>
      </c>
      <c r="G13" s="4" t="str">
        <f aca="false">IF(ABS(F13)&lt;0.005,"OK",IF(COUNTIFS('Segment Data'!$A$5:$A$200,A13,'Segment Data'!$B$5:$B$200,B13,'Segment Data'!$F$5:$F$200,"Reconciling item")&gt;0,"Group items explain gap","CHECK"))</f>
        <v>OK</v>
      </c>
    </row>
    <row r="14" customFormat="false" ht="15" hidden="false" customHeight="false" outlineLevel="0" collapsed="false">
      <c r="A14" s="4" t="s">
        <v>78</v>
      </c>
      <c r="B14" s="4" t="s">
        <v>210</v>
      </c>
      <c r="C14" s="4" t="s">
        <v>212</v>
      </c>
      <c r="D14" s="27" t="n">
        <f aca="false">SUMIFS('Segment Data'!$D$5:$D$200,'Segment Data'!$A$5:$A$200,A14,'Segment Data'!$B$5:$B$200,B14,'Segment Data'!$F$5:$F$200,"Component")+SUMIFS('Segment Data'!$D$5:$D$200,'Segment Data'!$A$5:$A$200,A14,'Segment Data'!$B$5:$B$200,B14,'Segment Data'!$F$5:$F$200,"Derived component")</f>
        <v>37907</v>
      </c>
      <c r="E14" s="28" t="n">
        <f aca="false">'Segment Data'!D67</f>
        <v>37907</v>
      </c>
      <c r="F14" s="27" t="n">
        <f aca="false">D14-E14</f>
        <v>0</v>
      </c>
      <c r="G14" s="4" t="str">
        <f aca="false">IF(ABS(F14)&lt;0.005,"OK",IF(COUNTIFS('Segment Data'!$A$5:$A$200,A14,'Segment Data'!$B$5:$B$200,B14,'Segment Data'!$F$5:$F$200,"Reconciling item")&gt;0,"Group items explain gap","CHECK"))</f>
        <v>OK</v>
      </c>
    </row>
    <row r="15" customFormat="false" ht="15" hidden="false" customHeight="false" outlineLevel="0" collapsed="false">
      <c r="A15" s="4" t="s">
        <v>85</v>
      </c>
      <c r="B15" s="4" t="s">
        <v>223</v>
      </c>
      <c r="C15" s="4" t="s">
        <v>225</v>
      </c>
      <c r="D15" s="27" t="n">
        <f aca="false">SUMIFS('Segment Data'!$D$5:$D$200,'Segment Data'!$A$5:$A$200,A15,'Segment Data'!$B$5:$B$200,B15,'Segment Data'!$F$5:$F$200,"Component")+SUMIFS('Segment Data'!$D$5:$D$200,'Segment Data'!$A$5:$A$200,A15,'Segment Data'!$B$5:$B$200,B15,'Segment Data'!$F$5:$F$200,"Derived component")</f>
        <v>116000</v>
      </c>
      <c r="E15" s="28" t="n">
        <f aca="false">'Segment Data'!D77</f>
        <v>116000</v>
      </c>
      <c r="F15" s="27" t="n">
        <f aca="false">D15-E15</f>
        <v>0</v>
      </c>
      <c r="G15" s="4" t="str">
        <f aca="false">IF(ABS(F15)&lt;0.005,"OK",IF(COUNTIFS('Segment Data'!$A$5:$A$200,A15,'Segment Data'!$B$5:$B$200,B15,'Segment Data'!$F$5:$F$200,"Reconciling item")&gt;0,"Group items explain gap","CHECK"))</f>
        <v>OK</v>
      </c>
    </row>
    <row r="16" customFormat="false" ht="15" hidden="false" customHeight="false" outlineLevel="0" collapsed="false">
      <c r="A16" s="4" t="s">
        <v>92</v>
      </c>
      <c r="B16" s="4" t="s">
        <v>232</v>
      </c>
      <c r="C16" s="4" t="s">
        <v>139</v>
      </c>
      <c r="D16" s="27" t="n">
        <f aca="false">SUMIFS('Segment Data'!$D$5:$D$200,'Segment Data'!$A$5:$A$200,A16,'Segment Data'!$B$5:$B$200,B16,'Segment Data'!$F$5:$F$200,"Component")+SUMIFS('Segment Data'!$D$5:$D$200,'Segment Data'!$A$5:$A$200,A16,'Segment Data'!$B$5:$B$200,B16,'Segment Data'!$F$5:$F$200,"Derived component")</f>
        <v>5088</v>
      </c>
      <c r="E16" s="28" t="n">
        <f aca="false">'Segment Data'!D82</f>
        <v>4800</v>
      </c>
      <c r="F16" s="27" t="n">
        <f aca="false">D16-E16</f>
        <v>288</v>
      </c>
      <c r="G16" s="4" t="str">
        <f aca="false">IF(ABS(F16)&lt;0.005,"OK",IF(COUNTIFS('Segment Data'!$A$5:$A$200,A16,'Segment Data'!$B$5:$B$200,B16,'Segment Data'!$F$5:$F$200,"Reconciling item")&gt;0,"Group items explain gap","CHECK"))</f>
        <v>Group items explain gap</v>
      </c>
    </row>
    <row r="17" customFormat="false" ht="15" hidden="false" customHeight="false" outlineLevel="0" collapsed="false">
      <c r="A17" s="4" t="s">
        <v>99</v>
      </c>
      <c r="B17" s="4" t="s">
        <v>241</v>
      </c>
      <c r="C17" s="4" t="s">
        <v>225</v>
      </c>
      <c r="D17" s="27" t="n">
        <f aca="false">SUMIFS('Segment Data'!$D$5:$D$200,'Segment Data'!$A$5:$A$200,A17,'Segment Data'!$B$5:$B$200,B17,'Segment Data'!$F$5:$F$200,"Component")+SUMIFS('Segment Data'!$D$5:$D$200,'Segment Data'!$A$5:$A$200,A17,'Segment Data'!$B$5:$B$200,B17,'Segment Data'!$F$5:$F$200,"Derived component")</f>
        <v>6121</v>
      </c>
      <c r="E17" s="28" t="n">
        <f aca="false">'Segment Data'!D85</f>
        <v>6121</v>
      </c>
      <c r="F17" s="27" t="n">
        <f aca="false">D17-E17</f>
        <v>0</v>
      </c>
      <c r="G17" s="4" t="str">
        <f aca="false">IF(ABS(F17)&lt;0.005,"OK",IF(COUNTIFS('Segment Data'!$A$5:$A$200,A17,'Segment Data'!$B$5:$B$200,B17,'Segment Data'!$F$5:$F$200,"Reconciling item")&gt;0,"Group items explain gap","CHECK"))</f>
        <v>OK</v>
      </c>
    </row>
    <row r="18" customFormat="false" ht="15" hidden="false" customHeight="false" outlineLevel="0" collapsed="false">
      <c r="A18" s="4" t="s">
        <v>99</v>
      </c>
      <c r="B18" s="4" t="s">
        <v>246</v>
      </c>
      <c r="C18" s="4" t="s">
        <v>225</v>
      </c>
      <c r="D18" s="27" t="n">
        <f aca="false">SUMIFS('Segment Data'!$D$5:$D$200,'Segment Data'!$A$5:$A$200,A18,'Segment Data'!$B$5:$B$200,B18,'Segment Data'!$F$5:$F$200,"Component")+SUMIFS('Segment Data'!$D$5:$D$200,'Segment Data'!$A$5:$A$200,A18,'Segment Data'!$B$5:$B$200,B18,'Segment Data'!$F$5:$F$200,"Derived component")</f>
        <v>60412</v>
      </c>
      <c r="E18" s="28" t="n">
        <f aca="false">'Segment Data'!D88</f>
        <v>60412</v>
      </c>
      <c r="F18" s="27" t="n">
        <f aca="false">D18-E18</f>
        <v>0</v>
      </c>
      <c r="G18" s="4" t="str">
        <f aca="false">IF(ABS(F18)&lt;0.005,"OK",IF(COUNTIFS('Segment Data'!$A$5:$A$200,A18,'Segment Data'!$B$5:$B$200,B18,'Segment Data'!$F$5:$F$200,"Reconciling item")&gt;0,"Group items explain gap","CHECK"))</f>
        <v>OK</v>
      </c>
    </row>
    <row r="20" customFormat="false" ht="15" hidden="false" customHeight="false" outlineLevel="0" collapsed="false">
      <c r="A20" s="24" t="s">
        <v>258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5" min="1" style="0" width="16"/>
    <col collapsed="false" customWidth="true" hidden="false" outlineLevel="0" max="6" min="6" style="0" width="14"/>
    <col collapsed="false" customWidth="true" hidden="false" outlineLevel="0" max="7" min="7" style="0" width="16"/>
    <col collapsed="false" customWidth="true" hidden="false" outlineLevel="0" max="8" min="8" style="0" width="18"/>
    <col collapsed="false" customWidth="true" hidden="false" outlineLevel="0" max="9" min="9" style="0" width="60"/>
  </cols>
  <sheetData>
    <row r="1" customFormat="false" ht="17.35" hidden="false" customHeight="false" outlineLevel="0" collapsed="false">
      <c r="A1" s="1" t="s">
        <v>259</v>
      </c>
    </row>
    <row r="2" customFormat="false" ht="15" hidden="false" customHeight="false" outlineLevel="0" collapsed="false">
      <c r="A2" s="2" t="s">
        <v>260</v>
      </c>
    </row>
    <row r="4" customFormat="false" ht="42" hidden="false" customHeight="true" outlineLevel="0" collapsed="false">
      <c r="A4" s="7" t="s">
        <v>22</v>
      </c>
      <c r="B4" s="7" t="s">
        <v>261</v>
      </c>
      <c r="C4" s="7" t="s">
        <v>135</v>
      </c>
      <c r="D4" s="7" t="s">
        <v>262</v>
      </c>
      <c r="E4" s="7" t="s">
        <v>263</v>
      </c>
      <c r="F4" s="7" t="s">
        <v>264</v>
      </c>
      <c r="G4" s="7" t="s">
        <v>265</v>
      </c>
      <c r="H4" s="7" t="s">
        <v>266</v>
      </c>
      <c r="I4" s="7" t="s">
        <v>267</v>
      </c>
    </row>
    <row r="5" customFormat="false" ht="15" hidden="false" customHeight="false" outlineLevel="0" collapsed="false">
      <c r="A5" s="31" t="s">
        <v>29</v>
      </c>
      <c r="B5" s="32" t="s">
        <v>268</v>
      </c>
      <c r="C5" s="33" t="s">
        <v>269</v>
      </c>
      <c r="D5" s="33" t="s">
        <v>269</v>
      </c>
      <c r="E5" s="34"/>
      <c r="F5" s="34"/>
      <c r="G5" s="34"/>
      <c r="H5" s="34"/>
      <c r="I5" s="35" t="s">
        <v>270</v>
      </c>
    </row>
    <row r="6" customFormat="false" ht="15" hidden="false" customHeight="false" outlineLevel="0" collapsed="false">
      <c r="A6" s="31" t="s">
        <v>36</v>
      </c>
      <c r="B6" s="32" t="s">
        <v>268</v>
      </c>
      <c r="C6" s="33" t="s">
        <v>269</v>
      </c>
      <c r="D6" s="34"/>
      <c r="E6" s="34"/>
      <c r="F6" s="34"/>
      <c r="G6" s="34"/>
      <c r="H6" s="33" t="s">
        <v>269</v>
      </c>
      <c r="I6" s="35" t="s">
        <v>271</v>
      </c>
    </row>
    <row r="7" customFormat="false" ht="15" hidden="false" customHeight="false" outlineLevel="0" collapsed="false">
      <c r="A7" s="31" t="s">
        <v>43</v>
      </c>
      <c r="B7" s="32" t="s">
        <v>268</v>
      </c>
      <c r="C7" s="33" t="s">
        <v>269</v>
      </c>
      <c r="D7" s="33" t="s">
        <v>269</v>
      </c>
      <c r="E7" s="34"/>
      <c r="F7" s="34"/>
      <c r="G7" s="34"/>
      <c r="H7" s="34"/>
      <c r="I7" s="35" t="s">
        <v>272</v>
      </c>
    </row>
    <row r="8" customFormat="false" ht="15" hidden="false" customHeight="false" outlineLevel="0" collapsed="false">
      <c r="A8" s="31" t="s">
        <v>50</v>
      </c>
      <c r="B8" s="32" t="s">
        <v>268</v>
      </c>
      <c r="C8" s="33" t="s">
        <v>269</v>
      </c>
      <c r="D8" s="34"/>
      <c r="E8" s="34"/>
      <c r="F8" s="34"/>
      <c r="G8" s="33" t="s">
        <v>269</v>
      </c>
      <c r="H8" s="34"/>
      <c r="I8" s="35" t="s">
        <v>273</v>
      </c>
    </row>
    <row r="9" customFormat="false" ht="15" hidden="false" customHeight="false" outlineLevel="0" collapsed="false">
      <c r="A9" s="31" t="s">
        <v>57</v>
      </c>
      <c r="B9" s="32" t="s">
        <v>268</v>
      </c>
      <c r="C9" s="33" t="s">
        <v>269</v>
      </c>
      <c r="D9" s="34"/>
      <c r="E9" s="34"/>
      <c r="F9" s="34"/>
      <c r="G9" s="34"/>
      <c r="H9" s="34"/>
      <c r="I9" s="35" t="s">
        <v>274</v>
      </c>
    </row>
    <row r="10" customFormat="false" ht="15" hidden="false" customHeight="false" outlineLevel="0" collapsed="false">
      <c r="A10" s="31" t="s">
        <v>64</v>
      </c>
      <c r="B10" s="32" t="s">
        <v>268</v>
      </c>
      <c r="C10" s="33" t="s">
        <v>269</v>
      </c>
      <c r="D10" s="33" t="s">
        <v>269</v>
      </c>
      <c r="E10" s="34"/>
      <c r="F10" s="34"/>
      <c r="G10" s="34"/>
      <c r="H10" s="34"/>
      <c r="I10" s="35" t="s">
        <v>275</v>
      </c>
    </row>
    <row r="11" customFormat="false" ht="15" hidden="false" customHeight="false" outlineLevel="0" collapsed="false">
      <c r="A11" s="31" t="s">
        <v>71</v>
      </c>
      <c r="B11" s="32" t="s">
        <v>268</v>
      </c>
      <c r="C11" s="33" t="s">
        <v>269</v>
      </c>
      <c r="D11" s="34"/>
      <c r="E11" s="33" t="s">
        <v>269</v>
      </c>
      <c r="F11" s="34"/>
      <c r="G11" s="34"/>
      <c r="H11" s="34"/>
      <c r="I11" s="35" t="s">
        <v>276</v>
      </c>
    </row>
    <row r="12" customFormat="false" ht="15" hidden="false" customHeight="false" outlineLevel="0" collapsed="false">
      <c r="A12" s="31" t="s">
        <v>78</v>
      </c>
      <c r="B12" s="32" t="s">
        <v>268</v>
      </c>
      <c r="C12" s="32" t="s">
        <v>268</v>
      </c>
      <c r="D12" s="33" t="s">
        <v>269</v>
      </c>
      <c r="E12" s="34"/>
      <c r="F12" s="32" t="s">
        <v>268</v>
      </c>
      <c r="G12" s="33" t="s">
        <v>269</v>
      </c>
      <c r="H12" s="34"/>
      <c r="I12" s="35" t="s">
        <v>277</v>
      </c>
    </row>
    <row r="13" customFormat="false" ht="15" hidden="false" customHeight="false" outlineLevel="0" collapsed="false">
      <c r="A13" s="31" t="s">
        <v>85</v>
      </c>
      <c r="B13" s="32" t="s">
        <v>268</v>
      </c>
      <c r="C13" s="33" t="s">
        <v>269</v>
      </c>
      <c r="D13" s="33" t="s">
        <v>269</v>
      </c>
      <c r="E13" s="34"/>
      <c r="F13" s="34"/>
      <c r="G13" s="33" t="s">
        <v>269</v>
      </c>
      <c r="H13" s="34"/>
      <c r="I13" s="35" t="s">
        <v>278</v>
      </c>
    </row>
    <row r="14" customFormat="false" ht="15" hidden="false" customHeight="false" outlineLevel="0" collapsed="false">
      <c r="A14" s="31" t="s">
        <v>92</v>
      </c>
      <c r="B14" s="32" t="s">
        <v>268</v>
      </c>
      <c r="C14" s="33" t="s">
        <v>269</v>
      </c>
      <c r="D14" s="34"/>
      <c r="E14" s="34"/>
      <c r="F14" s="34"/>
      <c r="G14" s="34"/>
      <c r="H14" s="32" t="s">
        <v>268</v>
      </c>
      <c r="I14" s="35" t="s">
        <v>279</v>
      </c>
    </row>
    <row r="15" customFormat="false" ht="15" hidden="false" customHeight="false" outlineLevel="0" collapsed="false">
      <c r="A15" s="31" t="s">
        <v>99</v>
      </c>
      <c r="B15" s="32" t="s">
        <v>268</v>
      </c>
      <c r="C15" s="33" t="s">
        <v>269</v>
      </c>
      <c r="D15" s="34"/>
      <c r="E15" s="34"/>
      <c r="F15" s="34"/>
      <c r="G15" s="34"/>
      <c r="H15" s="32" t="s">
        <v>268</v>
      </c>
      <c r="I15" s="35" t="s">
        <v>280</v>
      </c>
    </row>
    <row r="16" customFormat="false" ht="15" hidden="false" customHeight="false" outlineLevel="0" collapsed="false">
      <c r="A16" s="31" t="s">
        <v>106</v>
      </c>
      <c r="B16" s="32" t="s">
        <v>268</v>
      </c>
      <c r="C16" s="33" t="s">
        <v>269</v>
      </c>
      <c r="D16" s="33" t="s">
        <v>269</v>
      </c>
      <c r="E16" s="34"/>
      <c r="F16" s="34"/>
      <c r="G16" s="34"/>
      <c r="H16" s="34"/>
      <c r="I16" s="35" t="s">
        <v>281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46"/>
    <col collapsed="false" customWidth="true" hidden="false" outlineLevel="0" max="3" min="3" style="0" width="100"/>
    <col collapsed="false" customWidth="true" hidden="false" outlineLevel="0" max="4" min="4" style="0" width="26"/>
  </cols>
  <sheetData>
    <row r="1" customFormat="false" ht="17.35" hidden="false" customHeight="false" outlineLevel="0" collapsed="false">
      <c r="A1" s="1" t="s">
        <v>282</v>
      </c>
    </row>
    <row r="3" customFormat="false" ht="15" hidden="false" customHeight="false" outlineLevel="0" collapsed="false">
      <c r="A3" s="7" t="s">
        <v>22</v>
      </c>
      <c r="B3" s="7" t="s">
        <v>283</v>
      </c>
      <c r="C3" s="7" t="s">
        <v>284</v>
      </c>
      <c r="D3" s="7" t="s">
        <v>23</v>
      </c>
    </row>
    <row r="4" customFormat="false" ht="15" hidden="false" customHeight="false" outlineLevel="0" collapsed="false">
      <c r="A4" s="4" t="s">
        <v>29</v>
      </c>
      <c r="B4" s="4" t="s">
        <v>285</v>
      </c>
      <c r="C4" s="4" t="s">
        <v>286</v>
      </c>
      <c r="D4" s="4" t="s">
        <v>268</v>
      </c>
    </row>
    <row r="5" customFormat="false" ht="15" hidden="false" customHeight="false" outlineLevel="0" collapsed="false">
      <c r="A5" s="4" t="s">
        <v>29</v>
      </c>
      <c r="B5" s="4" t="s">
        <v>287</v>
      </c>
      <c r="C5" s="4" t="s">
        <v>288</v>
      </c>
      <c r="D5" s="4" t="s">
        <v>268</v>
      </c>
    </row>
    <row r="6" customFormat="false" ht="15" hidden="false" customHeight="false" outlineLevel="0" collapsed="false">
      <c r="A6" s="4" t="s">
        <v>29</v>
      </c>
      <c r="B6" s="4" t="s">
        <v>289</v>
      </c>
      <c r="C6" s="4" t="s">
        <v>290</v>
      </c>
      <c r="D6" s="4" t="s">
        <v>269</v>
      </c>
    </row>
    <row r="7" customFormat="false" ht="15" hidden="false" customHeight="false" outlineLevel="0" collapsed="false">
      <c r="A7" s="4" t="s">
        <v>36</v>
      </c>
      <c r="B7" s="4" t="s">
        <v>291</v>
      </c>
      <c r="C7" s="4" t="s">
        <v>292</v>
      </c>
      <c r="D7" s="4" t="s">
        <v>268</v>
      </c>
    </row>
    <row r="8" customFormat="false" ht="15" hidden="false" customHeight="false" outlineLevel="0" collapsed="false">
      <c r="A8" s="4" t="s">
        <v>36</v>
      </c>
      <c r="B8" s="4" t="s">
        <v>293</v>
      </c>
      <c r="C8" s="4" t="s">
        <v>294</v>
      </c>
      <c r="D8" s="4" t="s">
        <v>269</v>
      </c>
    </row>
    <row r="9" customFormat="false" ht="15" hidden="false" customHeight="false" outlineLevel="0" collapsed="false">
      <c r="A9" s="4" t="s">
        <v>43</v>
      </c>
      <c r="B9" s="4" t="s">
        <v>295</v>
      </c>
      <c r="C9" s="4" t="s">
        <v>296</v>
      </c>
      <c r="D9" s="4" t="s">
        <v>268</v>
      </c>
    </row>
    <row r="10" customFormat="false" ht="15" hidden="false" customHeight="false" outlineLevel="0" collapsed="false">
      <c r="A10" s="4" t="s">
        <v>43</v>
      </c>
      <c r="B10" s="4" t="s">
        <v>297</v>
      </c>
      <c r="C10" s="4" t="s">
        <v>298</v>
      </c>
      <c r="D10" s="4" t="s">
        <v>268</v>
      </c>
    </row>
    <row r="11" customFormat="false" ht="15" hidden="false" customHeight="false" outlineLevel="0" collapsed="false">
      <c r="A11" s="4" t="s">
        <v>43</v>
      </c>
      <c r="B11" s="4" t="s">
        <v>299</v>
      </c>
      <c r="C11" s="4" t="s">
        <v>300</v>
      </c>
      <c r="D11" s="4" t="s">
        <v>269</v>
      </c>
    </row>
    <row r="12" customFormat="false" ht="15" hidden="false" customHeight="false" outlineLevel="0" collapsed="false">
      <c r="A12" s="4" t="s">
        <v>50</v>
      </c>
      <c r="B12" s="4" t="s">
        <v>293</v>
      </c>
      <c r="C12" s="4" t="s">
        <v>301</v>
      </c>
      <c r="D12" s="4" t="s">
        <v>269</v>
      </c>
    </row>
    <row r="13" customFormat="false" ht="15" hidden="false" customHeight="false" outlineLevel="0" collapsed="false">
      <c r="A13" s="4" t="s">
        <v>50</v>
      </c>
      <c r="B13" s="4" t="s">
        <v>302</v>
      </c>
      <c r="C13" s="4" t="s">
        <v>303</v>
      </c>
      <c r="D13" s="4" t="s">
        <v>269</v>
      </c>
    </row>
    <row r="14" customFormat="false" ht="23.85" hidden="false" customHeight="false" outlineLevel="0" collapsed="false">
      <c r="A14" s="4" t="s">
        <v>57</v>
      </c>
      <c r="B14" s="4" t="s">
        <v>304</v>
      </c>
      <c r="C14" s="4" t="s">
        <v>305</v>
      </c>
      <c r="D14" s="4" t="s">
        <v>268</v>
      </c>
    </row>
    <row r="15" customFormat="false" ht="15" hidden="false" customHeight="false" outlineLevel="0" collapsed="false">
      <c r="A15" s="4" t="s">
        <v>57</v>
      </c>
      <c r="B15" s="4" t="s">
        <v>306</v>
      </c>
      <c r="C15" s="4" t="s">
        <v>307</v>
      </c>
      <c r="D15" s="4" t="s">
        <v>269</v>
      </c>
    </row>
    <row r="16" customFormat="false" ht="15" hidden="false" customHeight="false" outlineLevel="0" collapsed="false">
      <c r="A16" s="4" t="s">
        <v>64</v>
      </c>
      <c r="B16" s="4" t="s">
        <v>285</v>
      </c>
      <c r="C16" s="4" t="s">
        <v>308</v>
      </c>
      <c r="D16" s="4" t="s">
        <v>268</v>
      </c>
    </row>
    <row r="17" customFormat="false" ht="15" hidden="false" customHeight="false" outlineLevel="0" collapsed="false">
      <c r="A17" s="4" t="s">
        <v>64</v>
      </c>
      <c r="B17" s="4" t="s">
        <v>309</v>
      </c>
      <c r="C17" s="4" t="s">
        <v>310</v>
      </c>
      <c r="D17" s="4" t="s">
        <v>269</v>
      </c>
    </row>
    <row r="18" customFormat="false" ht="15" hidden="false" customHeight="false" outlineLevel="0" collapsed="false">
      <c r="A18" s="4" t="s">
        <v>71</v>
      </c>
      <c r="B18" s="4" t="s">
        <v>311</v>
      </c>
      <c r="C18" s="4" t="s">
        <v>312</v>
      </c>
      <c r="D18" s="4" t="s">
        <v>268</v>
      </c>
    </row>
    <row r="19" customFormat="false" ht="15" hidden="false" customHeight="false" outlineLevel="0" collapsed="false">
      <c r="A19" s="4" t="s">
        <v>78</v>
      </c>
      <c r="B19" s="4" t="s">
        <v>313</v>
      </c>
      <c r="C19" s="4" t="s">
        <v>314</v>
      </c>
      <c r="D19" s="4" t="s">
        <v>268</v>
      </c>
    </row>
    <row r="20" customFormat="false" ht="15" hidden="false" customHeight="false" outlineLevel="0" collapsed="false">
      <c r="A20" s="4" t="s">
        <v>78</v>
      </c>
      <c r="B20" s="4" t="s">
        <v>315</v>
      </c>
      <c r="C20" s="4" t="s">
        <v>316</v>
      </c>
      <c r="D20" s="4" t="s">
        <v>317</v>
      </c>
    </row>
    <row r="21" customFormat="false" ht="15" hidden="false" customHeight="false" outlineLevel="0" collapsed="false">
      <c r="A21" s="4" t="s">
        <v>85</v>
      </c>
      <c r="B21" s="4" t="s">
        <v>318</v>
      </c>
      <c r="C21" s="4" t="s">
        <v>319</v>
      </c>
      <c r="D21" s="4" t="s">
        <v>268</v>
      </c>
    </row>
    <row r="22" customFormat="false" ht="15" hidden="false" customHeight="false" outlineLevel="0" collapsed="false">
      <c r="A22" s="4" t="s">
        <v>92</v>
      </c>
      <c r="B22" s="4" t="s">
        <v>320</v>
      </c>
      <c r="C22" s="4" t="s">
        <v>321</v>
      </c>
      <c r="D22" s="4" t="s">
        <v>268</v>
      </c>
    </row>
    <row r="23" customFormat="false" ht="23.85" hidden="false" customHeight="false" outlineLevel="0" collapsed="false">
      <c r="A23" s="4" t="s">
        <v>99</v>
      </c>
      <c r="B23" s="4" t="s">
        <v>322</v>
      </c>
      <c r="C23" s="4" t="s">
        <v>323</v>
      </c>
      <c r="D23" s="4" t="s">
        <v>268</v>
      </c>
    </row>
    <row r="24" customFormat="false" ht="15" hidden="false" customHeight="false" outlineLevel="0" collapsed="false">
      <c r="A24" s="4" t="s">
        <v>99</v>
      </c>
      <c r="B24" s="4" t="s">
        <v>324</v>
      </c>
      <c r="C24" s="4" t="s">
        <v>325</v>
      </c>
      <c r="D24" s="4" t="s">
        <v>269</v>
      </c>
    </row>
    <row r="25" customFormat="false" ht="15" hidden="false" customHeight="false" outlineLevel="0" collapsed="false">
      <c r="A25" s="4" t="s">
        <v>106</v>
      </c>
      <c r="B25" s="4" t="s">
        <v>326</v>
      </c>
      <c r="C25" s="4" t="s">
        <v>327</v>
      </c>
      <c r="D25" s="4" t="s">
        <v>328</v>
      </c>
    </row>
    <row r="27" customFormat="false" ht="15" hidden="false" customHeight="false" outlineLevel="0" collapsed="false">
      <c r="A27" s="36" t="s">
        <v>267</v>
      </c>
      <c r="B27" s="36"/>
      <c r="C27" s="36"/>
      <c r="D27" s="36"/>
    </row>
    <row r="28" customFormat="false" ht="15" hidden="false" customHeight="false" outlineLevel="0" collapsed="false">
      <c r="A28" s="37" t="s">
        <v>329</v>
      </c>
      <c r="B28" s="37"/>
      <c r="C28" s="37"/>
      <c r="D28" s="37"/>
    </row>
    <row r="29" customFormat="false" ht="15" hidden="false" customHeight="false" outlineLevel="0" collapsed="false">
      <c r="A29" s="37" t="s">
        <v>330</v>
      </c>
      <c r="B29" s="37"/>
      <c r="C29" s="37"/>
      <c r="D29" s="37"/>
    </row>
    <row r="30" customFormat="false" ht="15" hidden="false" customHeight="false" outlineLevel="0" collapsed="false">
      <c r="A30" s="37" t="s">
        <v>331</v>
      </c>
      <c r="B30" s="37"/>
      <c r="C30" s="37"/>
      <c r="D30" s="37"/>
    </row>
    <row r="31" customFormat="false" ht="15" hidden="false" customHeight="false" outlineLevel="0" collapsed="false">
      <c r="A31" s="37" t="s">
        <v>332</v>
      </c>
      <c r="B31" s="37"/>
      <c r="C31" s="37"/>
      <c r="D31" s="37"/>
    </row>
  </sheetData>
  <mergeCells count="5">
    <mergeCell ref="A27:D27"/>
    <mergeCell ref="A28:D28"/>
    <mergeCell ref="A29:D29"/>
    <mergeCell ref="A30:D30"/>
    <mergeCell ref="A31:D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2026-10-06T09:20:35Z</dcterms:created>
  <dc:creator>openpyxl</dc:creator>
  <dc:description/>
  <dc:language>en-US</dc:language>
  <cp:lastModifiedBy/>
  <dcterms:modified xsi:type="dcterms:W3CDTF">2026-10-06T09:20:35Z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
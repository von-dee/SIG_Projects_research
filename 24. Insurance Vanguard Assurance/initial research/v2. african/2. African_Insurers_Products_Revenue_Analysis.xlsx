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ny Profiles" sheetId="2" state="visible" r:id="rId4"/>
    <sheet name="Segment Data" sheetId="3" state="visible" r:id="rId5"/>
    <sheet name="Reconciliation" sheetId="4" state="visible" r:id="rId6"/>
    <sheet name="Revenue Sources Matrix" sheetId="5" state="visible" r:id="rId7"/>
    <sheet name="Vendor &amp; Partnerships" sheetId="6" state="visible" r:id="rId8"/>
    <sheet name="Financial Engineering" sheetId="7" state="visible" r:id="rId9"/>
    <sheet name="Sources &amp; Notes" sheetId="8" state="visible" r:id="rId10"/>
  </sheets>
  <definedNames>
    <definedName function="false" hidden="true" localSheetId="2" name="_xlnm._FilterDatabase" vbProcedure="false">'Segment Data'!$A$4:$H$116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<sst xmlns="http://schemas.openxmlformats.org/spreadsheetml/2006/main" count="1330" uniqueCount="630">
  <si>
    <t xml:space="preserve">African Insurers: Products, Technology, Revenue Contributions &amp; Financial Engineering</t>
  </si>
  <si>
    <t xml:space="preserve">Prepared 7 Oct 2026 from company results, trade press and regulator/industry sources. See 'Sources &amp; Notes'.</t>
  </si>
  <si>
    <t xml:space="preserve">Sheet</t>
  </si>
  <si>
    <t xml:space="preserve">What it contains</t>
  </si>
  <si>
    <t xml:space="preserve">Company Profiles</t>
  </si>
  <si>
    <t xml:space="preserve">One row per insurer/group: products, channels, revenue sources, revenue contribution headline, technology and partnerships, caveats.</t>
  </si>
  <si>
    <t xml:space="preserve">Segment Data</t>
  </si>
  <si>
    <t xml:space="preserve">Reported segment and market figures in native currency/units with % shares by formula. Blue = sourced input; black = formula; yellow fill = derived by subtraction.</t>
  </si>
  <si>
    <t xml:space="preserve">Reconciliation</t>
  </si>
  <si>
    <t xml:space="preserve">Formula check that components sum to each reported total.</t>
  </si>
  <si>
    <t xml:space="preserve">Revenue Sources Matrix</t>
  </si>
  <si>
    <t xml:space="preserve">Primary/secondary revenue sources for each company (my classification from the sources).</t>
  </si>
  <si>
    <t xml:space="preserve">Vendor &amp; Partnerships</t>
  </si>
  <si>
    <t xml:space="preserve">Named technology vendors, insurtechs, telcos, fintechs and joint-venture partners.</t>
  </si>
  <si>
    <t xml:space="preserve">Financial Engineering</t>
  </si>
  <si>
    <t xml:space="preserve">Capital, reinsurance, M&amp;A and risk-transfer structures.</t>
  </si>
  <si>
    <t xml:space="preserve">Sources &amp; Notes</t>
  </si>
  <si>
    <t xml:space="preserve">Links and caveats.</t>
  </si>
  <si>
    <t xml:space="preserve">Important caveats</t>
  </si>
  <si>
    <t xml:space="preserve">1. Companies report on different bases (net result from financial services, results from operations, normalised headline earnings, gross written premium). Shares are meaningful only within a company and basis.</t>
  </si>
  <si>
    <t xml:space="preserve">2. Africa-specific: most insurers outside South Africa disclose far less segment detail. Several Nigeria/Kenya/Ghana figures are partial, mixed-basis or from trade press.</t>
  </si>
  <si>
    <t xml:space="preserve">3. Ghana market-share data (2018-2021) is dated; Hollard Ghana partnership details are from 2021-2022 announcements.</t>
  </si>
  <si>
    <t xml:space="preserve">4. No announced partnerships between African insurers and frontier-AI labs (Anthropic, OpenAI) or Palantir were found; named technology partners are listed in 'Vendor &amp; Partnerships'.</t>
  </si>
  <si>
    <t xml:space="preserve">5. Some figures come from secondary sources (flagged in the Source column), including a Kenya microinsurance premium figure from a LinkedIn post.</t>
  </si>
  <si>
    <t xml:space="preserve">6. Not researched in depth: Liberty, Hollard South Africa, AVBOB, Egyptian groups (Misr, Allianz Egypt), Leadway financials, Ghana's Enterprise Group and SIC (current figures).</t>
  </si>
  <si>
    <t xml:space="preserve">7. Currency units: R = South African rand; NGN = Nigerian naira; MAD = Moroccan dirham; KSh = Kenyan shilling; USD thousands for Atlas market rankings.</t>
  </si>
  <si>
    <t xml:space="preserve">Company profiles</t>
  </si>
  <si>
    <t xml:space="preserve">Revenue contribution is the latest full year available (shown in each row); see Segment Data for numbers and shares.</t>
  </si>
  <si>
    <t xml:space="preserve">Company</t>
  </si>
  <si>
    <t xml:space="preserve">Country / type</t>
  </si>
  <si>
    <t xml:space="preserve">Products</t>
  </si>
  <si>
    <t xml:space="preserve">Services / channels</t>
  </si>
  <si>
    <t xml:space="preserve">Revenue sources</t>
  </si>
  <si>
    <t xml:space="preserve">Revenue contribution (headline)</t>
  </si>
  <si>
    <t xml:space="preserve">Technology / partnerships</t>
  </si>
  <si>
    <t xml:space="preserve">Caveats</t>
  </si>
  <si>
    <t xml:space="preserve">Sanlam</t>
  </si>
  <si>
    <t xml:space="preserve">South Africa; pan-African and India financial services group</t>
  </si>
  <si>
    <t xml:space="preserve">Life and health insurance, general insurance (Santam, SanlamAllianz), investment management, credit and structuring.</t>
  </si>
  <si>
    <t xml:space="preserve">Agents and branches (Assupol integration), brokers, banking/rewards ecosystem planned in SA; present in 25 African countries.</t>
  </si>
  <si>
    <t xml:space="preserve">Insurance margins, asset-based fees, credit income (India), net investment return on capital.</t>
  </si>
  <si>
    <t xml:space="preserve">FY2025 net result from financial services R15.9B: life &amp; health R9.26B (~58%), general insurance R3.58B (~22%), credit &amp; structuring R2.27B (~14%), investment management R1.51B (~10%), corporate costs -R0.67B.</t>
  </si>
  <si>
    <t xml:space="preserve">Technology and AI named as a Vision 2030 enabler; client-system modernisation; GoTyme Bank for digital ecosystem; SanlamAllianz JV (Allianz 49%).</t>
  </si>
  <si>
    <t xml:space="preserve">Group-level only; no stated AI savings figures.</t>
  </si>
  <si>
    <t xml:space="preserve">Old Mutual</t>
  </si>
  <si>
    <t xml:space="preserve">South Africa; life, short-term, asset management, banking</t>
  </si>
  <si>
    <t xml:space="preserve">Life and savings (Mass &amp; Foundation, Personal Finance, Wealth, Corporate), Old Mutual Insure, Old Mutual Investments, Africa Regions, OM Bank, Old Mutual Finance.</t>
  </si>
  <si>
    <t xml:space="preserve">Advisers, branch network (46% of OM Bank customers came via branches), brokers.</t>
  </si>
  <si>
    <t xml:space="preserve">Underwriting and fee income; asset-management fees; shareholder investment returns; lending margin.</t>
  </si>
  <si>
    <t xml:space="preserve">FY2025 results from operations R9.8B; Insure ~R2.06B (~21%), Africa Regions ~R1.7B (~17%), asset management ~R1.54B (~16%).</t>
  </si>
  <si>
    <t xml:space="preserve">Expanding AI and data analytics in underwriting/claims; OM Bank launched Aug 2025 (~284,000 customers); R2.5B cost programme.</t>
  </si>
  <si>
    <t xml:space="preserve">Segment figures are approximate (trade press). OM Bank carrying value cut by R3B.</t>
  </si>
  <si>
    <t xml:space="preserve">Discovery</t>
  </si>
  <si>
    <t xml:space="preserve">South Africa; health, life, motor, bank, wellness</t>
  </si>
  <si>
    <t xml:space="preserve">Discovery Health (medical scheme administration), Discovery Life, Discovery Insure, Discovery Bank, Vitality.</t>
  </si>
  <si>
    <t xml:space="preserve">Vitality rewards ecosystem; digital channels; Global Vitality Network licensing.</t>
  </si>
  <si>
    <t xml:space="preserve">Underwriting/administration margins, bank income, Vitality network earnings.</t>
  </si>
  <si>
    <t xml:space="preserve">FY to Jun 2026 normalised operating profit R17.75B: Discovery SA ~R13.87B (~78%), Vitality R3.88B (~22%). Bank first full-year profit R370M.</t>
  </si>
  <si>
    <t xml:space="preserve">Behavioural-incentive model exported to AIA, Ping An, Sumitomo, John Hancock, Manulife and Vitality UK; EasyEquities partnership.</t>
  </si>
  <si>
    <t xml:space="preserve">Per-unit FY2026 profit split not retrieved (only growth rates).</t>
  </si>
  <si>
    <t xml:space="preserve">Momentum</t>
  </si>
  <si>
    <t xml:space="preserve">South Africa; life, investments, short-term, health, specialty</t>
  </si>
  <si>
    <t xml:space="preserve">Momentum Retail, Momentum Investments, Metropolitan Life, Momentum Corporate, Momentum Insure, Momentum Health, Guardrisk, India health JV, Africa.</t>
  </si>
  <si>
    <t xml:space="preserve">Advisers, brokers, corporate and retail channels.</t>
  </si>
  <si>
    <t xml:space="preserve">Life margins, annuity profits, fees, underwriting, risk-transfer (Guardrisk).</t>
  </si>
  <si>
    <t xml:space="preserve">FY to Jun 2026 normalised headline earnings R7.06B: Investments R1.19B, Guardrisk R1.04B, Retail R1.01B, Insure R0.47B, Health R0.37B, India R0.02B. Insurance revenue R61.4B.</t>
  </si>
  <si>
    <t xml:space="preserve">Systems migration across Retail, Metropolitan and Africa (saves &gt;R100M a year); Metropolitan turnaround using digital transformation.</t>
  </si>
  <si>
    <t xml:space="preserve">Remaining ~R2.96B is other units (Metropolitan, Corporate, Africa) net of costs - derived.</t>
  </si>
  <si>
    <t xml:space="preserve">Santam</t>
  </si>
  <si>
    <t xml:space="preserve">South Africa; Africa's largest general insurer (Sanlam subsidiary)</t>
  </si>
  <si>
    <t xml:space="preserve">Personal and commercial insurance via Broker, Client and Partner Solutions; MiWay (direct); Specialist Solutions; Santam Re; alternative risk transfer; Lloyd's Syndicate 1918.</t>
  </si>
  <si>
    <t xml:space="preserve">Brokers, partners (e.g. MultiChoice book), direct, Lloyd's.</t>
  </si>
  <si>
    <t xml:space="preserve">Premiums, investment return on insurance funds (~3% of NEP), ART investment margin.</t>
  </si>
  <si>
    <t xml:space="preserve">FY2025 GWP R43.96B; NEP R36.92B; net insurance result R5.26B; combined ratio 88.7%; SA = 81% of GWP.</t>
  </si>
  <si>
    <t xml:space="preserve">Live on Guidewire cloud platform (Jun 2026) with AI roadmap; Santam Syndicate 1918 launched Jan 2026.</t>
  </si>
  <si>
    <t xml:space="preserve">Weather volatility; 2025 margin above 5-10% target range.</t>
  </si>
  <si>
    <t xml:space="preserve">OUTsurance</t>
  </si>
  <si>
    <t xml:space="preserve">South Africa; multinational P&amp;C and life (Australia, Ireland)</t>
  </si>
  <si>
    <t xml:space="preserve">Personal and business P&amp;C (SA), Youi (Australia), OUTsurance Ireland, OUTsurance Life.</t>
  </si>
  <si>
    <t xml:space="preserve">Direct and digital; growing broker channel; call centres.</t>
  </si>
  <si>
    <t xml:space="preserve">Premiums; investment income; life earnings.</t>
  </si>
  <si>
    <t xml:space="preserve">FY to Jun 2026 insurance revenue R41.49B: Youi R25.24B (~61%), South Africa R14.36B (~35%), Ireland R0.52B (~1%). Profit R6.18B.</t>
  </si>
  <si>
    <t xml:space="preserve">Proprietary systems and AI-driven efficiency; CEO says human touch still preferred for complex claims.</t>
  </si>
  <si>
    <t xml:space="preserve">Ireland remains loss-making (operating loss R489M).</t>
  </si>
  <si>
    <t xml:space="preserve">AIICO Insurance</t>
  </si>
  <si>
    <t xml:space="preserve">Nigeria; composite</t>
  </si>
  <si>
    <t xml:space="preserve">Life and general insurance.</t>
  </si>
  <si>
    <t xml:space="preserve">Agents, brokers, corporate.</t>
  </si>
  <si>
    <t xml:space="preserve">Premiums and investment income.</t>
  </si>
  <si>
    <t xml:space="preserve">2025 revenue N98.3B (up from N76.1B); total assets N440.2B.</t>
  </si>
  <si>
    <t xml:space="preserve">Not retrieved.</t>
  </si>
  <si>
    <t xml:space="preserve">Revenue basis may differ from peers' gross premium.</t>
  </si>
  <si>
    <t xml:space="preserve">AXA Mansard</t>
  </si>
  <si>
    <t xml:space="preserve">Nigeria; composite (AXA brand)</t>
  </si>
  <si>
    <t xml:space="preserve">Life and general insurance, health.</t>
  </si>
  <si>
    <t xml:space="preserve">Digital-first distribution, brokers.</t>
  </si>
  <si>
    <t xml:space="preserve">2025 revenue N71.8B; profit after tax fell 78.9% to N5.46B; H1 2026 PAT N7.8B (+14%).</t>
  </si>
  <si>
    <t xml:space="preserve">Uses Curacel AI claims platform; digital transformation named as growth driver.</t>
  </si>
  <si>
    <t xml:space="preserve">Profit volatility in 2025.</t>
  </si>
  <si>
    <t xml:space="preserve">NEM Insurance</t>
  </si>
  <si>
    <t xml:space="preserve">Nigeria; non-life</t>
  </si>
  <si>
    <t xml:space="preserve">General insurance.</t>
  </si>
  <si>
    <t xml:space="preserve">Brokers and direct.</t>
  </si>
  <si>
    <t xml:space="preserve">Premiums.</t>
  </si>
  <si>
    <t xml:space="preserve">2025 gross premium income N96.4B (from N69.5B).</t>
  </si>
  <si>
    <t xml:space="preserve">Gross premium, not revenue.</t>
  </si>
  <si>
    <t xml:space="preserve">Cornerstone Insurance</t>
  </si>
  <si>
    <t xml:space="preserve">General and life insurance.</t>
  </si>
  <si>
    <t xml:space="preserve">Retail base; microinsurance and digital distribution potential.</t>
  </si>
  <si>
    <t xml:space="preserve">2025 revenue N29.9B (from N20.6B); PAT N7.1B (from N15.7B).</t>
  </si>
  <si>
    <t xml:space="preserve">Profit down sharply.</t>
  </si>
  <si>
    <t xml:space="preserve">Leadway Assurance</t>
  </si>
  <si>
    <t xml:space="preserve">Nigeria; largest composite by gross premium (per comparison site)</t>
  </si>
  <si>
    <t xml:space="preserve">Leadway Direct digital platform (quotes, policy management, claims tracking).</t>
  </si>
  <si>
    <t xml:space="preserve">Leadway Direct.</t>
  </si>
  <si>
    <t xml:space="preserve">Ranking claim is from a comparison site; verify.</t>
  </si>
  <si>
    <t xml:space="preserve">Britam</t>
  </si>
  <si>
    <t xml:space="preserve">Kenya; composite (Britam Connect microinsurance)</t>
  </si>
  <si>
    <t xml:space="preserve">Life, general, health, micro-insurance (pay-as-you-go, embedded).</t>
  </si>
  <si>
    <t xml:space="preserve">Mobile, telco partnerships, saccos.</t>
  </si>
  <si>
    <t xml:space="preserve">Premiums; micro-premiums.</t>
  </si>
  <si>
    <t xml:space="preserve">Not retrieved. Britam reportedly holds ~75% of Kenyan microinsurance premium (secondary source).</t>
  </si>
  <si>
    <t xml:space="preserve">Britam Connect embedded products for gig workers and small businesses.</t>
  </si>
  <si>
    <t xml:space="preserve">Microinsurance figures from secondary source.</t>
  </si>
  <si>
    <t xml:space="preserve">Jubilee Holdings</t>
  </si>
  <si>
    <t xml:space="preserve">Kenya / East Africa; composite</t>
  </si>
  <si>
    <t xml:space="preserve">Health, life, general insurance.</t>
  </si>
  <si>
    <t xml:space="preserve">J-Force digital platform for quotes, issuance, payment and commissions; retail push for 2026.</t>
  </si>
  <si>
    <t xml:space="preserve">Partnership with bolttech's African unit for embedded health distribution; uses Curacel (Jubilee Health).</t>
  </si>
  <si>
    <t xml:space="preserve">Digitalisation is the 2026 strategic focus.</t>
  </si>
  <si>
    <t xml:space="preserve">CIC Group</t>
  </si>
  <si>
    <t xml:space="preserve">Kenya; cooperative insurer</t>
  </si>
  <si>
    <t xml:space="preserve">Life, general, health, micro-insurance (CIC Impact).</t>
  </si>
  <si>
    <t xml:space="preserve">Saccos, cooperatives, micro.</t>
  </si>
  <si>
    <t xml:space="preserve">CIC Impact partnership with CARD MBA (Philippines).</t>
  </si>
  <si>
    <t xml:space="preserve">Limited public detail in sources.</t>
  </si>
  <si>
    <t xml:space="preserve">Wafa Assurance</t>
  </si>
  <si>
    <t xml:space="preserve">Morocco; Attijariwafa/Al Mada subsidiary; operates in 6+ African markets</t>
  </si>
  <si>
    <t xml:space="preserve">Life/savings and non-life insurance in Morocco, Cameroon, Gabon, Cote d'Ivoire, Senegal, Tunisia, Egypt.</t>
  </si>
  <si>
    <t xml:space="preserve">Bank network (bancassurance), subsidiaries.</t>
  </si>
  <si>
    <t xml:space="preserve">Premiums; investment income on MAD 66B of investments.</t>
  </si>
  <si>
    <t xml:space="preserve">2025 consolidated premium income MAD 15.2B (+10.9%). H1 2025: non-life MAD 4.03B (~51%), life MAD 3.86B (~49%).</t>
  </si>
  <si>
    <t xml:space="preserve">Egyptian life arm built on Wafa's digital platform; acquired 63.39% of Delta Insurance (Egypt).</t>
  </si>
  <si>
    <t xml:space="preserve">Full-year product split not retrieved.</t>
  </si>
  <si>
    <t xml:space="preserve">Hollard Ghana</t>
  </si>
  <si>
    <t xml:space="preserve">Ghana; non-life and life</t>
  </si>
  <si>
    <t xml:space="preserve">General insurance, life, micro-life (MeBanbo), auto (ETAP-Hollard), ChatInsure.</t>
  </si>
  <si>
    <t xml:space="preserve">USSD, Jumia/JumiaPay, AI chatbot, church-giving platform (MyChurchPay).</t>
  </si>
  <si>
    <t xml:space="preserve">Cassava Fintech + Vodafone (USSD micro-life); Jumia; ETAP (first NIC-licensed insurtech); chatbot 'Araba Hollard'.</t>
  </si>
  <si>
    <t xml:space="preserve">Announcements date from 2021-2024.</t>
  </si>
  <si>
    <t xml:space="preserve">Enterprise Group / SIC (Ghana)</t>
  </si>
  <si>
    <t xml:space="preserve">Ghana; listed insurers</t>
  </si>
  <si>
    <t xml:space="preserve">Enterprise: general, life, trustees, properties, funeral. SIC: general and life.</t>
  </si>
  <si>
    <t xml:space="preserve">Agents, brokers.</t>
  </si>
  <si>
    <t xml:space="preserve">Older data only: 2018 Enterprise Life 26.4% of life premium; Enterprise Insurance 15% and SIC 11% of non-life.</t>
  </si>
  <si>
    <t xml:space="preserve">Enterprise planned digital capabilities for expansion (2018).</t>
  </si>
  <si>
    <t xml:space="preserve">Dated; current financials not retrieved.</t>
  </si>
  <si>
    <t xml:space="preserve">African Risk Capacity (ARC Ltd)</t>
  </si>
  <si>
    <t xml:space="preserve">Pan-African mutual; sovereign parametric</t>
  </si>
  <si>
    <t xml:space="preserve">Sovereign drought, cyclone and flood insurance; inclusive insurance cells; Retakaful cell.</t>
  </si>
  <si>
    <t xml:space="preserve">Governments, WFP, development partners.</t>
  </si>
  <si>
    <t xml:space="preserve">Premiums (largely donor-supported); investment income.</t>
  </si>
  <si>
    <t xml:space="preserve">2025 GWP USD 48.6M (+26%); profit USD 13.5M; gross claims paid USD 21.4M.</t>
  </si>
  <si>
    <t xml:space="preserve">JBA Risk Management (flood model); Gallagher Re (WFP parametric reinsurance); AfDB ADRiFi premium support.</t>
  </si>
  <si>
    <t xml:space="preserve">Not a commercial insurer; sovereign and humanitarian focus.</t>
  </si>
  <si>
    <t xml:space="preserve">Segment and market data (native currency and units)</t>
  </si>
  <si>
    <t xml:space="preserve">Blue = sourced input; black = formula; yellow = derived by subtraction. % share computed within each Company + Basis over Component and Derived rows.</t>
  </si>
  <si>
    <t xml:space="preserve">Basis</t>
  </si>
  <si>
    <t xml:space="preserve">Segment / line item</t>
  </si>
  <si>
    <t xml:space="preserve">Value</t>
  </si>
  <si>
    <t xml:space="preserve">Unit</t>
  </si>
  <si>
    <t xml:space="preserve">Row type</t>
  </si>
  <si>
    <t xml:space="preserve">% of basis total</t>
  </si>
  <si>
    <t xml:space="preserve">Source / notes</t>
  </si>
  <si>
    <t xml:space="preserve">FY2025 net result from financial services</t>
  </si>
  <si>
    <t xml:space="preserve">Life insurance and health</t>
  </si>
  <si>
    <t xml:space="preserve">R M</t>
  </si>
  <si>
    <t xml:space="preserve">Component</t>
  </si>
  <si>
    <t xml:space="preserve">Sanlam FY2025 annual results presentation (12 Mar 2026)</t>
  </si>
  <si>
    <t xml:space="preserve">General insurance</t>
  </si>
  <si>
    <t xml:space="preserve">Investment management</t>
  </si>
  <si>
    <t xml:space="preserve">Credit and structuring</t>
  </si>
  <si>
    <t xml:space="preserve">Corporate expenses and other</t>
  </si>
  <si>
    <t xml:space="preserve">Net result from financial services (NRFFS)</t>
  </si>
  <si>
    <t xml:space="preserve">Reported total</t>
  </si>
  <si>
    <t xml:space="preserve">FY2025 selected lines</t>
  </si>
  <si>
    <t xml:space="preserve">Net operational earnings</t>
  </si>
  <si>
    <t xml:space="preserve">Selected</t>
  </si>
  <si>
    <t xml:space="preserve">Net investment return</t>
  </si>
  <si>
    <t xml:space="preserve">Group equity value</t>
  </si>
  <si>
    <t xml:space="preserve">Sanlam FY2025 results</t>
  </si>
  <si>
    <t xml:space="preserve">New business volumes (R billion)</t>
  </si>
  <si>
    <t xml:space="preserve">Unit is R billion for this row</t>
  </si>
  <si>
    <t xml:space="preserve">Net client cash flows (R billion)</t>
  </si>
  <si>
    <t xml:space="preserve">Capital released by ALM change (approx.)</t>
  </si>
  <si>
    <t xml:space="preserve">Margin-backing assets moved from fixed to floating rates</t>
  </si>
  <si>
    <t xml:space="preserve">FY2025 results from operations</t>
  </si>
  <si>
    <t xml:space="preserve">Old Mutual Insure (approx.)</t>
  </si>
  <si>
    <t xml:space="preserve">Old Mutual FY2025 results (17 Mar 2026); Moonstone summary (approximate segment figures)</t>
  </si>
  <si>
    <t xml:space="preserve">Old Mutual Africa Regions (approx.)</t>
  </si>
  <si>
    <t xml:space="preserve">Old Mutual Investments (asset management)</t>
  </si>
  <si>
    <t xml:space="preserve">Life &amp; Savings, banking, corporate and other (derived)</t>
  </si>
  <si>
    <t xml:space="preserve">Derived component</t>
  </si>
  <si>
    <t xml:space="preserve">Derived by subtraction</t>
  </si>
  <si>
    <t xml:space="preserve">Group results from operations</t>
  </si>
  <si>
    <t xml:space="preserve">Old Mutual FY2025 SENS</t>
  </si>
  <si>
    <t xml:space="preserve">Adjusted headline earnings</t>
  </si>
  <si>
    <t xml:space="preserve">Old Mutual Insure gross written premium (R million)</t>
  </si>
  <si>
    <t xml:space="preserve">Life APE sales (R million)</t>
  </si>
  <si>
    <t xml:space="preserve">Life and Savings funds under management (R million)</t>
  </si>
  <si>
    <t xml:space="preserve">About R1.1 trillion</t>
  </si>
  <si>
    <t xml:space="preserve">OM Bank impairment</t>
  </si>
  <si>
    <t xml:space="preserve">Carrying value cut from R6B to R3B</t>
  </si>
  <si>
    <t xml:space="preserve">Targeted cost savings by 2027</t>
  </si>
  <si>
    <t xml:space="preserve">R450M achieved in 2025</t>
  </si>
  <si>
    <t xml:space="preserve">FY to Jun 2026 normalised profit from operations</t>
  </si>
  <si>
    <t xml:space="preserve">Discovery South Africa (derived)</t>
  </si>
  <si>
    <t xml:space="preserve">Reported as ~R13.87B; derived from total less Vitality</t>
  </si>
  <si>
    <t xml:space="preserve">Vitality</t>
  </si>
  <si>
    <t xml:space="preserve">Discovery FY2026 results release (3 Sep 2026); EasyEquities blog summary</t>
  </si>
  <si>
    <t xml:space="preserve">Normalised profit from operations</t>
  </si>
  <si>
    <t xml:space="preserve">FY to Jun 2026 selected lines</t>
  </si>
  <si>
    <t xml:space="preserve">Discovery Bank normalised profit</t>
  </si>
  <si>
    <t xml:space="preserve">Discovery Bank profit before new-business acquisition costs</t>
  </si>
  <si>
    <t xml:space="preserve">Headline earnings</t>
  </si>
  <si>
    <t xml:space="preserve">Normalised headline earnings</t>
  </si>
  <si>
    <t xml:space="preserve">FY to Jun 2026 normalised headline earnings</t>
  </si>
  <si>
    <t xml:space="preserve">Momentum Investments</t>
  </si>
  <si>
    <t xml:space="preserve">Momentum FY2026 results (17 Sep 2026); BusinessTech/Moonstone/Daily Investor summaries</t>
  </si>
  <si>
    <t xml:space="preserve">Guardrisk</t>
  </si>
  <si>
    <t xml:space="preserve">Momentum Retail</t>
  </si>
  <si>
    <t xml:space="preserve">Momentum Insure</t>
  </si>
  <si>
    <t xml:space="preserve">Momentum Health</t>
  </si>
  <si>
    <t xml:space="preserve">India health JV (Aditya Birla Health)</t>
  </si>
  <si>
    <t xml:space="preserve">Metropolitan, Corporate, Africa and group costs (derived)</t>
  </si>
  <si>
    <t xml:space="preserve">FY2026 selected lines</t>
  </si>
  <si>
    <t xml:space="preserve">Insurance revenue</t>
  </si>
  <si>
    <t xml:space="preserve">Net insurance and investment result</t>
  </si>
  <si>
    <t xml:space="preserve">Prior-year (FY2025) normalised headline earnings</t>
  </si>
  <si>
    <t xml:space="preserve">FY2025 Metropolitan Life normalised earnings</t>
  </si>
  <si>
    <t xml:space="preserve">Momentum FY2025 summary</t>
  </si>
  <si>
    <t xml:space="preserve">Gross written premium</t>
  </si>
  <si>
    <t xml:space="preserve">Santam FY2025 results (Mar 2026); Reinsurance News; Moonstone</t>
  </si>
  <si>
    <t xml:space="preserve">Net earned premium</t>
  </si>
  <si>
    <t xml:space="preserve">Net insurance result</t>
  </si>
  <si>
    <t xml:space="preserve">Income before tax and NCI</t>
  </si>
  <si>
    <t xml:space="preserve">Net income</t>
  </si>
  <si>
    <t xml:space="preserve">Non-South African GWP (Santam Re + Specialist; ~80% Santam Re)</t>
  </si>
  <si>
    <t xml:space="preserve">Group insurance revenue</t>
  </si>
  <si>
    <t xml:space="preserve">Santam FY2025 key financial results</t>
  </si>
  <si>
    <t xml:space="preserve">FY2025 ratios</t>
  </si>
  <si>
    <t xml:space="preserve">Combined ratio</t>
  </si>
  <si>
    <t xml:space="preserve">%</t>
  </si>
  <si>
    <t xml:space="preserve">Net underwriting margin (conventional)</t>
  </si>
  <si>
    <t xml:space="preserve">South Africa share of GWP</t>
  </si>
  <si>
    <t xml:space="preserve">FY to Jun 2026 insurance revenue</t>
  </si>
  <si>
    <t xml:space="preserve">Youi (Australia)</t>
  </si>
  <si>
    <t xml:space="preserve">OUTsurance FY2026 results (Daily Investor summary, Sep 2026)</t>
  </si>
  <si>
    <t xml:space="preserve">South Africa insurance</t>
  </si>
  <si>
    <t xml:space="preserve">OUTsurance Ireland</t>
  </si>
  <si>
    <t xml:space="preserve">Other / unallocated (derived)</t>
  </si>
  <si>
    <t xml:space="preserve">Derived by subtraction; may include life and other</t>
  </si>
  <si>
    <t xml:space="preserve">Profit</t>
  </si>
  <si>
    <t xml:space="preserve">Youi operating profit</t>
  </si>
  <si>
    <t xml:space="preserve">Ireland operating loss</t>
  </si>
  <si>
    <t xml:space="preserve">Ireland capital injection plan (EUR M over five years)</t>
  </si>
  <si>
    <t xml:space="preserve">Unit is EUR M for this row</t>
  </si>
  <si>
    <t xml:space="preserve">Nigeria insurers</t>
  </si>
  <si>
    <t xml:space="preserve">2025 revenue or gross premium (mixed basis)</t>
  </si>
  <si>
    <t xml:space="preserve">AIICO Insurance - revenue</t>
  </si>
  <si>
    <t xml:space="preserve">NGN B</t>
  </si>
  <si>
    <t xml:space="preserve">BusinessDay Nigeria (NGX data analysis); Ecofin</t>
  </si>
  <si>
    <t xml:space="preserve">NEM Insurance - gross premium income</t>
  </si>
  <si>
    <t xml:space="preserve">AXA Mansard - revenue</t>
  </si>
  <si>
    <t xml:space="preserve">Cornerstone Insurance - revenue</t>
  </si>
  <si>
    <t xml:space="preserve">Linkage Assurance - gross premium income</t>
  </si>
  <si>
    <t xml:space="preserve">Consolidated Hallmark - revenue</t>
  </si>
  <si>
    <t xml:space="preserve">Profit and capital lines</t>
  </si>
  <si>
    <t xml:space="preserve">AXA Mansard 2025 profit after tax</t>
  </si>
  <si>
    <t xml:space="preserve">Ecofin (May 2026); down 78.9% from N25.97B</t>
  </si>
  <si>
    <t xml:space="preserve">AXA Mansard H1 2026 profit after tax</t>
  </si>
  <si>
    <t xml:space="preserve">BrandTimes; +14%</t>
  </si>
  <si>
    <t xml:space="preserve">Cornerstone 2025 profit after tax</t>
  </si>
  <si>
    <t xml:space="preserve">NIIRA 2025 minimum capital - life insurers</t>
  </si>
  <si>
    <t xml:space="preserve">BusinessDay</t>
  </si>
  <si>
    <t xml:space="preserve">NIIRA 2025 minimum capital - non-life insurers</t>
  </si>
  <si>
    <t xml:space="preserve">NIIRA 2025 minimum capital - reinsurers</t>
  </si>
  <si>
    <t xml:space="preserve">H1 2025 premiums</t>
  </si>
  <si>
    <t xml:space="preserve">Non-life</t>
  </si>
  <si>
    <t xml:space="preserve">MAD M</t>
  </si>
  <si>
    <t xml:space="preserve">Wafa Assurance results (Atlas Magazine, Sep 2025; MEIR, Mar 2026)</t>
  </si>
  <si>
    <t xml:space="preserve">Life</t>
  </si>
  <si>
    <t xml:space="preserve">Total H1 2025 premiums</t>
  </si>
  <si>
    <t xml:space="preserve">Selected lines</t>
  </si>
  <si>
    <t xml:space="preserve">2025 consolidated premium income</t>
  </si>
  <si>
    <t xml:space="preserve">MEIR, 5 Mar 2026 (+10.9%)</t>
  </si>
  <si>
    <t xml:space="preserve">Consolidated investments (Jun 2025)</t>
  </si>
  <si>
    <t xml:space="preserve">H1 2025 group net income</t>
  </si>
  <si>
    <t xml:space="preserve">Ecofin (Oct 2025)</t>
  </si>
  <si>
    <t xml:space="preserve">Kenya (market)</t>
  </si>
  <si>
    <t xml:space="preserve">Selected indicators</t>
  </si>
  <si>
    <t xml:space="preserve">Insurance penetration (approx.)</t>
  </si>
  <si>
    <t xml:space="preserve">The Standard (up to 2.43% per Business Daily)</t>
  </si>
  <si>
    <t xml:space="preserve">Adults with mobile money access (2024)</t>
  </si>
  <si>
    <t xml:space="preserve">Ken Research (Jul 2026)</t>
  </si>
  <si>
    <t xml:space="preserve">Britam share of microinsurance premium</t>
  </si>
  <si>
    <t xml:space="preserve">LinkedIn post citing IRA - secondary, unverified</t>
  </si>
  <si>
    <t xml:space="preserve">Microinsurance (secondary source)</t>
  </si>
  <si>
    <t xml:space="preserve">Microinsurance gross premium (2025/26)</t>
  </si>
  <si>
    <t xml:space="preserve">KSh M</t>
  </si>
  <si>
    <t xml:space="preserve">LinkedIn analysis citing IRA; from KSh 234M prior year</t>
  </si>
  <si>
    <t xml:space="preserve">Microinsurance claims paid</t>
  </si>
  <si>
    <t xml:space="preserve">Same source; loss ratio 57.7%</t>
  </si>
  <si>
    <t xml:space="preserve">African Risk Capacity</t>
  </si>
  <si>
    <t xml:space="preserve">2025 results (ARC Ltd)</t>
  </si>
  <si>
    <t xml:space="preserve">USD M</t>
  </si>
  <si>
    <t xml:space="preserve">Reinsurance News: ARC Ltd 2025 annual report; MEIR Feb 2026; +26%</t>
  </si>
  <si>
    <t xml:space="preserve">Reinsurance News: ARC Ltd 2025 annual report; MEIR Feb 2026; largest since inception</t>
  </si>
  <si>
    <t xml:space="preserve">Gross claims paid</t>
  </si>
  <si>
    <t xml:space="preserve">Reinsurance News: ARC Ltd 2025 annual report; MEIR Feb 2026; nine payouts</t>
  </si>
  <si>
    <t xml:space="preserve">Cumulative claims paid since 2014 (more than)</t>
  </si>
  <si>
    <t xml:space="preserve">MEIR, Feb 2026; 300+ sovereign policies</t>
  </si>
  <si>
    <t xml:space="preserve">Africa life market (Atlas 2024)</t>
  </si>
  <si>
    <t xml:space="preserve">2024 life premiums - top 10</t>
  </si>
  <si>
    <t xml:space="preserve">Sanlam (South Africa)</t>
  </si>
  <si>
    <t xml:space="preserve">USD thousand</t>
  </si>
  <si>
    <t xml:space="preserve">Atlas Magazine, African insurance rankings 2024</t>
  </si>
  <si>
    <t xml:space="preserve">Old Mutual Life Assurance (South Africa)</t>
  </si>
  <si>
    <t xml:space="preserve">Liberty Group (South Africa)</t>
  </si>
  <si>
    <t xml:space="preserve">Momentum Metropolitan Life (South Africa)</t>
  </si>
  <si>
    <t xml:space="preserve">Discovery Life (South Africa)</t>
  </si>
  <si>
    <t xml:space="preserve">Mutuelle Taamine Chaabi (Morocco)</t>
  </si>
  <si>
    <t xml:space="preserve">Wafa Assurance (Morocco)</t>
  </si>
  <si>
    <t xml:space="preserve">RMA (Morocco)</t>
  </si>
  <si>
    <t xml:space="preserve">Britam Life (Kenya)</t>
  </si>
  <si>
    <t xml:space="preserve">AXA Assurance Maroc (Morocco)</t>
  </si>
  <si>
    <t xml:space="preserve">Rest of life market (derived)</t>
  </si>
  <si>
    <t xml:space="preserve">Derived from reported market total</t>
  </si>
  <si>
    <t xml:space="preserve">Total African life market</t>
  </si>
  <si>
    <t xml:space="preserve">Africa non-life market (Atlas 2024)</t>
  </si>
  <si>
    <t xml:space="preserve">2024 non-life premiums - top 10</t>
  </si>
  <si>
    <t xml:space="preserve">Santam (South Africa)</t>
  </si>
  <si>
    <t xml:space="preserve">The Hollard Insurance (South Africa)</t>
  </si>
  <si>
    <t xml:space="preserve">Old Mutual Insure (South Africa)</t>
  </si>
  <si>
    <t xml:space="preserve">Guardrisk Insurance (South Africa)</t>
  </si>
  <si>
    <t xml:space="preserve">OUTsurance Insurance (South Africa)</t>
  </si>
  <si>
    <t xml:space="preserve">Sanlam (Morocco)</t>
  </si>
  <si>
    <t xml:space="preserve">Misr Insurance (Egypt)</t>
  </si>
  <si>
    <t xml:space="preserve">Rest of non-life market (derived)</t>
  </si>
  <si>
    <t xml:space="preserve">Total African non-life market</t>
  </si>
  <si>
    <t xml:space="preserve">Row types: Component = reported segment; Derived component = computed by subtraction (yellow); Reported total = headline total; Selected = standalone figure, no share. Some 'Selected' rows state their own unit in the label.</t>
  </si>
  <si>
    <t xml:space="preserve">Reconciliation: components vs reported totals</t>
  </si>
  <si>
    <t xml:space="preserve">Components + derived rows should equal the reported total.</t>
  </si>
  <si>
    <t xml:space="preserve">Sum of components</t>
  </si>
  <si>
    <t xml:space="preserve">Difference</t>
  </si>
  <si>
    <t xml:space="preserve">Status</t>
  </si>
  <si>
    <t xml:space="preserve">Green = link to another sheet; black = formula. Derived rows reconcile by construction; sourced components (Sanlam, Momentum, Wafa, Atlas) are the real checks.</t>
  </si>
  <si>
    <t xml:space="preserve">Revenue sources matrix</t>
  </si>
  <si>
    <t xml:space="preserve">My classification from the sources reviewed. Primary = dominant; Secondary = material but smaller; blank = not evidenced in sources.</t>
  </si>
  <si>
    <t xml:space="preserve">Underwriting premiums</t>
  </si>
  <si>
    <t xml:space="preserve">Investment income</t>
  </si>
  <si>
    <t xml:space="preserve">Asset-management / admin fees</t>
  </si>
  <si>
    <t xml:space="preserve">Banking &amp; credit income</t>
  </si>
  <si>
    <t xml:space="preserve">Reinsurance / risk-transfer income</t>
  </si>
  <si>
    <t xml:space="preserve">Platform / wellness income</t>
  </si>
  <si>
    <t xml:space="preserve">Notes</t>
  </si>
  <si>
    <t xml:space="preserve">Primary</t>
  </si>
  <si>
    <t xml:space="preserve">Secondary</t>
  </si>
  <si>
    <t xml:space="preserve">Credit (India) ~14% of NRFFS; investment management ~10%.</t>
  </si>
  <si>
    <t xml:space="preserve">OM Bank and Old Mutual Finance lending; bank still loss-making.</t>
  </si>
  <si>
    <t xml:space="preserve">Vitality = ~22% of profit; Bank first profit FY2026.</t>
  </si>
  <si>
    <t xml:space="preserve">Guardrisk (risk-transfer) earned R1.04B.</t>
  </si>
  <si>
    <t xml:space="preserve">Investment return on insurance funds ~3% of NEP; Santam Re and ART.</t>
  </si>
  <si>
    <t xml:space="preserve">Life earnings secondary.</t>
  </si>
  <si>
    <t xml:space="preserve">Investment income not retrieved.</t>
  </si>
  <si>
    <t xml:space="preserve">Financials not retrieved.</t>
  </si>
  <si>
    <t xml:space="preserve">Microinsurance fast-growing but small.</t>
  </si>
  <si>
    <t xml:space="preserve">Investments MAD 66B support income.</t>
  </si>
  <si>
    <t xml:space="preserve">Digital micro-premiums; no financials retrieved.</t>
  </si>
  <si>
    <t xml:space="preserve">Enterprise / SIC (Ghana)</t>
  </si>
  <si>
    <t xml:space="preserve">Dated information.</t>
  </si>
  <si>
    <t xml:space="preserve">Donor-supported sovereign parametric premiums.</t>
  </si>
  <si>
    <t xml:space="preserve">Technology vendors and partnerships</t>
  </si>
  <si>
    <t xml:space="preserve">Only partnerships evidenced in the sources. 'In-house' means no named external vendor was found.</t>
  </si>
  <si>
    <t xml:space="preserve">Insurer</t>
  </si>
  <si>
    <t xml:space="preserve">Partner / vendor</t>
  </si>
  <si>
    <t xml:space="preserve">Partner type</t>
  </si>
  <si>
    <t xml:space="preserve">Solution / purpose</t>
  </si>
  <si>
    <t xml:space="preserve">Region</t>
  </si>
  <si>
    <t xml:space="preserve">Date / note</t>
  </si>
  <si>
    <t xml:space="preserve">Guidewire</t>
  </si>
  <si>
    <t xml:space="preserve">Core-system vendor</t>
  </si>
  <si>
    <t xml:space="preserve">Cloud policy, claims and billing platform; foundation for AI in underwriting, claims and service</t>
  </si>
  <si>
    <t xml:space="preserve">South Africa</t>
  </si>
  <si>
    <t xml:space="preserve">Went live 9 Jun 2026</t>
  </si>
  <si>
    <t xml:space="preserve">AXA Mansard, Liberty Health, Old Mutual, Jubilee Health</t>
  </si>
  <si>
    <t xml:space="preserve">Curacel</t>
  </si>
  <si>
    <t xml:space="preserve">Insurtech (claims AI)</t>
  </si>
  <si>
    <t xml:space="preserve">AI-driven claims processing and fraud detection; vendor claims cycle cut of 70%+; pay-per-claim SaaS</t>
  </si>
  <si>
    <t xml:space="preserve">Nigeria, South Africa, Kenya</t>
  </si>
  <si>
    <t xml:space="preserve">2023 announcement; claims are vendor-reported</t>
  </si>
  <si>
    <t xml:space="preserve">Jubilee Health (Kenya)</t>
  </si>
  <si>
    <t xml:space="preserve">bolttech (African unit)</t>
  </si>
  <si>
    <t xml:space="preserve">Insurtech / distribution</t>
  </si>
  <si>
    <t xml:space="preserve">Embedded health distribution via banks, petrol stations, retailers, marketplaces</t>
  </si>
  <si>
    <t xml:space="preserve">Kenya</t>
  </si>
  <si>
    <t xml:space="preserve">Business Daily, 2026</t>
  </si>
  <si>
    <t xml:space="preserve">CARD MBA (Philippines)</t>
  </si>
  <si>
    <t xml:space="preserve">Microinsurance partner</t>
  </si>
  <si>
    <t xml:space="preserve">New and adapted products for informal-sector customers</t>
  </si>
  <si>
    <t xml:space="preserve">Britam Connect (in-house)</t>
  </si>
  <si>
    <t xml:space="preserve">In-house</t>
  </si>
  <si>
    <t xml:space="preserve">Embedded, pay-as-you-go microinsurance for gig workers and small businesses</t>
  </si>
  <si>
    <t xml:space="preserve">Hollard Life Ghana</t>
  </si>
  <si>
    <t xml:space="preserve">Cassava Fintech + Vodafone</t>
  </si>
  <si>
    <t xml:space="preserve">Fintech + telco</t>
  </si>
  <si>
    <t xml:space="preserve">USSD micro-life product MeBanbo for mobile-money users</t>
  </si>
  <si>
    <t xml:space="preserve">Ghana</t>
  </si>
  <si>
    <t xml:space="preserve">Hollard press release (c. 2021-22)</t>
  </si>
  <si>
    <t xml:space="preserve">Jumia / JumiaPay</t>
  </si>
  <si>
    <t xml:space="preserve">E-commerce</t>
  </si>
  <si>
    <t xml:space="preserve">Digital sale of general and life insurance</t>
  </si>
  <si>
    <t xml:space="preserve">Launched Jun 2021</t>
  </si>
  <si>
    <t xml:space="preserve">Hollard Insurance Ghana</t>
  </si>
  <si>
    <t xml:space="preserve">ETAP</t>
  </si>
  <si>
    <t xml:space="preserve">Licensed insurtech</t>
  </si>
  <si>
    <t xml:space="preserve">ETAP-Hollard digital auto insurance with instant claims</t>
  </si>
  <si>
    <t xml:space="preserve">First NIC insurtech licence</t>
  </si>
  <si>
    <t xml:space="preserve">Araba Hollard chatbot (in-house)</t>
  </si>
  <si>
    <t xml:space="preserve">In-house AI</t>
  </si>
  <si>
    <t xml:space="preserve">Chatbot fronting Hollard ChatInsure</t>
  </si>
  <si>
    <t xml:space="preserve">Press release</t>
  </si>
  <si>
    <t xml:space="preserve">Allianz</t>
  </si>
  <si>
    <t xml:space="preserve">Joint venture</t>
  </si>
  <si>
    <t xml:space="preserve">SanlamAllianz pan-African JV; Allianz 49%, Sanlam 51%</t>
  </si>
  <si>
    <t xml:space="preserve">Africa</t>
  </si>
  <si>
    <t xml:space="preserve">Allianz raised stake in Apr 2025</t>
  </si>
  <si>
    <t xml:space="preserve">GoTyme Bank</t>
  </si>
  <si>
    <t xml:space="preserve">Digital bank partner</t>
  </si>
  <si>
    <t xml:space="preserve">Digital ecosystem for cross-sell, acquisition and retention in SA</t>
  </si>
  <si>
    <t xml:space="preserve">FY2025 results</t>
  </si>
  <si>
    <t xml:space="preserve">Shriram ecosystem / MUFG</t>
  </si>
  <si>
    <t xml:space="preserve">Strategic partner / investor</t>
  </si>
  <si>
    <t xml:space="preserve">Indian insurance, credit and wealth businesses; MUFG capital into Shriram Finance</t>
  </si>
  <si>
    <t xml:space="preserve">India</t>
  </si>
  <si>
    <t xml:space="preserve">Closed 2 Feb 2026</t>
  </si>
  <si>
    <t xml:space="preserve">Ping An, AIA, Sumitomo, John Hancock, Manulife, Vitality UK</t>
  </si>
  <si>
    <t xml:space="preserve">Insurer alliance</t>
  </si>
  <si>
    <t xml:space="preserve">Global Vitality Network licensing the shared-value model</t>
  </si>
  <si>
    <t xml:space="preserve">Global</t>
  </si>
  <si>
    <t xml:space="preserve">FY2026 release</t>
  </si>
  <si>
    <t xml:space="preserve">EasyEquities</t>
  </si>
  <si>
    <t xml:space="preserve">Fintech / investment platform</t>
  </si>
  <si>
    <t xml:space="preserve">Discovery-linked accounts on EasyEquities grew 67%</t>
  </si>
  <si>
    <t xml:space="preserve">EasyEquities blog, Sep 2026</t>
  </si>
  <si>
    <t xml:space="preserve">Aditya Birla Health Insurance</t>
  </si>
  <si>
    <t xml:space="preserve">Indian health insurance; first positive earnings (R22M) in FY2026</t>
  </si>
  <si>
    <t xml:space="preserve">FY2026 results</t>
  </si>
  <si>
    <t xml:space="preserve">In-house AI and analytics</t>
  </si>
  <si>
    <t xml:space="preserve">AI in underwriting and claims management; catastrophe modelling</t>
  </si>
  <si>
    <t xml:space="preserve">Proprietary systems and AI</t>
  </si>
  <si>
    <t xml:space="preserve">AI-driven efficiency in claims and service</t>
  </si>
  <si>
    <t xml:space="preserve">HY2026 results</t>
  </si>
  <si>
    <t xml:space="preserve">Leadway Direct</t>
  </si>
  <si>
    <t xml:space="preserve">In-house platform</t>
  </si>
  <si>
    <t xml:space="preserve">Quotes, policy management, claims tracking</t>
  </si>
  <si>
    <t xml:space="preserve">Nigeria</t>
  </si>
  <si>
    <t xml:space="preserve">Comparison-site description</t>
  </si>
  <si>
    <t xml:space="preserve">J-Force</t>
  </si>
  <si>
    <t xml:space="preserve">Digital quotation, issuance, payment, commission tracking</t>
  </si>
  <si>
    <t xml:space="preserve">Ken Research, 2026</t>
  </si>
  <si>
    <t xml:space="preserve">JBA Risk Management</t>
  </si>
  <si>
    <t xml:space="preserve">Risk-model vendor</t>
  </si>
  <si>
    <t xml:space="preserve">Flood model underpinning sovereign parametric flood insurance</t>
  </si>
  <si>
    <t xml:space="preserve">Madagascar signed Jan 2026</t>
  </si>
  <si>
    <t xml:space="preserve">Gallagher Re</t>
  </si>
  <si>
    <t xml:space="preserve">Reinsurance broker</t>
  </si>
  <si>
    <t xml:space="preserve">Parametric reinsurance product for WFP drought cover (Sahel)</t>
  </si>
  <si>
    <t xml:space="preserve">Sahel</t>
  </si>
  <si>
    <t xml:space="preserve">Reinsurance News</t>
  </si>
  <si>
    <t xml:space="preserve">African Development Bank (ADRiFi)</t>
  </si>
  <si>
    <t xml:space="preserve">Development financier</t>
  </si>
  <si>
    <t xml:space="preserve">Premium subsidies and capacity building for sovereign cover</t>
  </si>
  <si>
    <t xml:space="preserve">Oct 2025 payouts</t>
  </si>
  <si>
    <t xml:space="preserve">Multiple insurers (15+)</t>
  </si>
  <si>
    <t xml:space="preserve">Lami</t>
  </si>
  <si>
    <t xml:space="preserve">Insurtech platform</t>
  </si>
  <si>
    <t xml:space="preserve">SaaS distribution platform connected to 15+ African insurers</t>
  </si>
  <si>
    <t xml:space="preserve">Techpoint Africa, 2026</t>
  </si>
  <si>
    <t xml:space="preserve">Financial engineering, capital and risk-transfer structures</t>
  </si>
  <si>
    <t xml:space="preserve">'Why it matters' is my interpretation; figures are from the cited sources.</t>
  </si>
  <si>
    <t xml:space="preserve">Entity</t>
  </si>
  <si>
    <t xml:space="preserve">Mechanism</t>
  </si>
  <si>
    <t xml:space="preserve">Description / figures</t>
  </si>
  <si>
    <t xml:space="preserve">Why it matters (interpretation)</t>
  </si>
  <si>
    <t xml:space="preserve">Source</t>
  </si>
  <si>
    <t xml:space="preserve">Sanlam / Allianz</t>
  </si>
  <si>
    <t xml:space="preserve">Joint-venture holding</t>
  </si>
  <si>
    <t xml:space="preserve">SanlamAllianz is held 51% Sanlam / 49% Allianz after Allianz bought another 8.59% for R4.5B initially; 10 of 11 country integrations complete.</t>
  </si>
  <si>
    <t xml:space="preserve">Shares capital needs and brings global reinsurance/expertise while keeping Sanlam's control.</t>
  </si>
  <si>
    <t xml:space="preserve">Business Report (Sep 2025); Sanlam FY2025</t>
  </si>
  <si>
    <t xml:space="preserve">ALM / capital efficiency</t>
  </si>
  <si>
    <t xml:space="preserve">Margin-backing assets moved from fixed to floating rate under IFRS 17, releasing about R650M of capital and locking in prior investment variances.</t>
  </si>
  <si>
    <t xml:space="preserve">Cuts solvency capital needs without changing the insurance book.</t>
  </si>
  <si>
    <t xml:space="preserve">Sanlam FY2025 presentation</t>
  </si>
  <si>
    <t xml:space="preserve">Strategic stakes / disposals</t>
  </si>
  <si>
    <t xml:space="preserve">Raised Shriram stakes above 50% in insurers; MUFG buying 20% of Shriram Finance; holds ~12.5% of Ninety One after active asset management disposals.</t>
  </si>
  <si>
    <t xml:space="preserve">Redeploys capital to higher-growth India and sheds lower-return units.</t>
  </si>
  <si>
    <t xml:space="preserve">Sanlam media release, 12 Mar 2026</t>
  </si>
  <si>
    <t xml:space="preserve">Lloyd's syndicate</t>
  </si>
  <si>
    <t xml:space="preserve">Santam Syndicate 1918 began underwriting 1 Jan 2026; approved capacity above £300M; consortia and facility lines above USD 40M.</t>
  </si>
  <si>
    <t xml:space="preserve">Access to specialist London-market classes and capacity beyond local balance sheet.</t>
  </si>
  <si>
    <t xml:space="preserve">Sanlam FY2025 presentation; Santam</t>
  </si>
  <si>
    <t xml:space="preserve">Reinsurance cost control</t>
  </si>
  <si>
    <t xml:space="preserve">Reinsurance cost fell about 4.6% as a share of gross earned premium from 2023 to 2025.</t>
  </si>
  <si>
    <t xml:space="preserve">Retains more margin from improved underwriting.</t>
  </si>
  <si>
    <t xml:space="preserve">FA News (11 Mar 2026)</t>
  </si>
  <si>
    <t xml:space="preserve">Capital return and cost programme</t>
  </si>
  <si>
    <t xml:space="preserve">R3B buyback (R682M done in H2 2025); discretionary capital R6.1B; R2.5B savings target by 2027 (R450M achieved).</t>
  </si>
  <si>
    <t xml:space="preserve">Returns excess capital while OM Bank investment is written down.</t>
  </si>
  <si>
    <t xml:space="preserve">Moonstone; Old Mutual results</t>
  </si>
  <si>
    <t xml:space="preserve">Buybacks and market exits</t>
  </si>
  <si>
    <t xml:space="preserve">R1B buyback completed; Ghana disposal concluded 9 Sep 2025; Mozambique held for sale; dividend policy revised.</t>
  </si>
  <si>
    <t xml:space="preserve">Refocuses on core South African businesses and India.</t>
  </si>
  <si>
    <t xml:space="preserve">Momentum media release; BusinessTech</t>
  </si>
  <si>
    <t xml:space="preserve">Subsidiary capital injections</t>
  </si>
  <si>
    <t xml:space="preserve">EUR 10M a year for five years plus an additional EUR 20M in late 2026 (EUR 70M total) for Ireland.</t>
  </si>
  <si>
    <t xml:space="preserve">Funds growth of a loss-making start-up to regulatory solvency.</t>
  </si>
  <si>
    <t xml:space="preserve">Daily Investor (Sep 2026)</t>
  </si>
  <si>
    <t xml:space="preserve">Nigerian insurers</t>
  </si>
  <si>
    <t xml:space="preserve">Regulatory recapitalisation</t>
  </si>
  <si>
    <t xml:space="preserve">NIIRA 2025 raised minimum capital to N10B (life), N15B (non-life), N35B (reinsurance); 43 insurers cleared by July 2026, 8 pending; composites must split within five years; eight insurers sought about N132.5B.</t>
  </si>
  <si>
    <t xml:space="preserve">Forces capital raising, mergers and portfolio transfers.</t>
  </si>
  <si>
    <t xml:space="preserve">BusinessDay; Ecofin</t>
  </si>
  <si>
    <t xml:space="preserve">NSIA Group</t>
  </si>
  <si>
    <t xml:space="preserve">Captive reinsurer</t>
  </si>
  <si>
    <t xml:space="preserve">CRCA approved Manzi Re as NSIA's captive reinsurer.</t>
  </si>
  <si>
    <t xml:space="preserve">Retains risk and reinsurance margin inside the group.</t>
  </si>
  <si>
    <t xml:space="preserve">MEIR</t>
  </si>
  <si>
    <t xml:space="preserve">Sovereign parametric pool</t>
  </si>
  <si>
    <t xml:space="preserve">Hybrid mutual insurer pooling sovereign risk with reinsurance; 300+ policies and over USD 250M paid since 2014; donor-funded premium support (e.g. Germany EUR 18M); first sovereign flood cover signed Jan 2026.</t>
  </si>
  <si>
    <t xml:space="preserve">Turns climate risk into pre-arranged payouts with donor-subsidised premiums.</t>
  </si>
  <si>
    <t xml:space="preserve">Reinsurance News; MEIR; Artemis</t>
  </si>
  <si>
    <t xml:space="preserve">Wafa Assurance / Sanlam Morocco / Allianz Morocco</t>
  </si>
  <si>
    <t xml:space="preserve">Cross-border M&amp;A</t>
  </si>
  <si>
    <t xml:space="preserve">Wafa bought 63.39% of Delta Insurance (Egypt); Sanlam Morocco and Allianz Morocco agreed merger terms in March 2026.</t>
  </si>
  <si>
    <t xml:space="preserve">Scale and diversification in North Africa.</t>
  </si>
  <si>
    <t xml:space="preserve">Sources &amp; notes</t>
  </si>
  <si>
    <t xml:space="preserve">Company / topic</t>
  </si>
  <si>
    <t xml:space="preserve">Document</t>
  </si>
  <si>
    <t xml:space="preserve">URL</t>
  </si>
  <si>
    <t xml:space="preserve">Type</t>
  </si>
  <si>
    <t xml:space="preserve">Market ranking</t>
  </si>
  <si>
    <t xml:space="preserve">Top 30 African insurance companies</t>
  </si>
  <si>
    <t xml:space="preserve">https://atlas-mag.net/en/articles/top-30-african-insurance-companies</t>
  </si>
  <si>
    <t xml:space="preserve">Secondary (industry magazine)</t>
  </si>
  <si>
    <t xml:space="preserve">Top 10 non-life premiums 2024</t>
  </si>
  <si>
    <t xml:space="preserve">https://atlas-mag.net/en/articles/top-10-african-companies-non-life-insurance-premiums-2024</t>
  </si>
  <si>
    <t xml:space="preserve">Top 10 life premiums 2024</t>
  </si>
  <si>
    <t xml:space="preserve">https://atlas-mag.net/en/articles/top-10-african-companies-life-insurance-premiums-2024</t>
  </si>
  <si>
    <t xml:space="preserve">FY2025 annual results presentation</t>
  </si>
  <si>
    <t xml:space="preserve">https://www.sanlam.com/downloads/results-announcements/2025/annual-results-presentation-2025.pdf</t>
  </si>
  <si>
    <t xml:space="preserve">FY2025 media release</t>
  </si>
  <si>
    <t xml:space="preserve">https://www.sanlam.com/pdf/media-releases/2026/media-release-annual-results-2025.pdf</t>
  </si>
  <si>
    <t xml:space="preserve">SanlamAllianz stake change</t>
  </si>
  <si>
    <t xml:space="preserve">https://iol.co.za/business-report/companies/2025-09-04-sanlams-businesses-perform-well-in-the-first-half-and-return-on-equity-value-is-strong/</t>
  </si>
  <si>
    <t xml:space="preserve">FY2025 results summary</t>
  </si>
  <si>
    <t xml:space="preserve">https://www.moonstone.co.za/old-mutual-earnings-rise-as-insurance-investments-and-africa-drive-results/</t>
  </si>
  <si>
    <t xml:space="preserve">FY2025 SENS announcement</t>
  </si>
  <si>
    <t xml:space="preserve">https://sharedata.co.za/v2/scripts/SENS.aspx?id=542104</t>
  </si>
  <si>
    <t xml:space="preserve">FY2026 results release</t>
  </si>
  <si>
    <t xml:space="preserve">https://www.mynewsdesk.com/za/discovery-holdings-ltd/pressreleases/discovery-grows-operating-profit-17-percent-to-r17-dot-75bn-as-bank-drives-new-strategic-phase-3464509</t>
  </si>
  <si>
    <t xml:space="preserve">FY2026 summary</t>
  </si>
  <si>
    <t xml:space="preserve">https://blogs.easyequities.co.za/discovery-fy26-a-strong-year-and-a-shared-road-ahead</t>
  </si>
  <si>
    <t xml:space="preserve">FY2026 results summary</t>
  </si>
  <si>
    <t xml:space="preserve">https://www.moonstone.co.za/?p=61779</t>
  </si>
  <si>
    <t xml:space="preserve">FY2026 coverage (Ghana exit, segments)</t>
  </si>
  <si>
    <t xml:space="preserve">https://businesstech.co.za/news/?p=875927</t>
  </si>
  <si>
    <t xml:space="preserve">Guidewire go-live announcement</t>
  </si>
  <si>
    <t xml:space="preserve">https://www.guidewire.com/about/press-center/press-releases/20260609/santam-goes-live-on-guidewire</t>
  </si>
  <si>
    <t xml:space="preserve">Primary (vendor)</t>
  </si>
  <si>
    <t xml:space="preserve">FY2025 results coverage</t>
  </si>
  <si>
    <t xml:space="preserve">https://www.reinsurancene.ws/south-africas-santam-eyes-further-international-growth-following-strong-2025/</t>
  </si>
  <si>
    <t xml:space="preserve">FY2025 results (FA News)</t>
  </si>
  <si>
    <t xml:space="preserve">https://www.fanews.co.za/article/company-news-results/1/santam/1048/broker-channel-stands-out-in-strong-underwriting-year/43524</t>
  </si>
  <si>
    <t xml:space="preserve">FY2026 results coverage</t>
  </si>
  <si>
    <t xml:space="preserve">https://dailyinvestor.com/finance/154320/south-african-insurer-pumping-r1-31-billion-into-ireland/</t>
  </si>
  <si>
    <t xml:space="preserve">CEO on AI vs human touch</t>
  </si>
  <si>
    <t xml:space="preserve">https://www.businessday.co.za/bd/companies/financial-services/2025-09-15-outsurance-boss-says-human-touch-beats-ai</t>
  </si>
  <si>
    <t xml:space="preserve">Insurer revenues 2025</t>
  </si>
  <si>
    <t xml:space="preserve">https://businessday.ng/?p=1053909</t>
  </si>
  <si>
    <t xml:space="preserve">Recapitalisation outcome</t>
  </si>
  <si>
    <t xml:space="preserve">https://businessday.ng/insurance/article/43-insurers-scale-industry-recapitalisation-hurdle-as-8-await-fate/</t>
  </si>
  <si>
    <t xml:space="preserve">NIIRA deadline analysis</t>
  </si>
  <si>
    <t xml:space="preserve">https://www.ecofinagency.com/news/0505-55263-survive-or-die-nigerias-insurance-industry-faces-90-day-reckoning-before-niira-deadline</t>
  </si>
  <si>
    <t xml:space="preserve">AXA Mansard H1 2026</t>
  </si>
  <si>
    <t xml:space="preserve">https://www.brandtimes.com.ng/?p=37535</t>
  </si>
  <si>
    <t xml:space="preserve">Informal-sector product strategies</t>
  </si>
  <si>
    <t xml:space="preserve">https://www.businessdailyafrica.com/bd/economy/kenyan-insurers-tweak-products-in-race-for-informal-sector-5558574</t>
  </si>
  <si>
    <t xml:space="preserve">Jubilee 2026 digital strategy</t>
  </si>
  <si>
    <t xml:space="preserve">https://www.standardmedia.co.ke/business/article/2001550193/low-insurance-uptake-fuels-sector-s-shift</t>
  </si>
  <si>
    <t xml:space="preserve">Microinsurance growth (LinkedIn post)</t>
  </si>
  <si>
    <t xml:space="preserve">https://ke.linkedin.com/in/jude-openda</t>
  </si>
  <si>
    <t xml:space="preserve">Weak secondary</t>
  </si>
  <si>
    <t xml:space="preserve">Morocco</t>
  </si>
  <si>
    <t xml:space="preserve">Wafa Assurance 2025 premiums</t>
  </si>
  <si>
    <t xml:space="preserve">https://www.meinsurancereview.com/News/View-NewsLetter-Article/id/94698/Type/MiddleEast</t>
  </si>
  <si>
    <t xml:space="preserve">Wafa H1 2025</t>
  </si>
  <si>
    <t xml:space="preserve">https://www.atlas-mag.net/en/article/wafa-assurance-results-at-end-june-2025</t>
  </si>
  <si>
    <t xml:space="preserve">Hollard Ghana insurtech</t>
  </si>
  <si>
    <t xml:space="preserve">https://www.hollard.com.gh/media-centre/press-releases/hollard-ghana-disrupting-insurance-with-insuretech</t>
  </si>
  <si>
    <t xml:space="preserve">ETAP insurtech licence</t>
  </si>
  <si>
    <t xml:space="preserve">https://www.insurtechinsights.com/etap-secures-ghanas-first-insurtech-operational-license/</t>
  </si>
  <si>
    <t xml:space="preserve">Market structure (2018-2021)</t>
  </si>
  <si>
    <t xml:space="preserve">https://oxfordbusinessgroup.com/reports/ghana/2019-report/economy/premium-growth-the-sector-is-well-positioned-to-grow-on-the-back-of-continued-economic-expansion</t>
  </si>
  <si>
    <t xml:space="preserve">Secondary (dated)</t>
  </si>
  <si>
    <t xml:space="preserve">Insurtech</t>
  </si>
  <si>
    <t xml:space="preserve">Curacel funding and customers</t>
  </si>
  <si>
    <t xml:space="preserve">https://thecondia.com/curacel-secures-3m-seed-funding/</t>
  </si>
  <si>
    <t xml:space="preserve">Top African insurance startups</t>
  </si>
  <si>
    <t xml:space="preserve">https://techpoint.africa/insight/insurance-startups-africa-transforming-coverage/</t>
  </si>
  <si>
    <t xml:space="preserve">ARC</t>
  </si>
  <si>
    <t xml:space="preserve">ARC Ltd 2025 results</t>
  </si>
  <si>
    <t xml:space="preserve">https://www.reinsurancene.ws/arc-ltd-posts-largest-profit-since-inception-in-2025-at-13-5m/</t>
  </si>
  <si>
    <t xml:space="preserve">Sovereign flood cover</t>
  </si>
  <si>
    <t xml:space="preserve">https://meinsurancereview.com/News/ViewNewsLetterArticle/id/94331/Type/Africa</t>
  </si>
  <si>
    <t xml:space="preserve">Derived figures (yellow rows in Segment Data) are my own subtraction from reported totals.</t>
  </si>
  <si>
    <t xml:space="preserve">Old Mutual segment figures are rounded 'about' values from trade press; Discovery's SA profit is derived from the group total less Vitality.</t>
  </si>
  <si>
    <t xml:space="preserve">Momentum's FY2026 'other' line (~R2.96B) combines Metropolitan, Corporate, Africa and group costs; the sources I found did not give each separately.</t>
  </si>
  <si>
    <t xml:space="preserve">A Kenya insurance penetration range of 2.1% to 2.43% appears in different sources; 2.1% is used 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</si>
</sst>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2F3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23.8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4" customFormat="false" ht="15" hidden="false" customHeight="true" outlineLevel="0" collapsed="false">
      <c r="A14" s="5" t="s">
        <v>18</v>
      </c>
      <c r="B14" s="5"/>
    </row>
    <row r="15" customFormat="false" ht="30" hidden="false" customHeight="true" outlineLevel="0" collapsed="false">
      <c r="A15" s="6" t="s">
        <v>19</v>
      </c>
      <c r="B15" s="6"/>
    </row>
    <row r="16" customFormat="false" ht="30" hidden="false" customHeight="true" outlineLevel="0" collapsed="false">
      <c r="A16" s="6" t="s">
        <v>20</v>
      </c>
      <c r="B16" s="6"/>
    </row>
    <row r="17" customFormat="false" ht="30" hidden="false" customHeight="true" outlineLevel="0" collapsed="false">
      <c r="A17" s="6" t="s">
        <v>21</v>
      </c>
      <c r="B17" s="6"/>
    </row>
    <row r="18" customFormat="false" ht="30" hidden="false" customHeight="true" outlineLevel="0" collapsed="false">
      <c r="A18" s="6" t="s">
        <v>22</v>
      </c>
      <c r="B18" s="6"/>
    </row>
    <row r="19" customFormat="false" ht="30" hidden="false" customHeight="true" outlineLevel="0" collapsed="false">
      <c r="A19" s="6" t="s">
        <v>23</v>
      </c>
      <c r="B19" s="6"/>
    </row>
    <row r="20" customFormat="false" ht="30" hidden="false" customHeight="true" outlineLevel="0" collapsed="false">
      <c r="A20" s="6" t="s">
        <v>24</v>
      </c>
      <c r="B20" s="6"/>
    </row>
    <row r="21" customFormat="false" ht="30" hidden="false" customHeight="true" outlineLevel="0" collapsed="false">
      <c r="A21" s="6" t="s">
        <v>25</v>
      </c>
      <c r="B21" s="6"/>
    </row>
  </sheetData>
  <mergeCells count="8">
    <mergeCell ref="A14:B14"/>
    <mergeCell ref="A15:B15"/>
    <mergeCell ref="A16:B16"/>
    <mergeCell ref="A17:B17"/>
    <mergeCell ref="A18:B18"/>
    <mergeCell ref="A19:B19"/>
    <mergeCell ref="A20:B20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48"/>
    <col collapsed="false" customWidth="true" hidden="false" outlineLevel="0" max="7" min="7" style="0" width="44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</row>
    <row r="5" customFormat="false" ht="109.5" hidden="false" customHeight="true" outlineLevel="0" collapsed="false">
      <c r="A5" s="8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</row>
    <row r="6" customFormat="false" ht="109.5" hidden="false" customHeight="true" outlineLevel="0" collapsed="false">
      <c r="A6" s="8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</row>
    <row r="7" customFormat="false" ht="109.5" hidden="false" customHeight="true" outlineLevel="0" collapsed="false">
      <c r="A7" s="8" t="s">
        <v>52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</row>
    <row r="8" customFormat="false" ht="109.5" hidden="false" customHeight="true" outlineLevel="0" collapsed="false">
      <c r="A8" s="8" t="s">
        <v>60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67</v>
      </c>
    </row>
    <row r="9" customFormat="false" ht="109.5" hidden="false" customHeight="true" outlineLevel="0" collapsed="false">
      <c r="A9" s="8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</row>
    <row r="10" customFormat="false" ht="109.5" hidden="false" customHeight="true" outlineLevel="0" collapsed="false">
      <c r="A10" s="8" t="s">
        <v>76</v>
      </c>
      <c r="B10" s="4" t="s">
        <v>77</v>
      </c>
      <c r="C10" s="4" t="s">
        <v>78</v>
      </c>
      <c r="D10" s="4" t="s">
        <v>79</v>
      </c>
      <c r="E10" s="4" t="s">
        <v>80</v>
      </c>
      <c r="F10" s="4" t="s">
        <v>81</v>
      </c>
      <c r="G10" s="4" t="s">
        <v>82</v>
      </c>
      <c r="H10" s="4" t="s">
        <v>83</v>
      </c>
    </row>
    <row r="11" customFormat="false" ht="109.5" hidden="false" customHeight="true" outlineLevel="0" collapsed="false">
      <c r="A11" s="8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</row>
    <row r="12" customFormat="false" ht="109.5" hidden="false" customHeight="true" outlineLevel="0" collapsed="false">
      <c r="A12" s="8" t="s">
        <v>92</v>
      </c>
      <c r="B12" s="4" t="s">
        <v>93</v>
      </c>
      <c r="C12" s="4" t="s">
        <v>94</v>
      </c>
      <c r="D12" s="4" t="s">
        <v>95</v>
      </c>
      <c r="E12" s="4" t="s">
        <v>88</v>
      </c>
      <c r="F12" s="4" t="s">
        <v>96</v>
      </c>
      <c r="G12" s="4" t="s">
        <v>97</v>
      </c>
      <c r="H12" s="4" t="s">
        <v>98</v>
      </c>
    </row>
    <row r="13" customFormat="false" ht="109.5" hidden="false" customHeight="true" outlineLevel="0" collapsed="false">
      <c r="A13" s="8" t="s">
        <v>99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90</v>
      </c>
      <c r="H13" s="4" t="s">
        <v>105</v>
      </c>
    </row>
    <row r="14" customFormat="false" ht="109.5" hidden="false" customHeight="true" outlineLevel="0" collapsed="false">
      <c r="A14" s="8" t="s">
        <v>106</v>
      </c>
      <c r="B14" s="4" t="s">
        <v>85</v>
      </c>
      <c r="C14" s="4" t="s">
        <v>107</v>
      </c>
      <c r="D14" s="4" t="s">
        <v>108</v>
      </c>
      <c r="E14" s="4" t="s">
        <v>103</v>
      </c>
      <c r="F14" s="4" t="s">
        <v>109</v>
      </c>
      <c r="G14" s="4" t="s">
        <v>90</v>
      </c>
      <c r="H14" s="4" t="s">
        <v>110</v>
      </c>
    </row>
    <row r="15" customFormat="false" ht="109.5" hidden="false" customHeight="true" outlineLevel="0" collapsed="false">
      <c r="A15" s="8" t="s">
        <v>111</v>
      </c>
      <c r="B15" s="4" t="s">
        <v>112</v>
      </c>
      <c r="C15" s="4" t="s">
        <v>86</v>
      </c>
      <c r="D15" s="4" t="s">
        <v>113</v>
      </c>
      <c r="E15" s="4" t="s">
        <v>103</v>
      </c>
      <c r="F15" s="4" t="s">
        <v>90</v>
      </c>
      <c r="G15" s="4" t="s">
        <v>114</v>
      </c>
      <c r="H15" s="4" t="s">
        <v>115</v>
      </c>
    </row>
    <row r="16" customFormat="false" ht="109.5" hidden="false" customHeight="true" outlineLevel="0" collapsed="false">
      <c r="A16" s="8" t="s">
        <v>116</v>
      </c>
      <c r="B16" s="4" t="s">
        <v>117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</row>
    <row r="17" customFormat="false" ht="109.5" hidden="false" customHeight="true" outlineLevel="0" collapsed="false">
      <c r="A17" s="8" t="s">
        <v>124</v>
      </c>
      <c r="B17" s="4" t="s">
        <v>125</v>
      </c>
      <c r="C17" s="4" t="s">
        <v>126</v>
      </c>
      <c r="D17" s="4" t="s">
        <v>127</v>
      </c>
      <c r="E17" s="4" t="s">
        <v>103</v>
      </c>
      <c r="F17" s="4" t="s">
        <v>90</v>
      </c>
      <c r="G17" s="4" t="s">
        <v>128</v>
      </c>
      <c r="H17" s="4" t="s">
        <v>129</v>
      </c>
    </row>
    <row r="18" customFormat="false" ht="109.5" hidden="false" customHeight="true" outlineLevel="0" collapsed="false">
      <c r="A18" s="8" t="s">
        <v>130</v>
      </c>
      <c r="B18" s="4" t="s">
        <v>131</v>
      </c>
      <c r="C18" s="4" t="s">
        <v>132</v>
      </c>
      <c r="D18" s="4" t="s">
        <v>133</v>
      </c>
      <c r="E18" s="4" t="s">
        <v>103</v>
      </c>
      <c r="F18" s="4" t="s">
        <v>90</v>
      </c>
      <c r="G18" s="4" t="s">
        <v>134</v>
      </c>
      <c r="H18" s="4" t="s">
        <v>135</v>
      </c>
    </row>
    <row r="19" customFormat="false" ht="109.5" hidden="false" customHeight="true" outlineLevel="0" collapsed="false">
      <c r="A19" s="8" t="s">
        <v>136</v>
      </c>
      <c r="B19" s="4" t="s">
        <v>137</v>
      </c>
      <c r="C19" s="4" t="s">
        <v>138</v>
      </c>
      <c r="D19" s="4" t="s">
        <v>139</v>
      </c>
      <c r="E19" s="4" t="s">
        <v>140</v>
      </c>
      <c r="F19" s="4" t="s">
        <v>141</v>
      </c>
      <c r="G19" s="4" t="s">
        <v>142</v>
      </c>
      <c r="H19" s="4" t="s">
        <v>143</v>
      </c>
    </row>
    <row r="20" customFormat="false" ht="109.5" hidden="false" customHeight="true" outlineLevel="0" collapsed="false">
      <c r="A20" s="8" t="s">
        <v>144</v>
      </c>
      <c r="B20" s="4" t="s">
        <v>145</v>
      </c>
      <c r="C20" s="4" t="s">
        <v>146</v>
      </c>
      <c r="D20" s="4" t="s">
        <v>147</v>
      </c>
      <c r="E20" s="4" t="s">
        <v>103</v>
      </c>
      <c r="F20" s="4" t="s">
        <v>90</v>
      </c>
      <c r="G20" s="4" t="s">
        <v>148</v>
      </c>
      <c r="H20" s="4" t="s">
        <v>149</v>
      </c>
    </row>
    <row r="21" customFormat="false" ht="109.5" hidden="false" customHeight="true" outlineLevel="0" collapsed="false">
      <c r="A21" s="8" t="s">
        <v>150</v>
      </c>
      <c r="B21" s="4" t="s">
        <v>151</v>
      </c>
      <c r="C21" s="4" t="s">
        <v>152</v>
      </c>
      <c r="D21" s="4" t="s">
        <v>153</v>
      </c>
      <c r="E21" s="4" t="s">
        <v>103</v>
      </c>
      <c r="F21" s="4" t="s">
        <v>154</v>
      </c>
      <c r="G21" s="4" t="s">
        <v>155</v>
      </c>
      <c r="H21" s="4" t="s">
        <v>156</v>
      </c>
    </row>
    <row r="22" customFormat="false" ht="109.5" hidden="false" customHeight="true" outlineLevel="0" collapsed="false">
      <c r="A22" s="8" t="s">
        <v>157</v>
      </c>
      <c r="B22" s="4" t="s">
        <v>158</v>
      </c>
      <c r="C22" s="4" t="s">
        <v>159</v>
      </c>
      <c r="D22" s="4" t="s">
        <v>160</v>
      </c>
      <c r="E22" s="4" t="s">
        <v>161</v>
      </c>
      <c r="F22" s="4" t="s">
        <v>162</v>
      </c>
      <c r="G22" s="4" t="s">
        <v>163</v>
      </c>
      <c r="H22" s="4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5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23.85" hidden="false" customHeight="false" outlineLevel="0" collapsed="false">
      <c r="A4" s="7" t="s">
        <v>28</v>
      </c>
      <c r="B4" s="7" t="s">
        <v>167</v>
      </c>
      <c r="C4" s="7" t="s">
        <v>168</v>
      </c>
      <c r="D4" s="7" t="s">
        <v>169</v>
      </c>
      <c r="E4" s="7" t="s">
        <v>170</v>
      </c>
      <c r="F4" s="7" t="s">
        <v>171</v>
      </c>
      <c r="G4" s="7" t="s">
        <v>172</v>
      </c>
      <c r="H4" s="7" t="s">
        <v>173</v>
      </c>
    </row>
    <row r="5" customFormat="false" ht="15" hidden="false" customHeight="false" outlineLevel="0" collapsed="false">
      <c r="A5" s="4" t="s">
        <v>36</v>
      </c>
      <c r="B5" s="4" t="s">
        <v>174</v>
      </c>
      <c r="C5" s="4" t="s">
        <v>175</v>
      </c>
      <c r="D5" s="9" t="n">
        <v>9257</v>
      </c>
      <c r="E5" s="4" t="s">
        <v>176</v>
      </c>
      <c r="F5" s="4" t="s">
        <v>177</v>
      </c>
      <c r="G5" s="10" t="n">
        <f aca="false">IF(OR(F5="Component",F5="Derived component"),D5/(SUMIFS($D$5:$D$300,$A$5:$A$300,A5,$B$5:$B$300,B5,$F$5:$F$300,"Component")+SUMIFS($D$5:$D$300,$A$5:$A$300,A5,$B$5:$B$300,B5,$F$5:$F$300,"Derived component")),"")</f>
        <v>0.580776711211494</v>
      </c>
      <c r="H5" s="4" t="s">
        <v>178</v>
      </c>
    </row>
    <row r="6" customFormat="false" ht="15" hidden="false" customHeight="false" outlineLevel="0" collapsed="false">
      <c r="A6" s="4" t="s">
        <v>36</v>
      </c>
      <c r="B6" s="4" t="s">
        <v>174</v>
      </c>
      <c r="C6" s="4" t="s">
        <v>179</v>
      </c>
      <c r="D6" s="9" t="n">
        <v>3577</v>
      </c>
      <c r="E6" s="4" t="s">
        <v>176</v>
      </c>
      <c r="F6" s="4" t="s">
        <v>177</v>
      </c>
      <c r="G6" s="10" t="n">
        <f aca="false">IF(OR(F6="Component",F6="Derived component"),D6/(SUMIFS($D$5:$D$300,$A$5:$A$300,A6,$B$5:$B$300,B6,$F$5:$F$300,"Component")+SUMIFS($D$5:$D$300,$A$5:$A$300,A6,$B$5:$B$300,B6,$F$5:$F$300,"Derived component")),"")</f>
        <v>0.224418093983311</v>
      </c>
      <c r="H6" s="4" t="s">
        <v>178</v>
      </c>
    </row>
    <row r="7" customFormat="false" ht="15" hidden="false" customHeight="false" outlineLevel="0" collapsed="false">
      <c r="A7" s="4" t="s">
        <v>36</v>
      </c>
      <c r="B7" s="4" t="s">
        <v>174</v>
      </c>
      <c r="C7" s="4" t="s">
        <v>180</v>
      </c>
      <c r="D7" s="9" t="n">
        <v>1508</v>
      </c>
      <c r="E7" s="4" t="s">
        <v>176</v>
      </c>
      <c r="F7" s="4" t="s">
        <v>177</v>
      </c>
      <c r="G7" s="10" t="n">
        <f aca="false">IF(OR(F7="Component",F7="Derived component"),D7/(SUMIFS($D$5:$D$300,$A$5:$A$300,A7,$B$5:$B$300,B7,$F$5:$F$300,"Component")+SUMIFS($D$5:$D$300,$A$5:$A$300,A7,$B$5:$B$300,B7,$F$5:$F$300,"Derived component")),"")</f>
        <v>0.0946107033063555</v>
      </c>
      <c r="H7" s="4" t="s">
        <v>178</v>
      </c>
    </row>
    <row r="8" customFormat="false" ht="15" hidden="false" customHeight="false" outlineLevel="0" collapsed="false">
      <c r="A8" s="4" t="s">
        <v>36</v>
      </c>
      <c r="B8" s="4" t="s">
        <v>174</v>
      </c>
      <c r="C8" s="4" t="s">
        <v>181</v>
      </c>
      <c r="D8" s="9" t="n">
        <v>2266</v>
      </c>
      <c r="E8" s="4" t="s">
        <v>176</v>
      </c>
      <c r="F8" s="4" t="s">
        <v>177</v>
      </c>
      <c r="G8" s="10" t="n">
        <f aca="false">IF(OR(F8="Component",F8="Derived component"),D8/(SUMIFS($D$5:$D$300,$A$5:$A$300,A8,$B$5:$B$300,B8,$F$5:$F$300,"Component")+SUMIFS($D$5:$D$300,$A$5:$A$300,A8,$B$5:$B$300,B8,$F$5:$F$300,"Derived component")),"")</f>
        <v>0.142167011732229</v>
      </c>
      <c r="H8" s="4" t="s">
        <v>178</v>
      </c>
    </row>
    <row r="9" customFormat="false" ht="15" hidden="false" customHeight="false" outlineLevel="0" collapsed="false">
      <c r="A9" s="4" t="s">
        <v>36</v>
      </c>
      <c r="B9" s="4" t="s">
        <v>174</v>
      </c>
      <c r="C9" s="4" t="s">
        <v>182</v>
      </c>
      <c r="D9" s="9" t="n">
        <v>-669</v>
      </c>
      <c r="E9" s="4" t="s">
        <v>176</v>
      </c>
      <c r="F9" s="4" t="s">
        <v>177</v>
      </c>
      <c r="G9" s="10" t="n">
        <f aca="false">IF(OR(F9="Component",F9="Derived component"),D9/(SUMIFS($D$5:$D$300,$A$5:$A$300,A9,$B$5:$B$300,B9,$F$5:$F$300,"Component")+SUMIFS($D$5:$D$300,$A$5:$A$300,A9,$B$5:$B$300,B9,$F$5:$F$300,"Derived component")),"")</f>
        <v>-0.0419725202333898</v>
      </c>
      <c r="H9" s="4" t="s">
        <v>178</v>
      </c>
    </row>
    <row r="10" customFormat="false" ht="15" hidden="false" customHeight="false" outlineLevel="0" collapsed="false">
      <c r="A10" s="11" t="s">
        <v>36</v>
      </c>
      <c r="B10" s="11" t="s">
        <v>174</v>
      </c>
      <c r="C10" s="11" t="s">
        <v>183</v>
      </c>
      <c r="D10" s="12" t="n">
        <v>15939</v>
      </c>
      <c r="E10" s="11" t="s">
        <v>176</v>
      </c>
      <c r="F10" s="11" t="s">
        <v>184</v>
      </c>
      <c r="G10" s="13" t="str">
        <f aca="false">IF(OR(F10="Component",F10="Derived component"),D10/(SUMIFS($D$5:$D$300,$A$5:$A$300,A10,$B$5:$B$300,B10,$F$5:$F$300,"Component")+SUMIFS($D$5:$D$300,$A$5:$A$300,A10,$B$5:$B$300,B10,$F$5:$F$300,"Derived component")),"")</f>
        <v/>
      </c>
      <c r="H10" s="11" t="s">
        <v>178</v>
      </c>
    </row>
    <row r="11" customFormat="false" ht="15" hidden="false" customHeight="false" outlineLevel="0" collapsed="false">
      <c r="A11" s="4" t="s">
        <v>36</v>
      </c>
      <c r="B11" s="4" t="s">
        <v>185</v>
      </c>
      <c r="C11" s="4" t="s">
        <v>186</v>
      </c>
      <c r="D11" s="9" t="n">
        <v>17154</v>
      </c>
      <c r="E11" s="4" t="s">
        <v>176</v>
      </c>
      <c r="F11" s="4" t="s">
        <v>187</v>
      </c>
      <c r="G11" s="10" t="str">
        <f aca="false">IF(OR(F11="Component",F11="Derived component"),D11/(SUMIFS($D$5:$D$300,$A$5:$A$300,A11,$B$5:$B$300,B11,$F$5:$F$300,"Component")+SUMIFS($D$5:$D$300,$A$5:$A$300,A11,$B$5:$B$300,B11,$F$5:$F$300,"Derived component")),"")</f>
        <v/>
      </c>
      <c r="H11" s="4" t="s">
        <v>178</v>
      </c>
    </row>
    <row r="12" customFormat="false" ht="15" hidden="false" customHeight="false" outlineLevel="0" collapsed="false">
      <c r="A12" s="4" t="s">
        <v>36</v>
      </c>
      <c r="B12" s="4" t="s">
        <v>185</v>
      </c>
      <c r="C12" s="4" t="s">
        <v>188</v>
      </c>
      <c r="D12" s="9" t="n">
        <v>1962</v>
      </c>
      <c r="E12" s="4" t="s">
        <v>176</v>
      </c>
      <c r="F12" s="4" t="s">
        <v>187</v>
      </c>
      <c r="G12" s="10" t="str">
        <f aca="false">IF(OR(F12="Component",F12="Derived component"),D12/(SUMIFS($D$5:$D$300,$A$5:$A$300,A12,$B$5:$B$300,B12,$F$5:$F$300,"Component")+SUMIFS($D$5:$D$300,$A$5:$A$300,A12,$B$5:$B$300,B12,$F$5:$F$300,"Derived component")),"")</f>
        <v/>
      </c>
      <c r="H12" s="4" t="s">
        <v>178</v>
      </c>
    </row>
    <row r="13" customFormat="false" ht="15" hidden="false" customHeight="false" outlineLevel="0" collapsed="false">
      <c r="A13" s="4" t="s">
        <v>36</v>
      </c>
      <c r="B13" s="4" t="s">
        <v>185</v>
      </c>
      <c r="C13" s="4" t="s">
        <v>189</v>
      </c>
      <c r="D13" s="9" t="n">
        <v>185559</v>
      </c>
      <c r="E13" s="4" t="s">
        <v>176</v>
      </c>
      <c r="F13" s="4" t="s">
        <v>187</v>
      </c>
      <c r="G13" s="10" t="str">
        <f aca="false">IF(OR(F13="Component",F13="Derived component"),D13/(SUMIFS($D$5:$D$300,$A$5:$A$300,A13,$B$5:$B$300,B13,$F$5:$F$300,"Component")+SUMIFS($D$5:$D$300,$A$5:$A$300,A13,$B$5:$B$300,B13,$F$5:$F$300,"Derived component")),"")</f>
        <v/>
      </c>
      <c r="H13" s="4" t="s">
        <v>190</v>
      </c>
    </row>
    <row r="14" customFormat="false" ht="15" hidden="false" customHeight="false" outlineLevel="0" collapsed="false">
      <c r="A14" s="4" t="s">
        <v>36</v>
      </c>
      <c r="B14" s="4" t="s">
        <v>185</v>
      </c>
      <c r="C14" s="4" t="s">
        <v>191</v>
      </c>
      <c r="D14" s="9" t="n">
        <v>496</v>
      </c>
      <c r="E14" s="4" t="s">
        <v>176</v>
      </c>
      <c r="F14" s="4" t="s">
        <v>187</v>
      </c>
      <c r="G14" s="10" t="str">
        <f aca="false">IF(OR(F14="Component",F14="Derived component"),D14/(SUMIFS($D$5:$D$300,$A$5:$A$300,A14,$B$5:$B$300,B14,$F$5:$F$300,"Component")+SUMIFS($D$5:$D$300,$A$5:$A$300,A14,$B$5:$B$300,B14,$F$5:$F$300,"Derived component")),"")</f>
        <v/>
      </c>
      <c r="H14" s="4" t="s">
        <v>192</v>
      </c>
    </row>
    <row r="15" customFormat="false" ht="15" hidden="false" customHeight="false" outlineLevel="0" collapsed="false">
      <c r="A15" s="4" t="s">
        <v>36</v>
      </c>
      <c r="B15" s="4" t="s">
        <v>185</v>
      </c>
      <c r="C15" s="4" t="s">
        <v>193</v>
      </c>
      <c r="D15" s="9" t="n">
        <v>127</v>
      </c>
      <c r="E15" s="4" t="s">
        <v>176</v>
      </c>
      <c r="F15" s="4" t="s">
        <v>187</v>
      </c>
      <c r="G15" s="10" t="str">
        <f aca="false">IF(OR(F15="Component",F15="Derived component"),D15/(SUMIFS($D$5:$D$300,$A$5:$A$300,A15,$B$5:$B$300,B15,$F$5:$F$300,"Component")+SUMIFS($D$5:$D$300,$A$5:$A$300,A15,$B$5:$B$300,B15,$F$5:$F$300,"Derived component")),"")</f>
        <v/>
      </c>
      <c r="H15" s="4" t="s">
        <v>192</v>
      </c>
    </row>
    <row r="16" customFormat="false" ht="15" hidden="false" customHeight="false" outlineLevel="0" collapsed="false">
      <c r="A16" s="4" t="s">
        <v>36</v>
      </c>
      <c r="B16" s="4" t="s">
        <v>185</v>
      </c>
      <c r="C16" s="4" t="s">
        <v>194</v>
      </c>
      <c r="D16" s="9" t="n">
        <v>650</v>
      </c>
      <c r="E16" s="4" t="s">
        <v>176</v>
      </c>
      <c r="F16" s="4" t="s">
        <v>187</v>
      </c>
      <c r="G16" s="10" t="str">
        <f aca="false">IF(OR(F16="Component",F16="Derived component"),D16/(SUMIFS($D$5:$D$300,$A$5:$A$300,A16,$B$5:$B$300,B16,$F$5:$F$300,"Component")+SUMIFS($D$5:$D$300,$A$5:$A$300,A16,$B$5:$B$300,B16,$F$5:$F$300,"Derived component")),"")</f>
        <v/>
      </c>
      <c r="H16" s="4" t="s">
        <v>195</v>
      </c>
    </row>
    <row r="17" customFormat="false" ht="23.85" hidden="false" customHeight="false" outlineLevel="0" collapsed="false">
      <c r="A17" s="4" t="s">
        <v>44</v>
      </c>
      <c r="B17" s="4" t="s">
        <v>196</v>
      </c>
      <c r="C17" s="4" t="s">
        <v>197</v>
      </c>
      <c r="D17" s="9" t="n">
        <v>2060</v>
      </c>
      <c r="E17" s="4" t="s">
        <v>176</v>
      </c>
      <c r="F17" s="4" t="s">
        <v>177</v>
      </c>
      <c r="G17" s="10" t="n">
        <f aca="false">IF(OR(F17="Component",F17="Derived component"),D17/(SUMIFS($D$5:$D$300,$A$5:$A$300,A17,$B$5:$B$300,B17,$F$5:$F$300,"Component")+SUMIFS($D$5:$D$300,$A$5:$A$300,A17,$B$5:$B$300,B17,$F$5:$F$300,"Derived component")),"")</f>
        <v>0.209754607473781</v>
      </c>
      <c r="H17" s="4" t="s">
        <v>198</v>
      </c>
    </row>
    <row r="18" customFormat="false" ht="23.85" hidden="false" customHeight="false" outlineLevel="0" collapsed="false">
      <c r="A18" s="4" t="s">
        <v>44</v>
      </c>
      <c r="B18" s="4" t="s">
        <v>196</v>
      </c>
      <c r="C18" s="4" t="s">
        <v>199</v>
      </c>
      <c r="D18" s="9" t="n">
        <v>1700</v>
      </c>
      <c r="E18" s="4" t="s">
        <v>176</v>
      </c>
      <c r="F18" s="4" t="s">
        <v>177</v>
      </c>
      <c r="G18" s="10" t="n">
        <f aca="false">IF(OR(F18="Component",F18="Derived component"),D18/(SUMIFS($D$5:$D$300,$A$5:$A$300,A18,$B$5:$B$300,B18,$F$5:$F$300,"Component")+SUMIFS($D$5:$D$300,$A$5:$A$300,A18,$B$5:$B$300,B18,$F$5:$F$300,"Derived component")),"")</f>
        <v>0.173098462478363</v>
      </c>
      <c r="H18" s="4" t="s">
        <v>198</v>
      </c>
    </row>
    <row r="19" customFormat="false" ht="23.85" hidden="false" customHeight="false" outlineLevel="0" collapsed="false">
      <c r="A19" s="4" t="s">
        <v>44</v>
      </c>
      <c r="B19" s="4" t="s">
        <v>196</v>
      </c>
      <c r="C19" s="4" t="s">
        <v>200</v>
      </c>
      <c r="D19" s="9" t="n">
        <v>1544</v>
      </c>
      <c r="E19" s="4" t="s">
        <v>176</v>
      </c>
      <c r="F19" s="4" t="s">
        <v>177</v>
      </c>
      <c r="G19" s="10" t="n">
        <f aca="false">IF(OR(F19="Component",F19="Derived component"),D19/(SUMIFS($D$5:$D$300,$A$5:$A$300,A19,$B$5:$B$300,B19,$F$5:$F$300,"Component")+SUMIFS($D$5:$D$300,$A$5:$A$300,A19,$B$5:$B$300,B19,$F$5:$F$300,"Derived component")),"")</f>
        <v>0.157214132980348</v>
      </c>
      <c r="H19" s="4" t="s">
        <v>198</v>
      </c>
    </row>
    <row r="20" customFormat="false" ht="15" hidden="false" customHeight="false" outlineLevel="0" collapsed="false">
      <c r="A20" s="14" t="s">
        <v>44</v>
      </c>
      <c r="B20" s="14" t="s">
        <v>196</v>
      </c>
      <c r="C20" s="14" t="s">
        <v>201</v>
      </c>
      <c r="D20" s="15" t="n">
        <f aca="false">D21-D17-D18-D19</f>
        <v>4517</v>
      </c>
      <c r="E20" s="14" t="s">
        <v>176</v>
      </c>
      <c r="F20" s="14" t="s">
        <v>202</v>
      </c>
      <c r="G20" s="16" t="n">
        <f aca="false">IF(OR(F20="Component",F20="Derived component"),D20/(SUMIFS($D$5:$D$300,$A$5:$A$300,A20,$B$5:$B$300,B20,$F$5:$F$300,"Component")+SUMIFS($D$5:$D$300,$A$5:$A$300,A20,$B$5:$B$300,B20,$F$5:$F$300,"Derived component")),"")</f>
        <v>0.459932797067508</v>
      </c>
      <c r="H20" s="14" t="s">
        <v>203</v>
      </c>
    </row>
    <row r="21" customFormat="false" ht="15" hidden="false" customHeight="false" outlineLevel="0" collapsed="false">
      <c r="A21" s="11" t="s">
        <v>44</v>
      </c>
      <c r="B21" s="11" t="s">
        <v>196</v>
      </c>
      <c r="C21" s="11" t="s">
        <v>204</v>
      </c>
      <c r="D21" s="12" t="n">
        <v>9821</v>
      </c>
      <c r="E21" s="11" t="s">
        <v>176</v>
      </c>
      <c r="F21" s="11" t="s">
        <v>184</v>
      </c>
      <c r="G21" s="13" t="str">
        <f aca="false">IF(OR(F21="Component",F21="Derived component"),D21/(SUMIFS($D$5:$D$300,$A$5:$A$300,A21,$B$5:$B$300,B21,$F$5:$F$300,"Component")+SUMIFS($D$5:$D$300,$A$5:$A$300,A21,$B$5:$B$300,B21,$F$5:$F$300,"Derived component")),"")</f>
        <v/>
      </c>
      <c r="H21" s="11" t="s">
        <v>205</v>
      </c>
    </row>
    <row r="22" customFormat="false" ht="23.85" hidden="false" customHeight="false" outlineLevel="0" collapsed="false">
      <c r="A22" s="4" t="s">
        <v>44</v>
      </c>
      <c r="B22" s="4" t="s">
        <v>185</v>
      </c>
      <c r="C22" s="4" t="s">
        <v>206</v>
      </c>
      <c r="D22" s="9" t="n">
        <v>8263</v>
      </c>
      <c r="E22" s="4" t="s">
        <v>176</v>
      </c>
      <c r="F22" s="4" t="s">
        <v>187</v>
      </c>
      <c r="G22" s="10" t="str">
        <f aca="false">IF(OR(F22="Component",F22="Derived component"),D22/(SUMIFS($D$5:$D$300,$A$5:$A$300,A22,$B$5:$B$300,B22,$F$5:$F$300,"Component")+SUMIFS($D$5:$D$300,$A$5:$A$300,A22,$B$5:$B$300,B22,$F$5:$F$300,"Derived component")),"")</f>
        <v/>
      </c>
      <c r="H22" s="4" t="s">
        <v>198</v>
      </c>
    </row>
    <row r="23" customFormat="false" ht="23.85" hidden="false" customHeight="false" outlineLevel="0" collapsed="false">
      <c r="A23" s="4" t="s">
        <v>44</v>
      </c>
      <c r="B23" s="4" t="s">
        <v>185</v>
      </c>
      <c r="C23" s="4" t="s">
        <v>207</v>
      </c>
      <c r="D23" s="9" t="n">
        <v>23400</v>
      </c>
      <c r="E23" s="4" t="s">
        <v>176</v>
      </c>
      <c r="F23" s="4" t="s">
        <v>187</v>
      </c>
      <c r="G23" s="10" t="str">
        <f aca="false">IF(OR(F23="Component",F23="Derived component"),D23/(SUMIFS($D$5:$D$300,$A$5:$A$300,A23,$B$5:$B$300,B23,$F$5:$F$300,"Component")+SUMIFS($D$5:$D$300,$A$5:$A$300,A23,$B$5:$B$300,B23,$F$5:$F$300,"Derived component")),"")</f>
        <v/>
      </c>
      <c r="H23" s="4" t="s">
        <v>198</v>
      </c>
    </row>
    <row r="24" customFormat="false" ht="23.85" hidden="false" customHeight="false" outlineLevel="0" collapsed="false">
      <c r="A24" s="4" t="s">
        <v>44</v>
      </c>
      <c r="B24" s="4" t="s">
        <v>185</v>
      </c>
      <c r="C24" s="4" t="s">
        <v>208</v>
      </c>
      <c r="D24" s="9" t="n">
        <v>12300</v>
      </c>
      <c r="E24" s="4" t="s">
        <v>176</v>
      </c>
      <c r="F24" s="4" t="s">
        <v>187</v>
      </c>
      <c r="G24" s="10" t="str">
        <f aca="false">IF(OR(F24="Component",F24="Derived component"),D24/(SUMIFS($D$5:$D$300,$A$5:$A$300,A24,$B$5:$B$300,B24,$F$5:$F$300,"Component")+SUMIFS($D$5:$D$300,$A$5:$A$300,A24,$B$5:$B$300,B24,$F$5:$F$300,"Derived component")),"")</f>
        <v/>
      </c>
      <c r="H24" s="4" t="s">
        <v>198</v>
      </c>
    </row>
    <row r="25" customFormat="false" ht="15" hidden="false" customHeight="false" outlineLevel="0" collapsed="false">
      <c r="A25" s="4" t="s">
        <v>44</v>
      </c>
      <c r="B25" s="4" t="s">
        <v>185</v>
      </c>
      <c r="C25" s="4" t="s">
        <v>209</v>
      </c>
      <c r="D25" s="9" t="n">
        <v>1100000</v>
      </c>
      <c r="E25" s="4" t="s">
        <v>176</v>
      </c>
      <c r="F25" s="4" t="s">
        <v>187</v>
      </c>
      <c r="G25" s="10" t="str">
        <f aca="false">IF(OR(F25="Component",F25="Derived component"),D25/(SUMIFS($D$5:$D$300,$A$5:$A$300,A25,$B$5:$B$300,B25,$F$5:$F$300,"Component")+SUMIFS($D$5:$D$300,$A$5:$A$300,A25,$B$5:$B$300,B25,$F$5:$F$300,"Derived component")),"")</f>
        <v/>
      </c>
      <c r="H25" s="4" t="s">
        <v>210</v>
      </c>
    </row>
    <row r="26" customFormat="false" ht="15" hidden="false" customHeight="false" outlineLevel="0" collapsed="false">
      <c r="A26" s="4" t="s">
        <v>44</v>
      </c>
      <c r="B26" s="4" t="s">
        <v>185</v>
      </c>
      <c r="C26" s="4" t="s">
        <v>211</v>
      </c>
      <c r="D26" s="9" t="n">
        <v>3000</v>
      </c>
      <c r="E26" s="4" t="s">
        <v>176</v>
      </c>
      <c r="F26" s="4" t="s">
        <v>187</v>
      </c>
      <c r="G26" s="10" t="str">
        <f aca="false">IF(OR(F26="Component",F26="Derived component"),D26/(SUMIFS($D$5:$D$300,$A$5:$A$300,A26,$B$5:$B$300,B26,$F$5:$F$300,"Component")+SUMIFS($D$5:$D$300,$A$5:$A$300,A26,$B$5:$B$300,B26,$F$5:$F$300,"Derived component")),"")</f>
        <v/>
      </c>
      <c r="H26" s="4" t="s">
        <v>212</v>
      </c>
    </row>
    <row r="27" customFormat="false" ht="15" hidden="false" customHeight="false" outlineLevel="0" collapsed="false">
      <c r="A27" s="4" t="s">
        <v>44</v>
      </c>
      <c r="B27" s="4" t="s">
        <v>185</v>
      </c>
      <c r="C27" s="4" t="s">
        <v>213</v>
      </c>
      <c r="D27" s="9" t="n">
        <v>2500</v>
      </c>
      <c r="E27" s="4" t="s">
        <v>176</v>
      </c>
      <c r="F27" s="4" t="s">
        <v>187</v>
      </c>
      <c r="G27" s="10" t="str">
        <f aca="false">IF(OR(F27="Component",F27="Derived component"),D27/(SUMIFS($D$5:$D$300,$A$5:$A$300,A27,$B$5:$B$300,B27,$F$5:$F$300,"Component")+SUMIFS($D$5:$D$300,$A$5:$A$300,A27,$B$5:$B$300,B27,$F$5:$F$300,"Derived component")),"")</f>
        <v/>
      </c>
      <c r="H27" s="4" t="s">
        <v>214</v>
      </c>
    </row>
    <row r="28" customFormat="false" ht="15" hidden="false" customHeight="false" outlineLevel="0" collapsed="false">
      <c r="A28" s="14" t="s">
        <v>52</v>
      </c>
      <c r="B28" s="14" t="s">
        <v>215</v>
      </c>
      <c r="C28" s="14" t="s">
        <v>216</v>
      </c>
      <c r="D28" s="15" t="n">
        <f aca="false">D30-D29</f>
        <v>13868</v>
      </c>
      <c r="E28" s="14" t="s">
        <v>176</v>
      </c>
      <c r="F28" s="14" t="s">
        <v>202</v>
      </c>
      <c r="G28" s="16" t="n">
        <f aca="false">IF(OR(F28="Component",F28="Derived component"),D28/(SUMIFS($D$5:$D$300,$A$5:$A$300,A28,$B$5:$B$300,B28,$F$5:$F$300,"Component")+SUMIFS($D$5:$D$300,$A$5:$A$300,A28,$B$5:$B$300,B28,$F$5:$F$300,"Derived component")),"")</f>
        <v>0.781295774647887</v>
      </c>
      <c r="H28" s="14" t="s">
        <v>217</v>
      </c>
    </row>
    <row r="29" customFormat="false" ht="15" hidden="false" customHeight="false" outlineLevel="0" collapsed="false">
      <c r="A29" s="4" t="s">
        <v>52</v>
      </c>
      <c r="B29" s="4" t="s">
        <v>215</v>
      </c>
      <c r="C29" s="4" t="s">
        <v>218</v>
      </c>
      <c r="D29" s="9" t="n">
        <v>3882</v>
      </c>
      <c r="E29" s="4" t="s">
        <v>176</v>
      </c>
      <c r="F29" s="4" t="s">
        <v>177</v>
      </c>
      <c r="G29" s="10" t="n">
        <f aca="false">IF(OR(F29="Component",F29="Derived component"),D29/(SUMIFS($D$5:$D$300,$A$5:$A$300,A29,$B$5:$B$300,B29,$F$5:$F$300,"Component")+SUMIFS($D$5:$D$300,$A$5:$A$300,A29,$B$5:$B$300,B29,$F$5:$F$300,"Derived component")),"")</f>
        <v>0.218704225352113</v>
      </c>
      <c r="H29" s="4" t="s">
        <v>219</v>
      </c>
    </row>
    <row r="30" customFormat="false" ht="15" hidden="false" customHeight="false" outlineLevel="0" collapsed="false">
      <c r="A30" s="11" t="s">
        <v>52</v>
      </c>
      <c r="B30" s="11" t="s">
        <v>215</v>
      </c>
      <c r="C30" s="11" t="s">
        <v>220</v>
      </c>
      <c r="D30" s="12" t="n">
        <v>17750</v>
      </c>
      <c r="E30" s="11" t="s">
        <v>176</v>
      </c>
      <c r="F30" s="11" t="s">
        <v>184</v>
      </c>
      <c r="G30" s="13" t="str">
        <f aca="false">IF(OR(F30="Component",F30="Derived component"),D30/(SUMIFS($D$5:$D$300,$A$5:$A$300,A30,$B$5:$B$300,B30,$F$5:$F$300,"Component")+SUMIFS($D$5:$D$300,$A$5:$A$300,A30,$B$5:$B$300,B30,$F$5:$F$300,"Derived component")),"")</f>
        <v/>
      </c>
      <c r="H30" s="11" t="s">
        <v>219</v>
      </c>
    </row>
    <row r="31" customFormat="false" ht="15" hidden="false" customHeight="false" outlineLevel="0" collapsed="false">
      <c r="A31" s="4" t="s">
        <v>52</v>
      </c>
      <c r="B31" s="4" t="s">
        <v>221</v>
      </c>
      <c r="C31" s="4" t="s">
        <v>222</v>
      </c>
      <c r="D31" s="9" t="n">
        <v>370</v>
      </c>
      <c r="E31" s="4" t="s">
        <v>176</v>
      </c>
      <c r="F31" s="4" t="s">
        <v>187</v>
      </c>
      <c r="G31" s="10" t="str">
        <f aca="false">IF(OR(F31="Component",F31="Derived component"),D31/(SUMIFS($D$5:$D$300,$A$5:$A$300,A31,$B$5:$B$300,B31,$F$5:$F$300,"Component")+SUMIFS($D$5:$D$300,$A$5:$A$300,A31,$B$5:$B$300,B31,$F$5:$F$300,"Derived component")),"")</f>
        <v/>
      </c>
      <c r="H31" s="4" t="s">
        <v>219</v>
      </c>
    </row>
    <row r="32" customFormat="false" ht="15" hidden="false" customHeight="false" outlineLevel="0" collapsed="false">
      <c r="A32" s="4" t="s">
        <v>52</v>
      </c>
      <c r="B32" s="4" t="s">
        <v>221</v>
      </c>
      <c r="C32" s="4" t="s">
        <v>223</v>
      </c>
      <c r="D32" s="9" t="n">
        <v>865</v>
      </c>
      <c r="E32" s="4" t="s">
        <v>176</v>
      </c>
      <c r="F32" s="4" t="s">
        <v>187</v>
      </c>
      <c r="G32" s="10" t="str">
        <f aca="false">IF(OR(F32="Component",F32="Derived component"),D32/(SUMIFS($D$5:$D$300,$A$5:$A$300,A32,$B$5:$B$300,B32,$F$5:$F$300,"Component")+SUMIFS($D$5:$D$300,$A$5:$A$300,A32,$B$5:$B$300,B32,$F$5:$F$300,"Derived component")),"")</f>
        <v/>
      </c>
      <c r="H32" s="4" t="s">
        <v>219</v>
      </c>
    </row>
    <row r="33" customFormat="false" ht="15" hidden="false" customHeight="false" outlineLevel="0" collapsed="false">
      <c r="A33" s="4" t="s">
        <v>52</v>
      </c>
      <c r="B33" s="4" t="s">
        <v>221</v>
      </c>
      <c r="C33" s="4" t="s">
        <v>224</v>
      </c>
      <c r="D33" s="9" t="n">
        <v>12920</v>
      </c>
      <c r="E33" s="4" t="s">
        <v>176</v>
      </c>
      <c r="F33" s="4" t="s">
        <v>187</v>
      </c>
      <c r="G33" s="10" t="str">
        <f aca="false">IF(OR(F33="Component",F33="Derived component"),D33/(SUMIFS($D$5:$D$300,$A$5:$A$300,A33,$B$5:$B$300,B33,$F$5:$F$300,"Component")+SUMIFS($D$5:$D$300,$A$5:$A$300,A33,$B$5:$B$300,B33,$F$5:$F$300,"Derived component")),"")</f>
        <v/>
      </c>
      <c r="H33" s="4" t="s">
        <v>219</v>
      </c>
    </row>
    <row r="34" customFormat="false" ht="15" hidden="false" customHeight="false" outlineLevel="0" collapsed="false">
      <c r="A34" s="4" t="s">
        <v>52</v>
      </c>
      <c r="B34" s="4" t="s">
        <v>221</v>
      </c>
      <c r="C34" s="4" t="s">
        <v>225</v>
      </c>
      <c r="D34" s="9" t="n">
        <v>11800</v>
      </c>
      <c r="E34" s="4" t="s">
        <v>176</v>
      </c>
      <c r="F34" s="4" t="s">
        <v>187</v>
      </c>
      <c r="G34" s="10" t="str">
        <f aca="false">IF(OR(F34="Component",F34="Derived component"),D34/(SUMIFS($D$5:$D$300,$A$5:$A$300,A34,$B$5:$B$300,B34,$F$5:$F$300,"Component")+SUMIFS($D$5:$D$300,$A$5:$A$300,A34,$B$5:$B$300,B34,$F$5:$F$300,"Derived component")),"")</f>
        <v/>
      </c>
      <c r="H34" s="4" t="s">
        <v>219</v>
      </c>
    </row>
    <row r="35" customFormat="false" ht="23.85" hidden="false" customHeight="false" outlineLevel="0" collapsed="false">
      <c r="A35" s="4" t="s">
        <v>60</v>
      </c>
      <c r="B35" s="4" t="s">
        <v>226</v>
      </c>
      <c r="C35" s="4" t="s">
        <v>227</v>
      </c>
      <c r="D35" s="9" t="n">
        <v>1190</v>
      </c>
      <c r="E35" s="4" t="s">
        <v>176</v>
      </c>
      <c r="F35" s="4" t="s">
        <v>177</v>
      </c>
      <c r="G35" s="10" t="n">
        <f aca="false">IF(OR(F35="Component",F35="Derived component"),D35/(SUMIFS($D$5:$D$300,$A$5:$A$300,A35,$B$5:$B$300,B35,$F$5:$F$300,"Component")+SUMIFS($D$5:$D$300,$A$5:$A$300,A35,$B$5:$B$300,B35,$F$5:$F$300,"Derived component")),"")</f>
        <v>0.168555240793201</v>
      </c>
      <c r="H35" s="4" t="s">
        <v>228</v>
      </c>
    </row>
    <row r="36" customFormat="false" ht="23.85" hidden="false" customHeight="false" outlineLevel="0" collapsed="false">
      <c r="A36" s="4" t="s">
        <v>60</v>
      </c>
      <c r="B36" s="4" t="s">
        <v>226</v>
      </c>
      <c r="C36" s="4" t="s">
        <v>229</v>
      </c>
      <c r="D36" s="9" t="n">
        <v>1040</v>
      </c>
      <c r="E36" s="4" t="s">
        <v>176</v>
      </c>
      <c r="F36" s="4" t="s">
        <v>177</v>
      </c>
      <c r="G36" s="10" t="n">
        <f aca="false">IF(OR(F36="Component",F36="Derived component"),D36/(SUMIFS($D$5:$D$300,$A$5:$A$300,A36,$B$5:$B$300,B36,$F$5:$F$300,"Component")+SUMIFS($D$5:$D$300,$A$5:$A$300,A36,$B$5:$B$300,B36,$F$5:$F$300,"Derived component")),"")</f>
        <v>0.147308781869688</v>
      </c>
      <c r="H36" s="4" t="s">
        <v>228</v>
      </c>
    </row>
    <row r="37" customFormat="false" ht="23.85" hidden="false" customHeight="false" outlineLevel="0" collapsed="false">
      <c r="A37" s="4" t="s">
        <v>60</v>
      </c>
      <c r="B37" s="4" t="s">
        <v>226</v>
      </c>
      <c r="C37" s="4" t="s">
        <v>230</v>
      </c>
      <c r="D37" s="9" t="n">
        <v>1010</v>
      </c>
      <c r="E37" s="4" t="s">
        <v>176</v>
      </c>
      <c r="F37" s="4" t="s">
        <v>177</v>
      </c>
      <c r="G37" s="10" t="n">
        <f aca="false">IF(OR(F37="Component",F37="Derived component"),D37/(SUMIFS($D$5:$D$300,$A$5:$A$300,A37,$B$5:$B$300,B37,$F$5:$F$300,"Component")+SUMIFS($D$5:$D$300,$A$5:$A$300,A37,$B$5:$B$300,B37,$F$5:$F$300,"Derived component")),"")</f>
        <v>0.143059490084986</v>
      </c>
      <c r="H37" s="4" t="s">
        <v>228</v>
      </c>
    </row>
    <row r="38" customFormat="false" ht="23.85" hidden="false" customHeight="false" outlineLevel="0" collapsed="false">
      <c r="A38" s="4" t="s">
        <v>60</v>
      </c>
      <c r="B38" s="4" t="s">
        <v>226</v>
      </c>
      <c r="C38" s="4" t="s">
        <v>231</v>
      </c>
      <c r="D38" s="9" t="n">
        <v>474</v>
      </c>
      <c r="E38" s="4" t="s">
        <v>176</v>
      </c>
      <c r="F38" s="4" t="s">
        <v>177</v>
      </c>
      <c r="G38" s="10" t="n">
        <f aca="false">IF(OR(F38="Component",F38="Derived component"),D38/(SUMIFS($D$5:$D$300,$A$5:$A$300,A38,$B$5:$B$300,B38,$F$5:$F$300,"Component")+SUMIFS($D$5:$D$300,$A$5:$A$300,A38,$B$5:$B$300,B38,$F$5:$F$300,"Derived component")),"")</f>
        <v>0.0671388101983003</v>
      </c>
      <c r="H38" s="4" t="s">
        <v>228</v>
      </c>
    </row>
    <row r="39" customFormat="false" ht="23.85" hidden="false" customHeight="false" outlineLevel="0" collapsed="false">
      <c r="A39" s="4" t="s">
        <v>60</v>
      </c>
      <c r="B39" s="4" t="s">
        <v>226</v>
      </c>
      <c r="C39" s="4" t="s">
        <v>232</v>
      </c>
      <c r="D39" s="9" t="n">
        <v>367</v>
      </c>
      <c r="E39" s="4" t="s">
        <v>176</v>
      </c>
      <c r="F39" s="4" t="s">
        <v>177</v>
      </c>
      <c r="G39" s="10" t="n">
        <f aca="false">IF(OR(F39="Component",F39="Derived component"),D39/(SUMIFS($D$5:$D$300,$A$5:$A$300,A39,$B$5:$B$300,B39,$F$5:$F$300,"Component")+SUMIFS($D$5:$D$300,$A$5:$A$300,A39,$B$5:$B$300,B39,$F$5:$F$300,"Derived component")),"")</f>
        <v>0.0519830028328612</v>
      </c>
      <c r="H39" s="4" t="s">
        <v>228</v>
      </c>
    </row>
    <row r="40" customFormat="false" ht="23.85" hidden="false" customHeight="false" outlineLevel="0" collapsed="false">
      <c r="A40" s="4" t="s">
        <v>60</v>
      </c>
      <c r="B40" s="4" t="s">
        <v>226</v>
      </c>
      <c r="C40" s="4" t="s">
        <v>233</v>
      </c>
      <c r="D40" s="9" t="n">
        <v>22</v>
      </c>
      <c r="E40" s="4" t="s">
        <v>176</v>
      </c>
      <c r="F40" s="4" t="s">
        <v>177</v>
      </c>
      <c r="G40" s="10" t="n">
        <f aca="false">IF(OR(F40="Component",F40="Derived component"),D40/(SUMIFS($D$5:$D$300,$A$5:$A$300,A40,$B$5:$B$300,B40,$F$5:$F$300,"Component")+SUMIFS($D$5:$D$300,$A$5:$A$300,A40,$B$5:$B$300,B40,$F$5:$F$300,"Derived component")),"")</f>
        <v>0.00311614730878187</v>
      </c>
      <c r="H40" s="4" t="s">
        <v>228</v>
      </c>
    </row>
    <row r="41" customFormat="false" ht="15" hidden="false" customHeight="false" outlineLevel="0" collapsed="false">
      <c r="A41" s="14" t="s">
        <v>60</v>
      </c>
      <c r="B41" s="14" t="s">
        <v>226</v>
      </c>
      <c r="C41" s="14" t="s">
        <v>234</v>
      </c>
      <c r="D41" s="15" t="n">
        <f aca="false">D42-D35-D36-D37-D38-D39-D40</f>
        <v>2957</v>
      </c>
      <c r="E41" s="14" t="s">
        <v>176</v>
      </c>
      <c r="F41" s="14" t="s">
        <v>202</v>
      </c>
      <c r="G41" s="16" t="n">
        <f aca="false">IF(OR(F41="Component",F41="Derived component"),D41/(SUMIFS($D$5:$D$300,$A$5:$A$300,A41,$B$5:$B$300,B41,$F$5:$F$300,"Component")+SUMIFS($D$5:$D$300,$A$5:$A$300,A41,$B$5:$B$300,B41,$F$5:$F$300,"Derived component")),"")</f>
        <v>0.418838526912181</v>
      </c>
      <c r="H41" s="14" t="s">
        <v>203</v>
      </c>
    </row>
    <row r="42" customFormat="false" ht="23.85" hidden="false" customHeight="false" outlineLevel="0" collapsed="false">
      <c r="A42" s="11" t="s">
        <v>60</v>
      </c>
      <c r="B42" s="11" t="s">
        <v>226</v>
      </c>
      <c r="C42" s="11" t="s">
        <v>225</v>
      </c>
      <c r="D42" s="12" t="n">
        <v>7060</v>
      </c>
      <c r="E42" s="11" t="s">
        <v>176</v>
      </c>
      <c r="F42" s="11" t="s">
        <v>184</v>
      </c>
      <c r="G42" s="13" t="str">
        <f aca="false">IF(OR(F42="Component",F42="Derived component"),D42/(SUMIFS($D$5:$D$300,$A$5:$A$300,A42,$B$5:$B$300,B42,$F$5:$F$300,"Component")+SUMIFS($D$5:$D$300,$A$5:$A$300,A42,$B$5:$B$300,B42,$F$5:$F$300,"Derived component")),"")</f>
        <v/>
      </c>
      <c r="H42" s="11" t="s">
        <v>228</v>
      </c>
    </row>
    <row r="43" customFormat="false" ht="23.85" hidden="false" customHeight="false" outlineLevel="0" collapsed="false">
      <c r="A43" s="4" t="s">
        <v>60</v>
      </c>
      <c r="B43" s="4" t="s">
        <v>235</v>
      </c>
      <c r="C43" s="4" t="s">
        <v>236</v>
      </c>
      <c r="D43" s="9" t="n">
        <v>61400</v>
      </c>
      <c r="E43" s="4" t="s">
        <v>176</v>
      </c>
      <c r="F43" s="4" t="s">
        <v>187</v>
      </c>
      <c r="G43" s="10" t="str">
        <f aca="false">IF(OR(F43="Component",F43="Derived component"),D43/(SUMIFS($D$5:$D$300,$A$5:$A$300,A43,$B$5:$B$300,B43,$F$5:$F$300,"Component")+SUMIFS($D$5:$D$300,$A$5:$A$300,A43,$B$5:$B$300,B43,$F$5:$F$300,"Derived component")),"")</f>
        <v/>
      </c>
      <c r="H43" s="4" t="s">
        <v>228</v>
      </c>
    </row>
    <row r="44" customFormat="false" ht="23.85" hidden="false" customHeight="false" outlineLevel="0" collapsed="false">
      <c r="A44" s="4" t="s">
        <v>60</v>
      </c>
      <c r="B44" s="4" t="s">
        <v>235</v>
      </c>
      <c r="C44" s="4" t="s">
        <v>237</v>
      </c>
      <c r="D44" s="9" t="n">
        <v>18330</v>
      </c>
      <c r="E44" s="4" t="s">
        <v>176</v>
      </c>
      <c r="F44" s="4" t="s">
        <v>187</v>
      </c>
      <c r="G44" s="10" t="str">
        <f aca="false">IF(OR(F44="Component",F44="Derived component"),D44/(SUMIFS($D$5:$D$300,$A$5:$A$300,A44,$B$5:$B$300,B44,$F$5:$F$300,"Component")+SUMIFS($D$5:$D$300,$A$5:$A$300,A44,$B$5:$B$300,B44,$F$5:$F$300,"Derived component")),"")</f>
        <v/>
      </c>
      <c r="H44" s="4" t="s">
        <v>228</v>
      </c>
    </row>
    <row r="45" customFormat="false" ht="23.85" hidden="false" customHeight="false" outlineLevel="0" collapsed="false">
      <c r="A45" s="4" t="s">
        <v>60</v>
      </c>
      <c r="B45" s="4" t="s">
        <v>235</v>
      </c>
      <c r="C45" s="4" t="s">
        <v>238</v>
      </c>
      <c r="D45" s="9" t="n">
        <v>6260</v>
      </c>
      <c r="E45" s="4" t="s">
        <v>176</v>
      </c>
      <c r="F45" s="4" t="s">
        <v>187</v>
      </c>
      <c r="G45" s="10" t="str">
        <f aca="false">IF(OR(F45="Component",F45="Derived component"),D45/(SUMIFS($D$5:$D$300,$A$5:$A$300,A45,$B$5:$B$300,B45,$F$5:$F$300,"Component")+SUMIFS($D$5:$D$300,$A$5:$A$300,A45,$B$5:$B$300,B45,$F$5:$F$300,"Derived component")),"")</f>
        <v/>
      </c>
      <c r="H45" s="4" t="s">
        <v>228</v>
      </c>
    </row>
    <row r="46" customFormat="false" ht="15" hidden="false" customHeight="false" outlineLevel="0" collapsed="false">
      <c r="A46" s="4" t="s">
        <v>60</v>
      </c>
      <c r="B46" s="4" t="s">
        <v>235</v>
      </c>
      <c r="C46" s="4" t="s">
        <v>239</v>
      </c>
      <c r="D46" s="9" t="n">
        <v>868</v>
      </c>
      <c r="E46" s="4" t="s">
        <v>176</v>
      </c>
      <c r="F46" s="4" t="s">
        <v>187</v>
      </c>
      <c r="G46" s="10" t="str">
        <f aca="false">IF(OR(F46="Component",F46="Derived component"),D46/(SUMIFS($D$5:$D$300,$A$5:$A$300,A46,$B$5:$B$300,B46,$F$5:$F$300,"Component")+SUMIFS($D$5:$D$300,$A$5:$A$300,A46,$B$5:$B$300,B46,$F$5:$F$300,"Derived component")),"")</f>
        <v/>
      </c>
      <c r="H46" s="4" t="s">
        <v>240</v>
      </c>
    </row>
    <row r="47" customFormat="false" ht="15" hidden="false" customHeight="false" outlineLevel="0" collapsed="false">
      <c r="A47" s="4" t="s">
        <v>68</v>
      </c>
      <c r="B47" s="4" t="s">
        <v>185</v>
      </c>
      <c r="C47" s="4" t="s">
        <v>241</v>
      </c>
      <c r="D47" s="9" t="n">
        <v>43960</v>
      </c>
      <c r="E47" s="4" t="s">
        <v>176</v>
      </c>
      <c r="F47" s="4" t="s">
        <v>187</v>
      </c>
      <c r="G47" s="10" t="str">
        <f aca="false">IF(OR(F47="Component",F47="Derived component"),D47/(SUMIFS($D$5:$D$300,$A$5:$A$300,A47,$B$5:$B$300,B47,$F$5:$F$300,"Component")+SUMIFS($D$5:$D$300,$A$5:$A$300,A47,$B$5:$B$300,B47,$F$5:$F$300,"Derived component")),"")</f>
        <v/>
      </c>
      <c r="H47" s="4" t="s">
        <v>242</v>
      </c>
    </row>
    <row r="48" customFormat="false" ht="15" hidden="false" customHeight="false" outlineLevel="0" collapsed="false">
      <c r="A48" s="4" t="s">
        <v>68</v>
      </c>
      <c r="B48" s="4" t="s">
        <v>185</v>
      </c>
      <c r="C48" s="4" t="s">
        <v>243</v>
      </c>
      <c r="D48" s="9" t="n">
        <v>36920</v>
      </c>
      <c r="E48" s="4" t="s">
        <v>176</v>
      </c>
      <c r="F48" s="4" t="s">
        <v>187</v>
      </c>
      <c r="G48" s="10" t="str">
        <f aca="false">IF(OR(F48="Component",F48="Derived component"),D48/(SUMIFS($D$5:$D$300,$A$5:$A$300,A48,$B$5:$B$300,B48,$F$5:$F$300,"Component")+SUMIFS($D$5:$D$300,$A$5:$A$300,A48,$B$5:$B$300,B48,$F$5:$F$300,"Derived component")),"")</f>
        <v/>
      </c>
      <c r="H48" s="4" t="s">
        <v>242</v>
      </c>
    </row>
    <row r="49" customFormat="false" ht="15" hidden="false" customHeight="false" outlineLevel="0" collapsed="false">
      <c r="A49" s="4" t="s">
        <v>68</v>
      </c>
      <c r="B49" s="4" t="s">
        <v>185</v>
      </c>
      <c r="C49" s="4" t="s">
        <v>244</v>
      </c>
      <c r="D49" s="9" t="n">
        <v>5260</v>
      </c>
      <c r="E49" s="4" t="s">
        <v>176</v>
      </c>
      <c r="F49" s="4" t="s">
        <v>187</v>
      </c>
      <c r="G49" s="10" t="str">
        <f aca="false">IF(OR(F49="Component",F49="Derived component"),D49/(SUMIFS($D$5:$D$300,$A$5:$A$300,A49,$B$5:$B$300,B49,$F$5:$F$300,"Component")+SUMIFS($D$5:$D$300,$A$5:$A$300,A49,$B$5:$B$300,B49,$F$5:$F$300,"Derived component")),"")</f>
        <v/>
      </c>
      <c r="H49" s="4" t="s">
        <v>242</v>
      </c>
    </row>
    <row r="50" customFormat="false" ht="15" hidden="false" customHeight="false" outlineLevel="0" collapsed="false">
      <c r="A50" s="4" t="s">
        <v>68</v>
      </c>
      <c r="B50" s="4" t="s">
        <v>185</v>
      </c>
      <c r="C50" s="4" t="s">
        <v>245</v>
      </c>
      <c r="D50" s="9" t="n">
        <v>5800</v>
      </c>
      <c r="E50" s="4" t="s">
        <v>176</v>
      </c>
      <c r="F50" s="4" t="s">
        <v>187</v>
      </c>
      <c r="G50" s="10" t="str">
        <f aca="false">IF(OR(F50="Component",F50="Derived component"),D50/(SUMIFS($D$5:$D$300,$A$5:$A$300,A50,$B$5:$B$300,B50,$F$5:$F$300,"Component")+SUMIFS($D$5:$D$300,$A$5:$A$300,A50,$B$5:$B$300,B50,$F$5:$F$300,"Derived component")),"")</f>
        <v/>
      </c>
      <c r="H50" s="4" t="s">
        <v>242</v>
      </c>
    </row>
    <row r="51" customFormat="false" ht="15" hidden="false" customHeight="false" outlineLevel="0" collapsed="false">
      <c r="A51" s="4" t="s">
        <v>68</v>
      </c>
      <c r="B51" s="4" t="s">
        <v>185</v>
      </c>
      <c r="C51" s="4" t="s">
        <v>246</v>
      </c>
      <c r="D51" s="9" t="n">
        <v>4060</v>
      </c>
      <c r="E51" s="4" t="s">
        <v>176</v>
      </c>
      <c r="F51" s="4" t="s">
        <v>187</v>
      </c>
      <c r="G51" s="10" t="str">
        <f aca="false">IF(OR(F51="Component",F51="Derived component"),D51/(SUMIFS($D$5:$D$300,$A$5:$A$300,A51,$B$5:$B$300,B51,$F$5:$F$300,"Component")+SUMIFS($D$5:$D$300,$A$5:$A$300,A51,$B$5:$B$300,B51,$F$5:$F$300,"Derived component")),"")</f>
        <v/>
      </c>
      <c r="H51" s="4" t="s">
        <v>242</v>
      </c>
    </row>
    <row r="52" customFormat="false" ht="23.85" hidden="false" customHeight="false" outlineLevel="0" collapsed="false">
      <c r="A52" s="4" t="s">
        <v>68</v>
      </c>
      <c r="B52" s="4" t="s">
        <v>185</v>
      </c>
      <c r="C52" s="4" t="s">
        <v>247</v>
      </c>
      <c r="D52" s="9" t="n">
        <v>6800</v>
      </c>
      <c r="E52" s="4" t="s">
        <v>176</v>
      </c>
      <c r="F52" s="4" t="s">
        <v>187</v>
      </c>
      <c r="G52" s="10" t="str">
        <f aca="false">IF(OR(F52="Component",F52="Derived component"),D52/(SUMIFS($D$5:$D$300,$A$5:$A$300,A52,$B$5:$B$300,B52,$F$5:$F$300,"Component")+SUMIFS($D$5:$D$300,$A$5:$A$300,A52,$B$5:$B$300,B52,$F$5:$F$300,"Derived component")),"")</f>
        <v/>
      </c>
      <c r="H52" s="4" t="s">
        <v>242</v>
      </c>
    </row>
    <row r="53" customFormat="false" ht="15" hidden="false" customHeight="false" outlineLevel="0" collapsed="false">
      <c r="A53" s="4" t="s">
        <v>68</v>
      </c>
      <c r="B53" s="4" t="s">
        <v>185</v>
      </c>
      <c r="C53" s="4" t="s">
        <v>248</v>
      </c>
      <c r="D53" s="9" t="n">
        <v>56127</v>
      </c>
      <c r="E53" s="4" t="s">
        <v>176</v>
      </c>
      <c r="F53" s="4" t="s">
        <v>187</v>
      </c>
      <c r="G53" s="10" t="str">
        <f aca="false">IF(OR(F53="Component",F53="Derived component"),D53/(SUMIFS($D$5:$D$300,$A$5:$A$300,A53,$B$5:$B$300,B53,$F$5:$F$300,"Component")+SUMIFS($D$5:$D$300,$A$5:$A$300,A53,$B$5:$B$300,B53,$F$5:$F$300,"Derived component")),"")</f>
        <v/>
      </c>
      <c r="H53" s="4" t="s">
        <v>249</v>
      </c>
    </row>
    <row r="54" customFormat="false" ht="15" hidden="false" customHeight="false" outlineLevel="0" collapsed="false">
      <c r="A54" s="4" t="s">
        <v>68</v>
      </c>
      <c r="B54" s="4" t="s">
        <v>250</v>
      </c>
      <c r="C54" s="4" t="s">
        <v>251</v>
      </c>
      <c r="D54" s="17" t="n">
        <v>0.887</v>
      </c>
      <c r="E54" s="4" t="s">
        <v>252</v>
      </c>
      <c r="F54" s="4" t="s">
        <v>187</v>
      </c>
      <c r="G54" s="10" t="str">
        <f aca="false">IF(OR(F54="Component",F54="Derived component"),D54/(SUMIFS($D$5:$D$300,$A$5:$A$300,A54,$B$5:$B$300,B54,$F$5:$F$300,"Component")+SUMIFS($D$5:$D$300,$A$5:$A$300,A54,$B$5:$B$300,B54,$F$5:$F$300,"Derived component")),"")</f>
        <v/>
      </c>
      <c r="H54" s="4" t="s">
        <v>242</v>
      </c>
    </row>
    <row r="55" customFormat="false" ht="15" hidden="false" customHeight="false" outlineLevel="0" collapsed="false">
      <c r="A55" s="4" t="s">
        <v>68</v>
      </c>
      <c r="B55" s="4" t="s">
        <v>250</v>
      </c>
      <c r="C55" s="4" t="s">
        <v>253</v>
      </c>
      <c r="D55" s="17" t="n">
        <v>0.113</v>
      </c>
      <c r="E55" s="4" t="s">
        <v>252</v>
      </c>
      <c r="F55" s="4" t="s">
        <v>187</v>
      </c>
      <c r="G55" s="10" t="str">
        <f aca="false">IF(OR(F55="Component",F55="Derived component"),D55/(SUMIFS($D$5:$D$300,$A$5:$A$300,A55,$B$5:$B$300,B55,$F$5:$F$300,"Component")+SUMIFS($D$5:$D$300,$A$5:$A$300,A55,$B$5:$B$300,B55,$F$5:$F$300,"Derived component")),"")</f>
        <v/>
      </c>
      <c r="H55" s="4" t="s">
        <v>242</v>
      </c>
    </row>
    <row r="56" customFormat="false" ht="15" hidden="false" customHeight="false" outlineLevel="0" collapsed="false">
      <c r="A56" s="4" t="s">
        <v>68</v>
      </c>
      <c r="B56" s="4" t="s">
        <v>250</v>
      </c>
      <c r="C56" s="4" t="s">
        <v>254</v>
      </c>
      <c r="D56" s="17" t="n">
        <v>0.81</v>
      </c>
      <c r="E56" s="4" t="s">
        <v>252</v>
      </c>
      <c r="F56" s="4" t="s">
        <v>187</v>
      </c>
      <c r="G56" s="10" t="str">
        <f aca="false">IF(OR(F56="Component",F56="Derived component"),D56/(SUMIFS($D$5:$D$300,$A$5:$A$300,A56,$B$5:$B$300,B56,$F$5:$F$300,"Component")+SUMIFS($D$5:$D$300,$A$5:$A$300,A56,$B$5:$B$300,B56,$F$5:$F$300,"Derived component")),"")</f>
        <v/>
      </c>
      <c r="H56" s="4" t="s">
        <v>242</v>
      </c>
    </row>
    <row r="57" customFormat="false" ht="15" hidden="false" customHeight="false" outlineLevel="0" collapsed="false">
      <c r="A57" s="4" t="s">
        <v>76</v>
      </c>
      <c r="B57" s="4" t="s">
        <v>255</v>
      </c>
      <c r="C57" s="4" t="s">
        <v>256</v>
      </c>
      <c r="D57" s="9" t="n">
        <v>25240</v>
      </c>
      <c r="E57" s="4" t="s">
        <v>176</v>
      </c>
      <c r="F57" s="4" t="s">
        <v>177</v>
      </c>
      <c r="G57" s="10" t="n">
        <f aca="false">IF(OR(F57="Component",F57="Derived component"),D57/(SUMIFS($D$5:$D$300,$A$5:$A$300,A57,$B$5:$B$300,B57,$F$5:$F$300,"Component")+SUMIFS($D$5:$D$300,$A$5:$A$300,A57,$B$5:$B$300,B57,$F$5:$F$300,"Derived component")),"")</f>
        <v>0.608339358881658</v>
      </c>
      <c r="H57" s="4" t="s">
        <v>257</v>
      </c>
    </row>
    <row r="58" customFormat="false" ht="15" hidden="false" customHeight="false" outlineLevel="0" collapsed="false">
      <c r="A58" s="4" t="s">
        <v>76</v>
      </c>
      <c r="B58" s="4" t="s">
        <v>255</v>
      </c>
      <c r="C58" s="4" t="s">
        <v>258</v>
      </c>
      <c r="D58" s="9" t="n">
        <v>14360</v>
      </c>
      <c r="E58" s="4" t="s">
        <v>176</v>
      </c>
      <c r="F58" s="4" t="s">
        <v>177</v>
      </c>
      <c r="G58" s="10" t="n">
        <f aca="false">IF(OR(F58="Component",F58="Derived component"),D58/(SUMIFS($D$5:$D$300,$A$5:$A$300,A58,$B$5:$B$300,B58,$F$5:$F$300,"Component")+SUMIFS($D$5:$D$300,$A$5:$A$300,A58,$B$5:$B$300,B58,$F$5:$F$300,"Derived component")),"")</f>
        <v>0.346107495782116</v>
      </c>
      <c r="H58" s="4" t="s">
        <v>257</v>
      </c>
    </row>
    <row r="59" customFormat="false" ht="15" hidden="false" customHeight="false" outlineLevel="0" collapsed="false">
      <c r="A59" s="4" t="s">
        <v>76</v>
      </c>
      <c r="B59" s="4" t="s">
        <v>255</v>
      </c>
      <c r="C59" s="4" t="s">
        <v>259</v>
      </c>
      <c r="D59" s="9" t="n">
        <v>521</v>
      </c>
      <c r="E59" s="4" t="s">
        <v>176</v>
      </c>
      <c r="F59" s="4" t="s">
        <v>177</v>
      </c>
      <c r="G59" s="10" t="n">
        <f aca="false">IF(OR(F59="Component",F59="Derived component"),D59/(SUMIFS($D$5:$D$300,$A$5:$A$300,A59,$B$5:$B$300,B59,$F$5:$F$300,"Component")+SUMIFS($D$5:$D$300,$A$5:$A$300,A59,$B$5:$B$300,B59,$F$5:$F$300,"Derived component")),"")</f>
        <v>0.0125572427090865</v>
      </c>
      <c r="H59" s="4" t="s">
        <v>257</v>
      </c>
    </row>
    <row r="60" customFormat="false" ht="15" hidden="false" customHeight="false" outlineLevel="0" collapsed="false">
      <c r="A60" s="14" t="s">
        <v>76</v>
      </c>
      <c r="B60" s="14" t="s">
        <v>255</v>
      </c>
      <c r="C60" s="14" t="s">
        <v>260</v>
      </c>
      <c r="D60" s="15" t="n">
        <f aca="false">D61-D57-D58-D59</f>
        <v>1369</v>
      </c>
      <c r="E60" s="14" t="s">
        <v>176</v>
      </c>
      <c r="F60" s="14" t="s">
        <v>202</v>
      </c>
      <c r="G60" s="16" t="n">
        <f aca="false">IF(OR(F60="Component",F60="Derived component"),D60/(SUMIFS($D$5:$D$300,$A$5:$A$300,A60,$B$5:$B$300,B60,$F$5:$F$300,"Component")+SUMIFS($D$5:$D$300,$A$5:$A$300,A60,$B$5:$B$300,B60,$F$5:$F$300,"Derived component")),"")</f>
        <v>0.0329959026271391</v>
      </c>
      <c r="H60" s="14" t="s">
        <v>261</v>
      </c>
    </row>
    <row r="61" customFormat="false" ht="15" hidden="false" customHeight="false" outlineLevel="0" collapsed="false">
      <c r="A61" s="11" t="s">
        <v>76</v>
      </c>
      <c r="B61" s="11" t="s">
        <v>255</v>
      </c>
      <c r="C61" s="11" t="s">
        <v>248</v>
      </c>
      <c r="D61" s="12" t="n">
        <v>41490</v>
      </c>
      <c r="E61" s="11" t="s">
        <v>176</v>
      </c>
      <c r="F61" s="11" t="s">
        <v>184</v>
      </c>
      <c r="G61" s="13" t="str">
        <f aca="false">IF(OR(F61="Component",F61="Derived component"),D61/(SUMIFS($D$5:$D$300,$A$5:$A$300,A61,$B$5:$B$300,B61,$F$5:$F$300,"Component")+SUMIFS($D$5:$D$300,$A$5:$A$300,A61,$B$5:$B$300,B61,$F$5:$F$300,"Derived component")),"")</f>
        <v/>
      </c>
      <c r="H61" s="11" t="s">
        <v>257</v>
      </c>
    </row>
    <row r="62" customFormat="false" ht="15" hidden="false" customHeight="false" outlineLevel="0" collapsed="false">
      <c r="A62" s="4" t="s">
        <v>76</v>
      </c>
      <c r="B62" s="4" t="s">
        <v>221</v>
      </c>
      <c r="C62" s="4" t="s">
        <v>262</v>
      </c>
      <c r="D62" s="9" t="n">
        <v>6180</v>
      </c>
      <c r="E62" s="4" t="s">
        <v>176</v>
      </c>
      <c r="F62" s="4" t="s">
        <v>187</v>
      </c>
      <c r="G62" s="10" t="str">
        <f aca="false">IF(OR(F62="Component",F62="Derived component"),D62/(SUMIFS($D$5:$D$300,$A$5:$A$300,A62,$B$5:$B$300,B62,$F$5:$F$300,"Component")+SUMIFS($D$5:$D$300,$A$5:$A$300,A62,$B$5:$B$300,B62,$F$5:$F$300,"Derived component")),"")</f>
        <v/>
      </c>
      <c r="H62" s="4" t="s">
        <v>257</v>
      </c>
    </row>
    <row r="63" customFormat="false" ht="15" hidden="false" customHeight="false" outlineLevel="0" collapsed="false">
      <c r="A63" s="4" t="s">
        <v>76</v>
      </c>
      <c r="B63" s="4" t="s">
        <v>221</v>
      </c>
      <c r="C63" s="4" t="s">
        <v>263</v>
      </c>
      <c r="D63" s="9" t="n">
        <v>2810</v>
      </c>
      <c r="E63" s="4" t="s">
        <v>176</v>
      </c>
      <c r="F63" s="4" t="s">
        <v>187</v>
      </c>
      <c r="G63" s="10" t="str">
        <f aca="false">IF(OR(F63="Component",F63="Derived component"),D63/(SUMIFS($D$5:$D$300,$A$5:$A$300,A63,$B$5:$B$300,B63,$F$5:$F$300,"Component")+SUMIFS($D$5:$D$300,$A$5:$A$300,A63,$B$5:$B$300,B63,$F$5:$F$300,"Derived component")),"")</f>
        <v/>
      </c>
      <c r="H63" s="4" t="s">
        <v>257</v>
      </c>
    </row>
    <row r="64" customFormat="false" ht="15" hidden="false" customHeight="false" outlineLevel="0" collapsed="false">
      <c r="A64" s="4" t="s">
        <v>76</v>
      </c>
      <c r="B64" s="4" t="s">
        <v>221</v>
      </c>
      <c r="C64" s="4" t="s">
        <v>264</v>
      </c>
      <c r="D64" s="9" t="n">
        <v>-489</v>
      </c>
      <c r="E64" s="4" t="s">
        <v>176</v>
      </c>
      <c r="F64" s="4" t="s">
        <v>187</v>
      </c>
      <c r="G64" s="10" t="str">
        <f aca="false">IF(OR(F64="Component",F64="Derived component"),D64/(SUMIFS($D$5:$D$300,$A$5:$A$300,A64,$B$5:$B$300,B64,$F$5:$F$300,"Component")+SUMIFS($D$5:$D$300,$A$5:$A$300,A64,$B$5:$B$300,B64,$F$5:$F$300,"Derived component")),"")</f>
        <v/>
      </c>
      <c r="H64" s="4" t="s">
        <v>257</v>
      </c>
    </row>
    <row r="65" customFormat="false" ht="15" hidden="false" customHeight="false" outlineLevel="0" collapsed="false">
      <c r="A65" s="4" t="s">
        <v>76</v>
      </c>
      <c r="B65" s="4" t="s">
        <v>221</v>
      </c>
      <c r="C65" s="4" t="s">
        <v>265</v>
      </c>
      <c r="D65" s="9" t="n">
        <v>70</v>
      </c>
      <c r="E65" s="4" t="s">
        <v>176</v>
      </c>
      <c r="F65" s="4" t="s">
        <v>187</v>
      </c>
      <c r="G65" s="10" t="str">
        <f aca="false">IF(OR(F65="Component",F65="Derived component"),D65/(SUMIFS($D$5:$D$300,$A$5:$A$300,A65,$B$5:$B$300,B65,$F$5:$F$300,"Component")+SUMIFS($D$5:$D$300,$A$5:$A$300,A65,$B$5:$B$300,B65,$F$5:$F$300,"Derived component")),"")</f>
        <v/>
      </c>
      <c r="H65" s="4" t="s">
        <v>266</v>
      </c>
    </row>
    <row r="66" customFormat="false" ht="15" hidden="false" customHeight="false" outlineLevel="0" collapsed="false">
      <c r="A66" s="4" t="s">
        <v>267</v>
      </c>
      <c r="B66" s="4" t="s">
        <v>268</v>
      </c>
      <c r="C66" s="4" t="s">
        <v>269</v>
      </c>
      <c r="D66" s="18" t="n">
        <v>98.3</v>
      </c>
      <c r="E66" s="4" t="s">
        <v>270</v>
      </c>
      <c r="F66" s="4" t="s">
        <v>187</v>
      </c>
      <c r="G66" s="10" t="str">
        <f aca="false">IF(OR(F66="Component",F66="Derived component"),D66/(SUMIFS($D$5:$D$300,$A$5:$A$300,A66,$B$5:$B$300,B66,$F$5:$F$300,"Component")+SUMIFS($D$5:$D$300,$A$5:$A$300,A66,$B$5:$B$300,B66,$F$5:$F$300,"Derived component")),"")</f>
        <v/>
      </c>
      <c r="H66" s="4" t="s">
        <v>271</v>
      </c>
    </row>
    <row r="67" customFormat="false" ht="15" hidden="false" customHeight="false" outlineLevel="0" collapsed="false">
      <c r="A67" s="4" t="s">
        <v>267</v>
      </c>
      <c r="B67" s="4" t="s">
        <v>268</v>
      </c>
      <c r="C67" s="4" t="s">
        <v>272</v>
      </c>
      <c r="D67" s="18" t="n">
        <v>96.4</v>
      </c>
      <c r="E67" s="4" t="s">
        <v>270</v>
      </c>
      <c r="F67" s="4" t="s">
        <v>187</v>
      </c>
      <c r="G67" s="10" t="str">
        <f aca="false">IF(OR(F67="Component",F67="Derived component"),D67/(SUMIFS($D$5:$D$300,$A$5:$A$300,A67,$B$5:$B$300,B67,$F$5:$F$300,"Component")+SUMIFS($D$5:$D$300,$A$5:$A$300,A67,$B$5:$B$300,B67,$F$5:$F$300,"Derived component")),"")</f>
        <v/>
      </c>
      <c r="H67" s="4" t="s">
        <v>271</v>
      </c>
    </row>
    <row r="68" customFormat="false" ht="15" hidden="false" customHeight="false" outlineLevel="0" collapsed="false">
      <c r="A68" s="4" t="s">
        <v>267</v>
      </c>
      <c r="B68" s="4" t="s">
        <v>268</v>
      </c>
      <c r="C68" s="4" t="s">
        <v>273</v>
      </c>
      <c r="D68" s="18" t="n">
        <v>71.8</v>
      </c>
      <c r="E68" s="4" t="s">
        <v>270</v>
      </c>
      <c r="F68" s="4" t="s">
        <v>187</v>
      </c>
      <c r="G68" s="10" t="str">
        <f aca="false">IF(OR(F68="Component",F68="Derived component"),D68/(SUMIFS($D$5:$D$300,$A$5:$A$300,A68,$B$5:$B$300,B68,$F$5:$F$300,"Component")+SUMIFS($D$5:$D$300,$A$5:$A$300,A68,$B$5:$B$300,B68,$F$5:$F$300,"Derived component")),"")</f>
        <v/>
      </c>
      <c r="H68" s="4" t="s">
        <v>271</v>
      </c>
    </row>
    <row r="69" customFormat="false" ht="15" hidden="false" customHeight="false" outlineLevel="0" collapsed="false">
      <c r="A69" s="4" t="s">
        <v>267</v>
      </c>
      <c r="B69" s="4" t="s">
        <v>268</v>
      </c>
      <c r="C69" s="4" t="s">
        <v>274</v>
      </c>
      <c r="D69" s="18" t="n">
        <v>29.9</v>
      </c>
      <c r="E69" s="4" t="s">
        <v>270</v>
      </c>
      <c r="F69" s="4" t="s">
        <v>187</v>
      </c>
      <c r="G69" s="10" t="str">
        <f aca="false">IF(OR(F69="Component",F69="Derived component"),D69/(SUMIFS($D$5:$D$300,$A$5:$A$300,A69,$B$5:$B$300,B69,$F$5:$F$300,"Component")+SUMIFS($D$5:$D$300,$A$5:$A$300,A69,$B$5:$B$300,B69,$F$5:$F$300,"Derived component")),"")</f>
        <v/>
      </c>
      <c r="H69" s="4" t="s">
        <v>271</v>
      </c>
    </row>
    <row r="70" customFormat="false" ht="15" hidden="false" customHeight="false" outlineLevel="0" collapsed="false">
      <c r="A70" s="4" t="s">
        <v>267</v>
      </c>
      <c r="B70" s="4" t="s">
        <v>268</v>
      </c>
      <c r="C70" s="4" t="s">
        <v>275</v>
      </c>
      <c r="D70" s="18" t="n">
        <v>19.3</v>
      </c>
      <c r="E70" s="4" t="s">
        <v>270</v>
      </c>
      <c r="F70" s="4" t="s">
        <v>187</v>
      </c>
      <c r="G70" s="10" t="str">
        <f aca="false">IF(OR(F70="Component",F70="Derived component"),D70/(SUMIFS($D$5:$D$300,$A$5:$A$300,A70,$B$5:$B$300,B70,$F$5:$F$300,"Component")+SUMIFS($D$5:$D$300,$A$5:$A$300,A70,$B$5:$B$300,B70,$F$5:$F$300,"Derived component")),"")</f>
        <v/>
      </c>
      <c r="H70" s="4" t="s">
        <v>271</v>
      </c>
    </row>
    <row r="71" customFormat="false" ht="15" hidden="false" customHeight="false" outlineLevel="0" collapsed="false">
      <c r="A71" s="4" t="s">
        <v>267</v>
      </c>
      <c r="B71" s="4" t="s">
        <v>268</v>
      </c>
      <c r="C71" s="4" t="s">
        <v>276</v>
      </c>
      <c r="D71" s="18" t="n">
        <v>8.2</v>
      </c>
      <c r="E71" s="4" t="s">
        <v>270</v>
      </c>
      <c r="F71" s="4" t="s">
        <v>187</v>
      </c>
      <c r="G71" s="10" t="str">
        <f aca="false">IF(OR(F71="Component",F71="Derived component"),D71/(SUMIFS($D$5:$D$300,$A$5:$A$300,A71,$B$5:$B$300,B71,$F$5:$F$300,"Component")+SUMIFS($D$5:$D$300,$A$5:$A$300,A71,$B$5:$B$300,B71,$F$5:$F$300,"Derived component")),"")</f>
        <v/>
      </c>
      <c r="H71" s="4" t="s">
        <v>271</v>
      </c>
    </row>
    <row r="72" customFormat="false" ht="15" hidden="false" customHeight="false" outlineLevel="0" collapsed="false">
      <c r="A72" s="4" t="s">
        <v>267</v>
      </c>
      <c r="B72" s="4" t="s">
        <v>277</v>
      </c>
      <c r="C72" s="4" t="s">
        <v>278</v>
      </c>
      <c r="D72" s="18" t="n">
        <v>5.46</v>
      </c>
      <c r="E72" s="4" t="s">
        <v>270</v>
      </c>
      <c r="F72" s="4" t="s">
        <v>187</v>
      </c>
      <c r="G72" s="10" t="str">
        <f aca="false">IF(OR(F72="Component",F72="Derived component"),D72/(SUMIFS($D$5:$D$300,$A$5:$A$300,A72,$B$5:$B$300,B72,$F$5:$F$300,"Component")+SUMIFS($D$5:$D$300,$A$5:$A$300,A72,$B$5:$B$300,B72,$F$5:$F$300,"Derived component")),"")</f>
        <v/>
      </c>
      <c r="H72" s="4" t="s">
        <v>279</v>
      </c>
    </row>
    <row r="73" customFormat="false" ht="15" hidden="false" customHeight="false" outlineLevel="0" collapsed="false">
      <c r="A73" s="4" t="s">
        <v>267</v>
      </c>
      <c r="B73" s="4" t="s">
        <v>277</v>
      </c>
      <c r="C73" s="4" t="s">
        <v>280</v>
      </c>
      <c r="D73" s="18" t="n">
        <v>7.8</v>
      </c>
      <c r="E73" s="4" t="s">
        <v>270</v>
      </c>
      <c r="F73" s="4" t="s">
        <v>187</v>
      </c>
      <c r="G73" s="10" t="str">
        <f aca="false">IF(OR(F73="Component",F73="Derived component"),D73/(SUMIFS($D$5:$D$300,$A$5:$A$300,A73,$B$5:$B$300,B73,$F$5:$F$300,"Component")+SUMIFS($D$5:$D$300,$A$5:$A$300,A73,$B$5:$B$300,B73,$F$5:$F$300,"Derived component")),"")</f>
        <v/>
      </c>
      <c r="H73" s="4" t="s">
        <v>281</v>
      </c>
    </row>
    <row r="74" customFormat="false" ht="15" hidden="false" customHeight="false" outlineLevel="0" collapsed="false">
      <c r="A74" s="4" t="s">
        <v>267</v>
      </c>
      <c r="B74" s="4" t="s">
        <v>277</v>
      </c>
      <c r="C74" s="4" t="s">
        <v>282</v>
      </c>
      <c r="D74" s="18" t="n">
        <v>7.1</v>
      </c>
      <c r="E74" s="4" t="s">
        <v>270</v>
      </c>
      <c r="F74" s="4" t="s">
        <v>187</v>
      </c>
      <c r="G74" s="10" t="str">
        <f aca="false">IF(OR(F74="Component",F74="Derived component"),D74/(SUMIFS($D$5:$D$300,$A$5:$A$300,A74,$B$5:$B$300,B74,$F$5:$F$300,"Component")+SUMIFS($D$5:$D$300,$A$5:$A$300,A74,$B$5:$B$300,B74,$F$5:$F$300,"Derived component")),"")</f>
        <v/>
      </c>
      <c r="H74" s="4" t="s">
        <v>271</v>
      </c>
    </row>
    <row r="75" customFormat="false" ht="15" hidden="false" customHeight="false" outlineLevel="0" collapsed="false">
      <c r="A75" s="4" t="s">
        <v>267</v>
      </c>
      <c r="B75" s="4" t="s">
        <v>277</v>
      </c>
      <c r="C75" s="4" t="s">
        <v>283</v>
      </c>
      <c r="D75" s="18" t="n">
        <v>10</v>
      </c>
      <c r="E75" s="4" t="s">
        <v>270</v>
      </c>
      <c r="F75" s="4" t="s">
        <v>187</v>
      </c>
      <c r="G75" s="10" t="str">
        <f aca="false">IF(OR(F75="Component",F75="Derived component"),D75/(SUMIFS($D$5:$D$300,$A$5:$A$300,A75,$B$5:$B$300,B75,$F$5:$F$300,"Component")+SUMIFS($D$5:$D$300,$A$5:$A$300,A75,$B$5:$B$300,B75,$F$5:$F$300,"Derived component")),"")</f>
        <v/>
      </c>
      <c r="H75" s="4" t="s">
        <v>284</v>
      </c>
    </row>
    <row r="76" customFormat="false" ht="15" hidden="false" customHeight="false" outlineLevel="0" collapsed="false">
      <c r="A76" s="4" t="s">
        <v>267</v>
      </c>
      <c r="B76" s="4" t="s">
        <v>277</v>
      </c>
      <c r="C76" s="4" t="s">
        <v>285</v>
      </c>
      <c r="D76" s="18" t="n">
        <v>15</v>
      </c>
      <c r="E76" s="4" t="s">
        <v>270</v>
      </c>
      <c r="F76" s="4" t="s">
        <v>187</v>
      </c>
      <c r="G76" s="10" t="str">
        <f aca="false">IF(OR(F76="Component",F76="Derived component"),D76/(SUMIFS($D$5:$D$300,$A$5:$A$300,A76,$B$5:$B$300,B76,$F$5:$F$300,"Component")+SUMIFS($D$5:$D$300,$A$5:$A$300,A76,$B$5:$B$300,B76,$F$5:$F$300,"Derived component")),"")</f>
        <v/>
      </c>
      <c r="H76" s="4" t="s">
        <v>284</v>
      </c>
    </row>
    <row r="77" customFormat="false" ht="15" hidden="false" customHeight="false" outlineLevel="0" collapsed="false">
      <c r="A77" s="4" t="s">
        <v>267</v>
      </c>
      <c r="B77" s="4" t="s">
        <v>277</v>
      </c>
      <c r="C77" s="4" t="s">
        <v>286</v>
      </c>
      <c r="D77" s="18" t="n">
        <v>35</v>
      </c>
      <c r="E77" s="4" t="s">
        <v>270</v>
      </c>
      <c r="F77" s="4" t="s">
        <v>187</v>
      </c>
      <c r="G77" s="10" t="str">
        <f aca="false">IF(OR(F77="Component",F77="Derived component"),D77/(SUMIFS($D$5:$D$300,$A$5:$A$300,A77,$B$5:$B$300,B77,$F$5:$F$300,"Component")+SUMIFS($D$5:$D$300,$A$5:$A$300,A77,$B$5:$B$300,B77,$F$5:$F$300,"Derived component")),"")</f>
        <v/>
      </c>
      <c r="H77" s="4" t="s">
        <v>284</v>
      </c>
    </row>
    <row r="78" customFormat="false" ht="15" hidden="false" customHeight="false" outlineLevel="0" collapsed="false">
      <c r="A78" s="4" t="s">
        <v>136</v>
      </c>
      <c r="B78" s="4" t="s">
        <v>287</v>
      </c>
      <c r="C78" s="4" t="s">
        <v>288</v>
      </c>
      <c r="D78" s="9" t="n">
        <v>4027</v>
      </c>
      <c r="E78" s="4" t="s">
        <v>289</v>
      </c>
      <c r="F78" s="4" t="s">
        <v>177</v>
      </c>
      <c r="G78" s="10" t="n">
        <f aca="false">IF(OR(F78="Component",F78="Derived component"),D78/(SUMIFS($D$5:$D$300,$A$5:$A$300,A78,$B$5:$B$300,B78,$F$5:$F$300,"Component")+SUMIFS($D$5:$D$300,$A$5:$A$300,A78,$B$5:$B$300,B78,$F$5:$F$300,"Derived component")),"")</f>
        <v>0.510910936310581</v>
      </c>
      <c r="H78" s="4" t="s">
        <v>290</v>
      </c>
    </row>
    <row r="79" customFormat="false" ht="15" hidden="false" customHeight="false" outlineLevel="0" collapsed="false">
      <c r="A79" s="4" t="s">
        <v>136</v>
      </c>
      <c r="B79" s="4" t="s">
        <v>287</v>
      </c>
      <c r="C79" s="4" t="s">
        <v>291</v>
      </c>
      <c r="D79" s="9" t="n">
        <v>3855</v>
      </c>
      <c r="E79" s="4" t="s">
        <v>289</v>
      </c>
      <c r="F79" s="4" t="s">
        <v>177</v>
      </c>
      <c r="G79" s="10" t="n">
        <f aca="false">IF(OR(F79="Component",F79="Derived component"),D79/(SUMIFS($D$5:$D$300,$A$5:$A$300,A79,$B$5:$B$300,B79,$F$5:$F$300,"Component")+SUMIFS($D$5:$D$300,$A$5:$A$300,A79,$B$5:$B$300,B79,$F$5:$F$300,"Derived component")),"")</f>
        <v>0.489089063689419</v>
      </c>
      <c r="H79" s="4" t="s">
        <v>290</v>
      </c>
    </row>
    <row r="80" customFormat="false" ht="15" hidden="false" customHeight="false" outlineLevel="0" collapsed="false">
      <c r="A80" s="11" t="s">
        <v>136</v>
      </c>
      <c r="B80" s="11" t="s">
        <v>287</v>
      </c>
      <c r="C80" s="11" t="s">
        <v>292</v>
      </c>
      <c r="D80" s="12" t="n">
        <v>7882</v>
      </c>
      <c r="E80" s="11" t="s">
        <v>289</v>
      </c>
      <c r="F80" s="11" t="s">
        <v>184</v>
      </c>
      <c r="G80" s="13" t="str">
        <f aca="false">IF(OR(F80="Component",F80="Derived component"),D80/(SUMIFS($D$5:$D$300,$A$5:$A$300,A80,$B$5:$B$300,B80,$F$5:$F$300,"Component")+SUMIFS($D$5:$D$300,$A$5:$A$300,A80,$B$5:$B$300,B80,$F$5:$F$300,"Derived component")),"")</f>
        <v/>
      </c>
      <c r="H80" s="11" t="s">
        <v>290</v>
      </c>
    </row>
    <row r="81" customFormat="false" ht="15" hidden="false" customHeight="false" outlineLevel="0" collapsed="false">
      <c r="A81" s="4" t="s">
        <v>136</v>
      </c>
      <c r="B81" s="4" t="s">
        <v>293</v>
      </c>
      <c r="C81" s="4" t="s">
        <v>294</v>
      </c>
      <c r="D81" s="9" t="n">
        <v>15226</v>
      </c>
      <c r="E81" s="4" t="s">
        <v>289</v>
      </c>
      <c r="F81" s="4" t="s">
        <v>187</v>
      </c>
      <c r="G81" s="10" t="str">
        <f aca="false">IF(OR(F81="Component",F81="Derived component"),D81/(SUMIFS($D$5:$D$300,$A$5:$A$300,A81,$B$5:$B$300,B81,$F$5:$F$300,"Component")+SUMIFS($D$5:$D$300,$A$5:$A$300,A81,$B$5:$B$300,B81,$F$5:$F$300,"Derived component")),"")</f>
        <v/>
      </c>
      <c r="H81" s="4" t="s">
        <v>295</v>
      </c>
    </row>
    <row r="82" customFormat="false" ht="15" hidden="false" customHeight="false" outlineLevel="0" collapsed="false">
      <c r="A82" s="4" t="s">
        <v>136</v>
      </c>
      <c r="B82" s="4" t="s">
        <v>293</v>
      </c>
      <c r="C82" s="4" t="s">
        <v>296</v>
      </c>
      <c r="D82" s="9" t="n">
        <v>66000</v>
      </c>
      <c r="E82" s="4" t="s">
        <v>289</v>
      </c>
      <c r="F82" s="4" t="s">
        <v>187</v>
      </c>
      <c r="G82" s="10" t="str">
        <f aca="false">IF(OR(F82="Component",F82="Derived component"),D82/(SUMIFS($D$5:$D$300,$A$5:$A$300,A82,$B$5:$B$300,B82,$F$5:$F$300,"Component")+SUMIFS($D$5:$D$300,$A$5:$A$300,A82,$B$5:$B$300,B82,$F$5:$F$300,"Derived component")),"")</f>
        <v/>
      </c>
      <c r="H82" s="4" t="s">
        <v>290</v>
      </c>
    </row>
    <row r="83" customFormat="false" ht="15" hidden="false" customHeight="false" outlineLevel="0" collapsed="false">
      <c r="A83" s="4" t="s">
        <v>136</v>
      </c>
      <c r="B83" s="4" t="s">
        <v>293</v>
      </c>
      <c r="C83" s="4" t="s">
        <v>297</v>
      </c>
      <c r="D83" s="9" t="n">
        <v>692</v>
      </c>
      <c r="E83" s="4" t="s">
        <v>289</v>
      </c>
      <c r="F83" s="4" t="s">
        <v>187</v>
      </c>
      <c r="G83" s="10" t="str">
        <f aca="false">IF(OR(F83="Component",F83="Derived component"),D83/(SUMIFS($D$5:$D$300,$A$5:$A$300,A83,$B$5:$B$300,B83,$F$5:$F$300,"Component")+SUMIFS($D$5:$D$300,$A$5:$A$300,A83,$B$5:$B$300,B83,$F$5:$F$300,"Derived component")),"")</f>
        <v/>
      </c>
      <c r="H83" s="4" t="s">
        <v>298</v>
      </c>
    </row>
    <row r="84" customFormat="false" ht="15" hidden="false" customHeight="false" outlineLevel="0" collapsed="false">
      <c r="A84" s="4" t="s">
        <v>299</v>
      </c>
      <c r="B84" s="4" t="s">
        <v>300</v>
      </c>
      <c r="C84" s="4" t="s">
        <v>301</v>
      </c>
      <c r="D84" s="17" t="n">
        <v>0.021</v>
      </c>
      <c r="E84" s="4" t="s">
        <v>252</v>
      </c>
      <c r="F84" s="4" t="s">
        <v>187</v>
      </c>
      <c r="G84" s="10" t="str">
        <f aca="false">IF(OR(F84="Component",F84="Derived component"),D84/(SUMIFS($D$5:$D$300,$A$5:$A$300,A84,$B$5:$B$300,B84,$F$5:$F$300,"Component")+SUMIFS($D$5:$D$300,$A$5:$A$300,A84,$B$5:$B$300,B84,$F$5:$F$300,"Derived component")),"")</f>
        <v/>
      </c>
      <c r="H84" s="4" t="s">
        <v>302</v>
      </c>
    </row>
    <row r="85" customFormat="false" ht="15" hidden="false" customHeight="false" outlineLevel="0" collapsed="false">
      <c r="A85" s="4" t="s">
        <v>299</v>
      </c>
      <c r="B85" s="4" t="s">
        <v>300</v>
      </c>
      <c r="C85" s="4" t="s">
        <v>303</v>
      </c>
      <c r="D85" s="17" t="n">
        <v>0.83</v>
      </c>
      <c r="E85" s="4" t="s">
        <v>252</v>
      </c>
      <c r="F85" s="4" t="s">
        <v>187</v>
      </c>
      <c r="G85" s="10" t="str">
        <f aca="false">IF(OR(F85="Component",F85="Derived component"),D85/(SUMIFS($D$5:$D$300,$A$5:$A$300,A85,$B$5:$B$300,B85,$F$5:$F$300,"Component")+SUMIFS($D$5:$D$300,$A$5:$A$300,A85,$B$5:$B$300,B85,$F$5:$F$300,"Derived component")),"")</f>
        <v/>
      </c>
      <c r="H85" s="4" t="s">
        <v>304</v>
      </c>
    </row>
    <row r="86" customFormat="false" ht="15" hidden="false" customHeight="false" outlineLevel="0" collapsed="false">
      <c r="A86" s="4" t="s">
        <v>299</v>
      </c>
      <c r="B86" s="4" t="s">
        <v>300</v>
      </c>
      <c r="C86" s="4" t="s">
        <v>305</v>
      </c>
      <c r="D86" s="17" t="n">
        <v>0.751</v>
      </c>
      <c r="E86" s="4" t="s">
        <v>252</v>
      </c>
      <c r="F86" s="4" t="s">
        <v>187</v>
      </c>
      <c r="G86" s="10" t="str">
        <f aca="false">IF(OR(F86="Component",F86="Derived component"),D86/(SUMIFS($D$5:$D$300,$A$5:$A$300,A86,$B$5:$B$300,B86,$F$5:$F$300,"Component")+SUMIFS($D$5:$D$300,$A$5:$A$300,A86,$B$5:$B$300,B86,$F$5:$F$300,"Derived component")),"")</f>
        <v/>
      </c>
      <c r="H86" s="4" t="s">
        <v>306</v>
      </c>
    </row>
    <row r="87" customFormat="false" ht="15" hidden="false" customHeight="false" outlineLevel="0" collapsed="false">
      <c r="A87" s="4" t="s">
        <v>299</v>
      </c>
      <c r="B87" s="4" t="s">
        <v>307</v>
      </c>
      <c r="C87" s="4" t="s">
        <v>308</v>
      </c>
      <c r="D87" s="9" t="n">
        <v>2170</v>
      </c>
      <c r="E87" s="4" t="s">
        <v>309</v>
      </c>
      <c r="F87" s="4" t="s">
        <v>187</v>
      </c>
      <c r="G87" s="10" t="str">
        <f aca="false">IF(OR(F87="Component",F87="Derived component"),D87/(SUMIFS($D$5:$D$300,$A$5:$A$300,A87,$B$5:$B$300,B87,$F$5:$F$300,"Component")+SUMIFS($D$5:$D$300,$A$5:$A$300,A87,$B$5:$B$300,B87,$F$5:$F$300,"Derived component")),"")</f>
        <v/>
      </c>
      <c r="H87" s="4" t="s">
        <v>310</v>
      </c>
    </row>
    <row r="88" customFormat="false" ht="15" hidden="false" customHeight="false" outlineLevel="0" collapsed="false">
      <c r="A88" s="4" t="s">
        <v>299</v>
      </c>
      <c r="B88" s="4" t="s">
        <v>307</v>
      </c>
      <c r="C88" s="4" t="s">
        <v>311</v>
      </c>
      <c r="D88" s="9" t="n">
        <v>755</v>
      </c>
      <c r="E88" s="4" t="s">
        <v>309</v>
      </c>
      <c r="F88" s="4" t="s">
        <v>187</v>
      </c>
      <c r="G88" s="10" t="str">
        <f aca="false">IF(OR(F88="Component",F88="Derived component"),D88/(SUMIFS($D$5:$D$300,$A$5:$A$300,A88,$B$5:$B$300,B88,$F$5:$F$300,"Component")+SUMIFS($D$5:$D$300,$A$5:$A$300,A88,$B$5:$B$300,B88,$F$5:$F$300,"Derived component")),"")</f>
        <v/>
      </c>
      <c r="H88" s="4" t="s">
        <v>312</v>
      </c>
    </row>
    <row r="89" customFormat="false" ht="15" hidden="false" customHeight="false" outlineLevel="0" collapsed="false">
      <c r="A89" s="4" t="s">
        <v>313</v>
      </c>
      <c r="B89" s="4" t="s">
        <v>314</v>
      </c>
      <c r="C89" s="4" t="s">
        <v>241</v>
      </c>
      <c r="D89" s="18" t="n">
        <v>48.6</v>
      </c>
      <c r="E89" s="4" t="s">
        <v>315</v>
      </c>
      <c r="F89" s="4" t="s">
        <v>187</v>
      </c>
      <c r="G89" s="10" t="str">
        <f aca="false">IF(OR(F89="Component",F89="Derived component"),D89/(SUMIFS($D$5:$D$300,$A$5:$A$300,A89,$B$5:$B$300,B89,$F$5:$F$300,"Component")+SUMIFS($D$5:$D$300,$A$5:$A$300,A89,$B$5:$B$300,B89,$F$5:$F$300,"Derived component")),"")</f>
        <v/>
      </c>
      <c r="H89" s="4" t="s">
        <v>316</v>
      </c>
    </row>
    <row r="90" customFormat="false" ht="23.85" hidden="false" customHeight="false" outlineLevel="0" collapsed="false">
      <c r="A90" s="4" t="s">
        <v>313</v>
      </c>
      <c r="B90" s="4" t="s">
        <v>314</v>
      </c>
      <c r="C90" s="4" t="s">
        <v>262</v>
      </c>
      <c r="D90" s="18" t="n">
        <v>13.5</v>
      </c>
      <c r="E90" s="4" t="s">
        <v>315</v>
      </c>
      <c r="F90" s="4" t="s">
        <v>187</v>
      </c>
      <c r="G90" s="10" t="str">
        <f aca="false">IF(OR(F90="Component",F90="Derived component"),D90/(SUMIFS($D$5:$D$300,$A$5:$A$300,A90,$B$5:$B$300,B90,$F$5:$F$300,"Component")+SUMIFS($D$5:$D$300,$A$5:$A$300,A90,$B$5:$B$300,B90,$F$5:$F$300,"Derived component")),"")</f>
        <v/>
      </c>
      <c r="H90" s="4" t="s">
        <v>317</v>
      </c>
    </row>
    <row r="91" customFormat="false" ht="15" hidden="false" customHeight="false" outlineLevel="0" collapsed="false">
      <c r="A91" s="4" t="s">
        <v>313</v>
      </c>
      <c r="B91" s="4" t="s">
        <v>314</v>
      </c>
      <c r="C91" s="4" t="s">
        <v>318</v>
      </c>
      <c r="D91" s="18" t="n">
        <v>21.4</v>
      </c>
      <c r="E91" s="4" t="s">
        <v>315</v>
      </c>
      <c r="F91" s="4" t="s">
        <v>187</v>
      </c>
      <c r="G91" s="10" t="str">
        <f aca="false">IF(OR(F91="Component",F91="Derived component"),D91/(SUMIFS($D$5:$D$300,$A$5:$A$300,A91,$B$5:$B$300,B91,$F$5:$F$300,"Component")+SUMIFS($D$5:$D$300,$A$5:$A$300,A91,$B$5:$B$300,B91,$F$5:$F$300,"Derived component")),"")</f>
        <v/>
      </c>
      <c r="H91" s="4" t="s">
        <v>319</v>
      </c>
    </row>
    <row r="92" customFormat="false" ht="15" hidden="false" customHeight="false" outlineLevel="0" collapsed="false">
      <c r="A92" s="4" t="s">
        <v>313</v>
      </c>
      <c r="B92" s="4" t="s">
        <v>314</v>
      </c>
      <c r="C92" s="4" t="s">
        <v>320</v>
      </c>
      <c r="D92" s="18" t="n">
        <v>250</v>
      </c>
      <c r="E92" s="4" t="s">
        <v>315</v>
      </c>
      <c r="F92" s="4" t="s">
        <v>187</v>
      </c>
      <c r="G92" s="10" t="str">
        <f aca="false">IF(OR(F92="Component",F92="Derived component"),D92/(SUMIFS($D$5:$D$300,$A$5:$A$300,A92,$B$5:$B$300,B92,$F$5:$F$300,"Component")+SUMIFS($D$5:$D$300,$A$5:$A$300,A92,$B$5:$B$300,B92,$F$5:$F$300,"Derived component")),"")</f>
        <v/>
      </c>
      <c r="H92" s="4" t="s">
        <v>321</v>
      </c>
    </row>
    <row r="93" customFormat="false" ht="15" hidden="false" customHeight="false" outlineLevel="0" collapsed="false">
      <c r="A93" s="4" t="s">
        <v>322</v>
      </c>
      <c r="B93" s="4" t="s">
        <v>323</v>
      </c>
      <c r="C93" s="4" t="s">
        <v>324</v>
      </c>
      <c r="D93" s="9" t="n">
        <v>5037658</v>
      </c>
      <c r="E93" s="4" t="s">
        <v>325</v>
      </c>
      <c r="F93" s="4" t="s">
        <v>177</v>
      </c>
      <c r="G93" s="10" t="n">
        <f aca="false">IF(OR(F93="Component",F93="Derived component"),D93/(SUMIFS($D$5:$D$300,$A$5:$A$300,A93,$B$5:$B$300,B93,$F$5:$F$300,"Component")+SUMIFS($D$5:$D$300,$A$5:$A$300,A93,$B$5:$B$300,B93,$F$5:$F$300,"Derived component")),"")</f>
        <v>0.106958089710086</v>
      </c>
      <c r="H93" s="4" t="s">
        <v>326</v>
      </c>
    </row>
    <row r="94" customFormat="false" ht="15" hidden="false" customHeight="false" outlineLevel="0" collapsed="false">
      <c r="A94" s="4" t="s">
        <v>322</v>
      </c>
      <c r="B94" s="4" t="s">
        <v>323</v>
      </c>
      <c r="C94" s="4" t="s">
        <v>327</v>
      </c>
      <c r="D94" s="9" t="n">
        <v>2058271</v>
      </c>
      <c r="E94" s="4" t="s">
        <v>325</v>
      </c>
      <c r="F94" s="4" t="s">
        <v>177</v>
      </c>
      <c r="G94" s="10" t="n">
        <f aca="false">IF(OR(F94="Component",F94="Derived component"),D94/(SUMIFS($D$5:$D$300,$A$5:$A$300,A94,$B$5:$B$300,B94,$F$5:$F$300,"Component")+SUMIFS($D$5:$D$300,$A$5:$A$300,A94,$B$5:$B$300,B94,$F$5:$F$300,"Derived component")),"")</f>
        <v>0.0437006113288494</v>
      </c>
      <c r="H94" s="4" t="s">
        <v>326</v>
      </c>
    </row>
    <row r="95" customFormat="false" ht="15" hidden="false" customHeight="false" outlineLevel="0" collapsed="false">
      <c r="A95" s="4" t="s">
        <v>322</v>
      </c>
      <c r="B95" s="4" t="s">
        <v>323</v>
      </c>
      <c r="C95" s="4" t="s">
        <v>328</v>
      </c>
      <c r="D95" s="9" t="n">
        <v>1912627</v>
      </c>
      <c r="E95" s="4" t="s">
        <v>325</v>
      </c>
      <c r="F95" s="4" t="s">
        <v>177</v>
      </c>
      <c r="G95" s="10" t="n">
        <f aca="false">IF(OR(F95="Component",F95="Derived component"),D95/(SUMIFS($D$5:$D$300,$A$5:$A$300,A95,$B$5:$B$300,B95,$F$5:$F$300,"Component")+SUMIFS($D$5:$D$300,$A$5:$A$300,A95,$B$5:$B$300,B95,$F$5:$F$300,"Derived component")),"")</f>
        <v>0.0406083402739791</v>
      </c>
      <c r="H95" s="4" t="s">
        <v>326</v>
      </c>
    </row>
    <row r="96" customFormat="false" ht="15" hidden="false" customHeight="false" outlineLevel="0" collapsed="false">
      <c r="A96" s="4" t="s">
        <v>322</v>
      </c>
      <c r="B96" s="4" t="s">
        <v>323</v>
      </c>
      <c r="C96" s="4" t="s">
        <v>329</v>
      </c>
      <c r="D96" s="9" t="n">
        <v>1430557</v>
      </c>
      <c r="E96" s="4" t="s">
        <v>325</v>
      </c>
      <c r="F96" s="4" t="s">
        <v>177</v>
      </c>
      <c r="G96" s="10" t="n">
        <f aca="false">IF(OR(F96="Component",F96="Derived component"),D96/(SUMIFS($D$5:$D$300,$A$5:$A$300,A96,$B$5:$B$300,B96,$F$5:$F$300,"Component")+SUMIFS($D$5:$D$300,$A$5:$A$300,A96,$B$5:$B$300,B96,$F$5:$F$300,"Derived component")),"")</f>
        <v>0.0303731702194535</v>
      </c>
      <c r="H96" s="4" t="s">
        <v>326</v>
      </c>
    </row>
    <row r="97" customFormat="false" ht="15" hidden="false" customHeight="false" outlineLevel="0" collapsed="false">
      <c r="A97" s="4" t="s">
        <v>322</v>
      </c>
      <c r="B97" s="4" t="s">
        <v>323</v>
      </c>
      <c r="C97" s="4" t="s">
        <v>330</v>
      </c>
      <c r="D97" s="9" t="n">
        <v>1187054</v>
      </c>
      <c r="E97" s="4" t="s">
        <v>325</v>
      </c>
      <c r="F97" s="4" t="s">
        <v>177</v>
      </c>
      <c r="G97" s="10" t="n">
        <f aca="false">IF(OR(F97="Component",F97="Derived component"),D97/(SUMIFS($D$5:$D$300,$A$5:$A$300,A97,$B$5:$B$300,B97,$F$5:$F$300,"Component")+SUMIFS($D$5:$D$300,$A$5:$A$300,A97,$B$5:$B$300,B97,$F$5:$F$300,"Derived component")),"")</f>
        <v>0.0252031853338826</v>
      </c>
      <c r="H97" s="4" t="s">
        <v>326</v>
      </c>
    </row>
    <row r="98" customFormat="false" ht="15" hidden="false" customHeight="false" outlineLevel="0" collapsed="false">
      <c r="A98" s="4" t="s">
        <v>322</v>
      </c>
      <c r="B98" s="4" t="s">
        <v>323</v>
      </c>
      <c r="C98" s="4" t="s">
        <v>331</v>
      </c>
      <c r="D98" s="9" t="n">
        <v>748223</v>
      </c>
      <c r="E98" s="4" t="s">
        <v>325</v>
      </c>
      <c r="F98" s="4" t="s">
        <v>177</v>
      </c>
      <c r="G98" s="10" t="n">
        <f aca="false">IF(OR(F98="Component",F98="Derived component"),D98/(SUMIFS($D$5:$D$300,$A$5:$A$300,A98,$B$5:$B$300,B98,$F$5:$F$300,"Component")+SUMIFS($D$5:$D$300,$A$5:$A$300,A98,$B$5:$B$300,B98,$F$5:$F$300,"Derived component")),"")</f>
        <v>0.0158860531534991</v>
      </c>
      <c r="H98" s="4" t="s">
        <v>326</v>
      </c>
    </row>
    <row r="99" customFormat="false" ht="15" hidden="false" customHeight="false" outlineLevel="0" collapsed="false">
      <c r="A99" s="4" t="s">
        <v>322</v>
      </c>
      <c r="B99" s="4" t="s">
        <v>323</v>
      </c>
      <c r="C99" s="4" t="s">
        <v>332</v>
      </c>
      <c r="D99" s="9" t="n">
        <v>620919</v>
      </c>
      <c r="E99" s="4" t="s">
        <v>325</v>
      </c>
      <c r="F99" s="4" t="s">
        <v>177</v>
      </c>
      <c r="G99" s="10" t="n">
        <f aca="false">IF(OR(F99="Component",F99="Derived component"),D99/(SUMIFS($D$5:$D$300,$A$5:$A$300,A99,$B$5:$B$300,B99,$F$5:$F$300,"Component")+SUMIFS($D$5:$D$300,$A$5:$A$300,A99,$B$5:$B$300,B99,$F$5:$F$300,"Derived component")),"")</f>
        <v>0.0131831716453751</v>
      </c>
      <c r="H99" s="4" t="s">
        <v>326</v>
      </c>
    </row>
    <row r="100" customFormat="false" ht="15" hidden="false" customHeight="false" outlineLevel="0" collapsed="false">
      <c r="A100" s="4" t="s">
        <v>322</v>
      </c>
      <c r="B100" s="4" t="s">
        <v>323</v>
      </c>
      <c r="C100" s="4" t="s">
        <v>333</v>
      </c>
      <c r="D100" s="9" t="n">
        <v>463657</v>
      </c>
      <c r="E100" s="4" t="s">
        <v>325</v>
      </c>
      <c r="F100" s="4" t="s">
        <v>177</v>
      </c>
      <c r="G100" s="10" t="n">
        <f aca="false">IF(OR(F100="Component",F100="Derived component"),D100/(SUMIFS($D$5:$D$300,$A$5:$A$300,A100,$B$5:$B$300,B100,$F$5:$F$300,"Component")+SUMIFS($D$5:$D$300,$A$5:$A$300,A100,$B$5:$B$300,B100,$F$5:$F$300,"Derived component")),"")</f>
        <v>0.00984423059300758</v>
      </c>
      <c r="H100" s="4" t="s">
        <v>326</v>
      </c>
    </row>
    <row r="101" customFormat="false" ht="15" hidden="false" customHeight="false" outlineLevel="0" collapsed="false">
      <c r="A101" s="4" t="s">
        <v>322</v>
      </c>
      <c r="B101" s="4" t="s">
        <v>323</v>
      </c>
      <c r="C101" s="4" t="s">
        <v>334</v>
      </c>
      <c r="D101" s="9" t="n">
        <v>322344</v>
      </c>
      <c r="E101" s="4" t="s">
        <v>325</v>
      </c>
      <c r="F101" s="4" t="s">
        <v>177</v>
      </c>
      <c r="G101" s="10" t="n">
        <f aca="false">IF(OR(F101="Component",F101="Derived component"),D101/(SUMIFS($D$5:$D$300,$A$5:$A$300,A101,$B$5:$B$300,B101,$F$5:$F$300,"Component")+SUMIFS($D$5:$D$300,$A$5:$A$300,A101,$B$5:$B$300,B101,$F$5:$F$300,"Derived component")),"")</f>
        <v>0.00684391407068681</v>
      </c>
      <c r="H101" s="4" t="s">
        <v>326</v>
      </c>
    </row>
    <row r="102" customFormat="false" ht="15" hidden="false" customHeight="false" outlineLevel="0" collapsed="false">
      <c r="A102" s="4" t="s">
        <v>322</v>
      </c>
      <c r="B102" s="4" t="s">
        <v>323</v>
      </c>
      <c r="C102" s="4" t="s">
        <v>335</v>
      </c>
      <c r="D102" s="9" t="n">
        <v>239212</v>
      </c>
      <c r="E102" s="4" t="s">
        <v>325</v>
      </c>
      <c r="F102" s="4" t="s">
        <v>177</v>
      </c>
      <c r="G102" s="10" t="n">
        <f aca="false">IF(OR(F102="Component",F102="Derived component"),D102/(SUMIFS($D$5:$D$300,$A$5:$A$300,A102,$B$5:$B$300,B102,$F$5:$F$300,"Component")+SUMIFS($D$5:$D$300,$A$5:$A$300,A102,$B$5:$B$300,B102,$F$5:$F$300,"Derived component")),"")</f>
        <v>0.00507887962138937</v>
      </c>
      <c r="H102" s="4" t="s">
        <v>326</v>
      </c>
    </row>
    <row r="103" customFormat="false" ht="15" hidden="false" customHeight="false" outlineLevel="0" collapsed="false">
      <c r="A103" s="14" t="s">
        <v>322</v>
      </c>
      <c r="B103" s="14" t="s">
        <v>323</v>
      </c>
      <c r="C103" s="14" t="s">
        <v>336</v>
      </c>
      <c r="D103" s="15" t="n">
        <f aca="false">D104-D93-D94-D95-D96-D97-D98-D99-D100-D101-D102</f>
        <v>33078842</v>
      </c>
      <c r="E103" s="14" t="s">
        <v>325</v>
      </c>
      <c r="F103" s="14" t="s">
        <v>202</v>
      </c>
      <c r="G103" s="16" t="n">
        <f aca="false">IF(OR(F103="Component",F103="Derived component"),D103/(SUMIFS($D$5:$D$300,$A$5:$A$300,A103,$B$5:$B$300,B103,$F$5:$F$300,"Component")+SUMIFS($D$5:$D$300,$A$5:$A$300,A103,$B$5:$B$300,B103,$F$5:$F$300,"Derived component")),"")</f>
        <v>0.702320354049791</v>
      </c>
      <c r="H103" s="14" t="s">
        <v>337</v>
      </c>
    </row>
    <row r="104" customFormat="false" ht="15" hidden="false" customHeight="false" outlineLevel="0" collapsed="false">
      <c r="A104" s="11" t="s">
        <v>322</v>
      </c>
      <c r="B104" s="11" t="s">
        <v>323</v>
      </c>
      <c r="C104" s="11" t="s">
        <v>338</v>
      </c>
      <c r="D104" s="12" t="n">
        <v>47099364</v>
      </c>
      <c r="E104" s="11" t="s">
        <v>325</v>
      </c>
      <c r="F104" s="11" t="s">
        <v>184</v>
      </c>
      <c r="G104" s="13" t="str">
        <f aca="false">IF(OR(F104="Component",F104="Derived component"),D104/(SUMIFS($D$5:$D$300,$A$5:$A$300,A104,$B$5:$B$300,B104,$F$5:$F$300,"Component")+SUMIFS($D$5:$D$300,$A$5:$A$300,A104,$B$5:$B$300,B104,$F$5:$F$300,"Derived component")),"")</f>
        <v/>
      </c>
      <c r="H104" s="11" t="s">
        <v>326</v>
      </c>
    </row>
    <row r="105" customFormat="false" ht="15" hidden="false" customHeight="false" outlineLevel="0" collapsed="false">
      <c r="A105" s="4" t="s">
        <v>339</v>
      </c>
      <c r="B105" s="4" t="s">
        <v>340</v>
      </c>
      <c r="C105" s="4" t="s">
        <v>341</v>
      </c>
      <c r="D105" s="9" t="n">
        <v>1891562</v>
      </c>
      <c r="E105" s="4" t="s">
        <v>325</v>
      </c>
      <c r="F105" s="4" t="s">
        <v>177</v>
      </c>
      <c r="G105" s="10" t="n">
        <f aca="false">IF(OR(F105="Component",F105="Derived component"),D105/(SUMIFS($D$5:$D$300,$A$5:$A$300,A105,$B$5:$B$300,B105,$F$5:$F$300,"Component")+SUMIFS($D$5:$D$300,$A$5:$A$300,A105,$B$5:$B$300,B105,$F$5:$F$300,"Derived component")),"")</f>
        <v>0.0713441794807589</v>
      </c>
      <c r="H105" s="4" t="s">
        <v>326</v>
      </c>
    </row>
    <row r="106" customFormat="false" ht="15" hidden="false" customHeight="false" outlineLevel="0" collapsed="false">
      <c r="A106" s="4" t="s">
        <v>339</v>
      </c>
      <c r="B106" s="4" t="s">
        <v>340</v>
      </c>
      <c r="C106" s="4" t="s">
        <v>342</v>
      </c>
      <c r="D106" s="9" t="n">
        <v>886608</v>
      </c>
      <c r="E106" s="4" t="s">
        <v>325</v>
      </c>
      <c r="F106" s="4" t="s">
        <v>177</v>
      </c>
      <c r="G106" s="10" t="n">
        <f aca="false">IF(OR(F106="Component",F106="Derived component"),D106/(SUMIFS($D$5:$D$300,$A$5:$A$300,A106,$B$5:$B$300,B106,$F$5:$F$300,"Component")+SUMIFS($D$5:$D$300,$A$5:$A$300,A106,$B$5:$B$300,B106,$F$5:$F$300,"Derived component")),"")</f>
        <v>0.0334402574597484</v>
      </c>
      <c r="H106" s="4" t="s">
        <v>326</v>
      </c>
    </row>
    <row r="107" customFormat="false" ht="15" hidden="false" customHeight="false" outlineLevel="0" collapsed="false">
      <c r="A107" s="4" t="s">
        <v>339</v>
      </c>
      <c r="B107" s="4" t="s">
        <v>340</v>
      </c>
      <c r="C107" s="4" t="s">
        <v>343</v>
      </c>
      <c r="D107" s="9" t="n">
        <v>718515</v>
      </c>
      <c r="E107" s="4" t="s">
        <v>325</v>
      </c>
      <c r="F107" s="4" t="s">
        <v>177</v>
      </c>
      <c r="G107" s="10" t="n">
        <f aca="false">IF(OR(F107="Component",F107="Derived component"),D107/(SUMIFS($D$5:$D$300,$A$5:$A$300,A107,$B$5:$B$300,B107,$F$5:$F$300,"Component")+SUMIFS($D$5:$D$300,$A$5:$A$300,A107,$B$5:$B$300,B107,$F$5:$F$300,"Derived component")),"")</f>
        <v>0.0271002817352101</v>
      </c>
      <c r="H107" s="4" t="s">
        <v>326</v>
      </c>
    </row>
    <row r="108" customFormat="false" ht="15" hidden="false" customHeight="false" outlineLevel="0" collapsed="false">
      <c r="A108" s="4" t="s">
        <v>339</v>
      </c>
      <c r="B108" s="4" t="s">
        <v>340</v>
      </c>
      <c r="C108" s="4" t="s">
        <v>344</v>
      </c>
      <c r="D108" s="9" t="n">
        <v>714646</v>
      </c>
      <c r="E108" s="4" t="s">
        <v>325</v>
      </c>
      <c r="F108" s="4" t="s">
        <v>177</v>
      </c>
      <c r="G108" s="10" t="n">
        <f aca="false">IF(OR(F108="Component",F108="Derived component"),D108/(SUMIFS($D$5:$D$300,$A$5:$A$300,A108,$B$5:$B$300,B108,$F$5:$F$300,"Component")+SUMIFS($D$5:$D$300,$A$5:$A$300,A108,$B$5:$B$300,B108,$F$5:$F$300,"Derived component")),"")</f>
        <v>0.0269543543850037</v>
      </c>
      <c r="H108" s="4" t="s">
        <v>326</v>
      </c>
    </row>
    <row r="109" customFormat="false" ht="15" hidden="false" customHeight="false" outlineLevel="0" collapsed="false">
      <c r="A109" s="4" t="s">
        <v>339</v>
      </c>
      <c r="B109" s="4" t="s">
        <v>340</v>
      </c>
      <c r="C109" s="4" t="s">
        <v>345</v>
      </c>
      <c r="D109" s="9" t="n">
        <v>667636</v>
      </c>
      <c r="E109" s="4" t="s">
        <v>325</v>
      </c>
      <c r="F109" s="4" t="s">
        <v>177</v>
      </c>
      <c r="G109" s="10" t="n">
        <f aca="false">IF(OR(F109="Component",F109="Derived component"),D109/(SUMIFS($D$5:$D$300,$A$5:$A$300,A109,$B$5:$B$300,B109,$F$5:$F$300,"Component")+SUMIFS($D$5:$D$300,$A$5:$A$300,A109,$B$5:$B$300,B109,$F$5:$F$300,"Derived component")),"")</f>
        <v>0.0251812748468281</v>
      </c>
      <c r="H109" s="4" t="s">
        <v>326</v>
      </c>
    </row>
    <row r="110" customFormat="false" ht="15" hidden="false" customHeight="false" outlineLevel="0" collapsed="false">
      <c r="A110" s="4" t="s">
        <v>339</v>
      </c>
      <c r="B110" s="4" t="s">
        <v>340</v>
      </c>
      <c r="C110" s="4" t="s">
        <v>346</v>
      </c>
      <c r="D110" s="9" t="n">
        <v>528448</v>
      </c>
      <c r="E110" s="4" t="s">
        <v>325</v>
      </c>
      <c r="F110" s="4" t="s">
        <v>177</v>
      </c>
      <c r="G110" s="10" t="n">
        <f aca="false">IF(OR(F110="Component",F110="Derived component"),D110/(SUMIFS($D$5:$D$300,$A$5:$A$300,A110,$B$5:$B$300,B110,$F$5:$F$300,"Component")+SUMIFS($D$5:$D$300,$A$5:$A$300,A110,$B$5:$B$300,B110,$F$5:$F$300,"Derived component")),"")</f>
        <v>0.0199315110782771</v>
      </c>
      <c r="H110" s="4" t="s">
        <v>326</v>
      </c>
    </row>
    <row r="111" customFormat="false" ht="15" hidden="false" customHeight="false" outlineLevel="0" collapsed="false">
      <c r="A111" s="4" t="s">
        <v>339</v>
      </c>
      <c r="B111" s="4" t="s">
        <v>340</v>
      </c>
      <c r="C111" s="4" t="s">
        <v>332</v>
      </c>
      <c r="D111" s="9" t="n">
        <v>517257</v>
      </c>
      <c r="E111" s="4" t="s">
        <v>325</v>
      </c>
      <c r="F111" s="4" t="s">
        <v>177</v>
      </c>
      <c r="G111" s="10" t="n">
        <f aca="false">IF(OR(F111="Component",F111="Derived component"),D111/(SUMIFS($D$5:$D$300,$A$5:$A$300,A111,$B$5:$B$300,B111,$F$5:$F$300,"Component")+SUMIFS($D$5:$D$300,$A$5:$A$300,A111,$B$5:$B$300,B111,$F$5:$F$300,"Derived component")),"")</f>
        <v>0.0195094193294636</v>
      </c>
      <c r="H111" s="4" t="s">
        <v>326</v>
      </c>
    </row>
    <row r="112" customFormat="false" ht="15" hidden="false" customHeight="false" outlineLevel="0" collapsed="false">
      <c r="A112" s="4" t="s">
        <v>339</v>
      </c>
      <c r="B112" s="4" t="s">
        <v>340</v>
      </c>
      <c r="C112" s="4" t="s">
        <v>347</v>
      </c>
      <c r="D112" s="9" t="n">
        <v>462318</v>
      </c>
      <c r="E112" s="4" t="s">
        <v>325</v>
      </c>
      <c r="F112" s="4" t="s">
        <v>177</v>
      </c>
      <c r="G112" s="10" t="n">
        <f aca="false">IF(OR(F112="Component",F112="Derived component"),D112/(SUMIFS($D$5:$D$300,$A$5:$A$300,A112,$B$5:$B$300,B112,$F$5:$F$300,"Component")+SUMIFS($D$5:$D$300,$A$5:$A$300,A112,$B$5:$B$300,B112,$F$5:$F$300,"Derived component")),"")</f>
        <v>0.0174372811301905</v>
      </c>
      <c r="H112" s="4" t="s">
        <v>326</v>
      </c>
    </row>
    <row r="113" customFormat="false" ht="15" hidden="false" customHeight="false" outlineLevel="0" collapsed="false">
      <c r="A113" s="4" t="s">
        <v>339</v>
      </c>
      <c r="B113" s="4" t="s">
        <v>340</v>
      </c>
      <c r="C113" s="4" t="s">
        <v>335</v>
      </c>
      <c r="D113" s="9" t="n">
        <v>421210</v>
      </c>
      <c r="E113" s="4" t="s">
        <v>325</v>
      </c>
      <c r="F113" s="4" t="s">
        <v>177</v>
      </c>
      <c r="G113" s="10" t="n">
        <f aca="false">IF(OR(F113="Component",F113="Derived component"),D113/(SUMIFS($D$5:$D$300,$A$5:$A$300,A113,$B$5:$B$300,B113,$F$5:$F$300,"Component")+SUMIFS($D$5:$D$300,$A$5:$A$300,A113,$B$5:$B$300,B113,$F$5:$F$300,"Derived component")),"")</f>
        <v>0.0158868077488818</v>
      </c>
      <c r="H113" s="4" t="s">
        <v>326</v>
      </c>
    </row>
    <row r="114" customFormat="false" ht="15" hidden="false" customHeight="false" outlineLevel="0" collapsed="false">
      <c r="A114" s="4" t="s">
        <v>339</v>
      </c>
      <c r="B114" s="4" t="s">
        <v>340</v>
      </c>
      <c r="C114" s="4" t="s">
        <v>333</v>
      </c>
      <c r="D114" s="9" t="n">
        <v>399051</v>
      </c>
      <c r="E114" s="4" t="s">
        <v>325</v>
      </c>
      <c r="F114" s="4" t="s">
        <v>177</v>
      </c>
      <c r="G114" s="10" t="n">
        <f aca="false">IF(OR(F114="Component",F114="Derived component"),D114/(SUMIFS($D$5:$D$300,$A$5:$A$300,A114,$B$5:$B$300,B114,$F$5:$F$300,"Component")+SUMIFS($D$5:$D$300,$A$5:$A$300,A114,$B$5:$B$300,B114,$F$5:$F$300,"Derived component")),"")</f>
        <v>0.0150510351582324</v>
      </c>
      <c r="H114" s="4" t="s">
        <v>326</v>
      </c>
    </row>
    <row r="115" customFormat="false" ht="15" hidden="false" customHeight="false" outlineLevel="0" collapsed="false">
      <c r="A115" s="14" t="s">
        <v>339</v>
      </c>
      <c r="B115" s="14" t="s">
        <v>340</v>
      </c>
      <c r="C115" s="14" t="s">
        <v>348</v>
      </c>
      <c r="D115" s="15" t="n">
        <f aca="false">D116-D105-D106-D107-D108-D109-D110-D111-D112-D113-D114</f>
        <v>19305942</v>
      </c>
      <c r="E115" s="14" t="s">
        <v>325</v>
      </c>
      <c r="F115" s="14" t="s">
        <v>202</v>
      </c>
      <c r="G115" s="16" t="n">
        <f aca="false">IF(OR(F115="Component",F115="Derived component"),D115/(SUMIFS($D$5:$D$300,$A$5:$A$300,A115,$B$5:$B$300,B115,$F$5:$F$300,"Component")+SUMIFS($D$5:$D$300,$A$5:$A$300,A115,$B$5:$B$300,B115,$F$5:$F$300,"Derived component")),"")</f>
        <v>0.728163597647405</v>
      </c>
      <c r="H115" s="14" t="s">
        <v>337</v>
      </c>
    </row>
    <row r="116" customFormat="false" ht="15" hidden="false" customHeight="false" outlineLevel="0" collapsed="false">
      <c r="A116" s="11" t="s">
        <v>339</v>
      </c>
      <c r="B116" s="11" t="s">
        <v>340</v>
      </c>
      <c r="C116" s="11" t="s">
        <v>349</v>
      </c>
      <c r="D116" s="12" t="n">
        <v>26513193</v>
      </c>
      <c r="E116" s="11" t="s">
        <v>325</v>
      </c>
      <c r="F116" s="11" t="s">
        <v>184</v>
      </c>
      <c r="G116" s="13" t="str">
        <f aca="false">IF(OR(F116="Component",F116="Derived component"),D116/(SUMIFS($D$5:$D$300,$A$5:$A$300,A116,$B$5:$B$300,B116,$F$5:$F$300,"Component")+SUMIFS($D$5:$D$300,$A$5:$A$300,A116,$B$5:$B$300,B116,$F$5:$F$300,"Derived component")),"")</f>
        <v/>
      </c>
      <c r="H116" s="11" t="s">
        <v>326</v>
      </c>
    </row>
    <row r="118" customFormat="false" ht="15" hidden="false" customHeight="false" outlineLevel="0" collapsed="false">
      <c r="A118" s="2" t="s">
        <v>350</v>
      </c>
    </row>
  </sheetData>
  <autoFilter ref="A4:H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352</v>
      </c>
    </row>
    <row r="4" customFormat="false" ht="15" hidden="false" customHeight="false" outlineLevel="0" collapsed="false">
      <c r="A4" s="7" t="s">
        <v>28</v>
      </c>
      <c r="B4" s="7" t="s">
        <v>167</v>
      </c>
      <c r="C4" s="7" t="s">
        <v>170</v>
      </c>
      <c r="D4" s="7" t="s">
        <v>353</v>
      </c>
      <c r="E4" s="7" t="s">
        <v>184</v>
      </c>
      <c r="F4" s="7" t="s">
        <v>354</v>
      </c>
      <c r="G4" s="7" t="s">
        <v>355</v>
      </c>
    </row>
    <row r="5" customFormat="false" ht="15" hidden="false" customHeight="false" outlineLevel="0" collapsed="false">
      <c r="A5" s="4" t="s">
        <v>36</v>
      </c>
      <c r="B5" s="4" t="s">
        <v>174</v>
      </c>
      <c r="C5" s="4" t="s">
        <v>176</v>
      </c>
      <c r="D5" s="19" t="n">
        <f aca="false">SUMIFS('Segment Data'!$D$5:$D$300,'Segment Data'!$A$5:$A$300,A5,'Segment Data'!$B$5:$B$300,B5,'Segment Data'!$F$5:$F$300,"Component")+SUMIFS('Segment Data'!$D$5:$D$300,'Segment Data'!$A$5:$A$300,A5,'Segment Data'!$B$5:$B$300,B5,'Segment Data'!$F$5:$F$300,"Derived component")</f>
        <v>15939</v>
      </c>
      <c r="E5" s="20" t="n">
        <f aca="false">'Segment Data'!D10</f>
        <v>15939</v>
      </c>
      <c r="F5" s="19" t="n">
        <f aca="false">D5-E5</f>
        <v>0</v>
      </c>
      <c r="G5" s="4" t="str">
        <f aca="false">IF(ABS(F5)&lt;0.005,"OK","CHECK")</f>
        <v>OK</v>
      </c>
    </row>
    <row r="6" customFormat="false" ht="15" hidden="false" customHeight="false" outlineLevel="0" collapsed="false">
      <c r="A6" s="4" t="s">
        <v>44</v>
      </c>
      <c r="B6" s="4" t="s">
        <v>196</v>
      </c>
      <c r="C6" s="4" t="s">
        <v>176</v>
      </c>
      <c r="D6" s="19" t="n">
        <f aca="false">SUMIFS('Segment Data'!$D$5:$D$300,'Segment Data'!$A$5:$A$300,A6,'Segment Data'!$B$5:$B$300,B6,'Segment Data'!$F$5:$F$300,"Component")+SUMIFS('Segment Data'!$D$5:$D$300,'Segment Data'!$A$5:$A$300,A6,'Segment Data'!$B$5:$B$300,B6,'Segment Data'!$F$5:$F$300,"Derived component")</f>
        <v>9821</v>
      </c>
      <c r="E6" s="20" t="n">
        <f aca="false">'Segment Data'!D21</f>
        <v>9821</v>
      </c>
      <c r="F6" s="19" t="n">
        <f aca="false">D6-E6</f>
        <v>0</v>
      </c>
      <c r="G6" s="4" t="str">
        <f aca="false">IF(ABS(F6)&lt;0.005,"OK","CHECK")</f>
        <v>OK</v>
      </c>
    </row>
    <row r="7" customFormat="false" ht="15" hidden="false" customHeight="false" outlineLevel="0" collapsed="false">
      <c r="A7" s="4" t="s">
        <v>52</v>
      </c>
      <c r="B7" s="4" t="s">
        <v>215</v>
      </c>
      <c r="C7" s="4" t="s">
        <v>176</v>
      </c>
      <c r="D7" s="19" t="n">
        <f aca="false">SUMIFS('Segment Data'!$D$5:$D$300,'Segment Data'!$A$5:$A$300,A7,'Segment Data'!$B$5:$B$300,B7,'Segment Data'!$F$5:$F$300,"Component")+SUMIFS('Segment Data'!$D$5:$D$300,'Segment Data'!$A$5:$A$300,A7,'Segment Data'!$B$5:$B$300,B7,'Segment Data'!$F$5:$F$300,"Derived component")</f>
        <v>17750</v>
      </c>
      <c r="E7" s="20" t="n">
        <f aca="false">'Segment Data'!D30</f>
        <v>17750</v>
      </c>
      <c r="F7" s="19" t="n">
        <f aca="false">D7-E7</f>
        <v>0</v>
      </c>
      <c r="G7" s="4" t="str">
        <f aca="false">IF(ABS(F7)&lt;0.005,"OK","CHECK")</f>
        <v>OK</v>
      </c>
    </row>
    <row r="8" customFormat="false" ht="15" hidden="false" customHeight="false" outlineLevel="0" collapsed="false">
      <c r="A8" s="4" t="s">
        <v>60</v>
      </c>
      <c r="B8" s="4" t="s">
        <v>226</v>
      </c>
      <c r="C8" s="4" t="s">
        <v>176</v>
      </c>
      <c r="D8" s="19" t="n">
        <f aca="false">SUMIFS('Segment Data'!$D$5:$D$300,'Segment Data'!$A$5:$A$300,A8,'Segment Data'!$B$5:$B$300,B8,'Segment Data'!$F$5:$F$300,"Component")+SUMIFS('Segment Data'!$D$5:$D$300,'Segment Data'!$A$5:$A$300,A8,'Segment Data'!$B$5:$B$300,B8,'Segment Data'!$F$5:$F$300,"Derived component")</f>
        <v>7060</v>
      </c>
      <c r="E8" s="20" t="n">
        <f aca="false">'Segment Data'!D42</f>
        <v>7060</v>
      </c>
      <c r="F8" s="19" t="n">
        <f aca="false">D8-E8</f>
        <v>0</v>
      </c>
      <c r="G8" s="4" t="str">
        <f aca="false">IF(ABS(F8)&lt;0.005,"OK","CHECK")</f>
        <v>OK</v>
      </c>
    </row>
    <row r="9" customFormat="false" ht="15" hidden="false" customHeight="false" outlineLevel="0" collapsed="false">
      <c r="A9" s="4" t="s">
        <v>76</v>
      </c>
      <c r="B9" s="4" t="s">
        <v>255</v>
      </c>
      <c r="C9" s="4" t="s">
        <v>176</v>
      </c>
      <c r="D9" s="19" t="n">
        <f aca="false">SUMIFS('Segment Data'!$D$5:$D$300,'Segment Data'!$A$5:$A$300,A9,'Segment Data'!$B$5:$B$300,B9,'Segment Data'!$F$5:$F$300,"Component")+SUMIFS('Segment Data'!$D$5:$D$300,'Segment Data'!$A$5:$A$300,A9,'Segment Data'!$B$5:$B$300,B9,'Segment Data'!$F$5:$F$300,"Derived component")</f>
        <v>41490</v>
      </c>
      <c r="E9" s="20" t="n">
        <f aca="false">'Segment Data'!D61</f>
        <v>41490</v>
      </c>
      <c r="F9" s="19" t="n">
        <f aca="false">D9-E9</f>
        <v>0</v>
      </c>
      <c r="G9" s="4" t="str">
        <f aca="false">IF(ABS(F9)&lt;0.005,"OK","CHECK")</f>
        <v>OK</v>
      </c>
    </row>
    <row r="10" customFormat="false" ht="15" hidden="false" customHeight="false" outlineLevel="0" collapsed="false">
      <c r="A10" s="4" t="s">
        <v>136</v>
      </c>
      <c r="B10" s="4" t="s">
        <v>287</v>
      </c>
      <c r="C10" s="4" t="s">
        <v>289</v>
      </c>
      <c r="D10" s="19" t="n">
        <f aca="false">SUMIFS('Segment Data'!$D$5:$D$300,'Segment Data'!$A$5:$A$300,A10,'Segment Data'!$B$5:$B$300,B10,'Segment Data'!$F$5:$F$300,"Component")+SUMIFS('Segment Data'!$D$5:$D$300,'Segment Data'!$A$5:$A$300,A10,'Segment Data'!$B$5:$B$300,B10,'Segment Data'!$F$5:$F$300,"Derived component")</f>
        <v>7882</v>
      </c>
      <c r="E10" s="20" t="n">
        <f aca="false">'Segment Data'!D80</f>
        <v>7882</v>
      </c>
      <c r="F10" s="19" t="n">
        <f aca="false">D10-E10</f>
        <v>0</v>
      </c>
      <c r="G10" s="4" t="str">
        <f aca="false">IF(ABS(F10)&lt;0.005,"OK","CHECK")</f>
        <v>OK</v>
      </c>
    </row>
    <row r="11" customFormat="false" ht="15" hidden="false" customHeight="false" outlineLevel="0" collapsed="false">
      <c r="A11" s="4" t="s">
        <v>322</v>
      </c>
      <c r="B11" s="4" t="s">
        <v>323</v>
      </c>
      <c r="C11" s="4" t="s">
        <v>325</v>
      </c>
      <c r="D11" s="19" t="n">
        <f aca="false">SUMIFS('Segment Data'!$D$5:$D$300,'Segment Data'!$A$5:$A$300,A11,'Segment Data'!$B$5:$B$300,B11,'Segment Data'!$F$5:$F$300,"Component")+SUMIFS('Segment Data'!$D$5:$D$300,'Segment Data'!$A$5:$A$300,A11,'Segment Data'!$B$5:$B$300,B11,'Segment Data'!$F$5:$F$300,"Derived component")</f>
        <v>47099364</v>
      </c>
      <c r="E11" s="20" t="n">
        <f aca="false">'Segment Data'!D104</f>
        <v>47099364</v>
      </c>
      <c r="F11" s="19" t="n">
        <f aca="false">D11-E11</f>
        <v>0</v>
      </c>
      <c r="G11" s="4" t="str">
        <f aca="false">IF(ABS(F11)&lt;0.005,"OK","CHECK")</f>
        <v>OK</v>
      </c>
    </row>
    <row r="12" customFormat="false" ht="15" hidden="false" customHeight="false" outlineLevel="0" collapsed="false">
      <c r="A12" s="4" t="s">
        <v>339</v>
      </c>
      <c r="B12" s="4" t="s">
        <v>340</v>
      </c>
      <c r="C12" s="4" t="s">
        <v>325</v>
      </c>
      <c r="D12" s="19" t="n">
        <f aca="false">SUMIFS('Segment Data'!$D$5:$D$300,'Segment Data'!$A$5:$A$300,A12,'Segment Data'!$B$5:$B$300,B12,'Segment Data'!$F$5:$F$300,"Component")+SUMIFS('Segment Data'!$D$5:$D$300,'Segment Data'!$A$5:$A$300,A12,'Segment Data'!$B$5:$B$300,B12,'Segment Data'!$F$5:$F$300,"Derived component")</f>
        <v>26513193</v>
      </c>
      <c r="E12" s="20" t="n">
        <f aca="false">'Segment Data'!D116</f>
        <v>26513193</v>
      </c>
      <c r="F12" s="19" t="n">
        <f aca="false">D12-E12</f>
        <v>0</v>
      </c>
      <c r="G12" s="4" t="str">
        <f aca="false">IF(ABS(F12)&lt;0.005,"OK","CHECK")</f>
        <v>OK</v>
      </c>
    </row>
    <row r="14" customFormat="false" ht="15" hidden="false" customHeight="false" outlineLevel="0" collapsed="false">
      <c r="A14" s="2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2" t="s">
        <v>358</v>
      </c>
    </row>
    <row r="4" customFormat="false" ht="42" hidden="false" customHeight="true" outlineLevel="0" collapsed="false">
      <c r="A4" s="7" t="s">
        <v>28</v>
      </c>
      <c r="B4" s="7" t="s">
        <v>359</v>
      </c>
      <c r="C4" s="7" t="s">
        <v>360</v>
      </c>
      <c r="D4" s="7" t="s">
        <v>361</v>
      </c>
      <c r="E4" s="7" t="s">
        <v>362</v>
      </c>
      <c r="F4" s="7" t="s">
        <v>363</v>
      </c>
      <c r="G4" s="7" t="s">
        <v>364</v>
      </c>
      <c r="H4" s="7" t="s">
        <v>365</v>
      </c>
    </row>
    <row r="5" customFormat="false" ht="15" hidden="false" customHeight="false" outlineLevel="0" collapsed="false">
      <c r="A5" s="8" t="s">
        <v>36</v>
      </c>
      <c r="B5" s="21" t="s">
        <v>366</v>
      </c>
      <c r="C5" s="22" t="s">
        <v>367</v>
      </c>
      <c r="D5" s="22" t="s">
        <v>367</v>
      </c>
      <c r="E5" s="22" t="s">
        <v>367</v>
      </c>
      <c r="F5" s="23"/>
      <c r="G5" s="23"/>
      <c r="H5" s="4" t="s">
        <v>368</v>
      </c>
    </row>
    <row r="6" customFormat="false" ht="15" hidden="false" customHeight="false" outlineLevel="0" collapsed="false">
      <c r="A6" s="8" t="s">
        <v>44</v>
      </c>
      <c r="B6" s="21" t="s">
        <v>366</v>
      </c>
      <c r="C6" s="22" t="s">
        <v>367</v>
      </c>
      <c r="D6" s="22" t="s">
        <v>367</v>
      </c>
      <c r="E6" s="22" t="s">
        <v>367</v>
      </c>
      <c r="F6" s="23"/>
      <c r="G6" s="23"/>
      <c r="H6" s="4" t="s">
        <v>369</v>
      </c>
    </row>
    <row r="7" customFormat="false" ht="15" hidden="false" customHeight="false" outlineLevel="0" collapsed="false">
      <c r="A7" s="8" t="s">
        <v>52</v>
      </c>
      <c r="B7" s="21" t="s">
        <v>366</v>
      </c>
      <c r="C7" s="22" t="s">
        <v>367</v>
      </c>
      <c r="D7" s="23"/>
      <c r="E7" s="22" t="s">
        <v>367</v>
      </c>
      <c r="F7" s="23"/>
      <c r="G7" s="22" t="s">
        <v>367</v>
      </c>
      <c r="H7" s="4" t="s">
        <v>370</v>
      </c>
    </row>
    <row r="8" customFormat="false" ht="15" hidden="false" customHeight="false" outlineLevel="0" collapsed="false">
      <c r="A8" s="8" t="s">
        <v>60</v>
      </c>
      <c r="B8" s="21" t="s">
        <v>366</v>
      </c>
      <c r="C8" s="22" t="s">
        <v>367</v>
      </c>
      <c r="D8" s="22" t="s">
        <v>367</v>
      </c>
      <c r="E8" s="23"/>
      <c r="F8" s="22" t="s">
        <v>367</v>
      </c>
      <c r="G8" s="23"/>
      <c r="H8" s="4" t="s">
        <v>371</v>
      </c>
    </row>
    <row r="9" customFormat="false" ht="15" hidden="false" customHeight="false" outlineLevel="0" collapsed="false">
      <c r="A9" s="8" t="s">
        <v>68</v>
      </c>
      <c r="B9" s="21" t="s">
        <v>366</v>
      </c>
      <c r="C9" s="22" t="s">
        <v>367</v>
      </c>
      <c r="D9" s="23"/>
      <c r="E9" s="23"/>
      <c r="F9" s="22" t="s">
        <v>367</v>
      </c>
      <c r="G9" s="23"/>
      <c r="H9" s="4" t="s">
        <v>372</v>
      </c>
    </row>
    <row r="10" customFormat="false" ht="15" hidden="false" customHeight="false" outlineLevel="0" collapsed="false">
      <c r="A10" s="8" t="s">
        <v>76</v>
      </c>
      <c r="B10" s="21" t="s">
        <v>366</v>
      </c>
      <c r="C10" s="22" t="s">
        <v>367</v>
      </c>
      <c r="D10" s="23"/>
      <c r="E10" s="23"/>
      <c r="F10" s="23"/>
      <c r="G10" s="23"/>
      <c r="H10" s="4" t="s">
        <v>373</v>
      </c>
    </row>
    <row r="11" customFormat="false" ht="15" hidden="false" customHeight="false" outlineLevel="0" collapsed="false">
      <c r="A11" s="8" t="s">
        <v>84</v>
      </c>
      <c r="B11" s="21" t="s">
        <v>366</v>
      </c>
      <c r="C11" s="23"/>
      <c r="D11" s="23"/>
      <c r="E11" s="23"/>
      <c r="F11" s="23"/>
      <c r="G11" s="23"/>
      <c r="H11" s="4" t="s">
        <v>374</v>
      </c>
    </row>
    <row r="12" customFormat="false" ht="15" hidden="false" customHeight="false" outlineLevel="0" collapsed="false">
      <c r="A12" s="8" t="s">
        <v>92</v>
      </c>
      <c r="B12" s="21" t="s">
        <v>366</v>
      </c>
      <c r="C12" s="23"/>
      <c r="D12" s="23"/>
      <c r="E12" s="23"/>
      <c r="F12" s="23"/>
      <c r="G12" s="23"/>
      <c r="H12" s="4" t="s">
        <v>374</v>
      </c>
    </row>
    <row r="13" customFormat="false" ht="15" hidden="false" customHeight="false" outlineLevel="0" collapsed="false">
      <c r="A13" s="8" t="s">
        <v>99</v>
      </c>
      <c r="B13" s="21" t="s">
        <v>366</v>
      </c>
      <c r="C13" s="23"/>
      <c r="D13" s="23"/>
      <c r="E13" s="23"/>
      <c r="F13" s="23"/>
      <c r="G13" s="23"/>
      <c r="H13" s="4"/>
    </row>
    <row r="14" customFormat="false" ht="15" hidden="false" customHeight="false" outlineLevel="0" collapsed="false">
      <c r="A14" s="8" t="s">
        <v>106</v>
      </c>
      <c r="B14" s="21" t="s">
        <v>366</v>
      </c>
      <c r="C14" s="23"/>
      <c r="D14" s="23"/>
      <c r="E14" s="23"/>
      <c r="F14" s="23"/>
      <c r="G14" s="23"/>
      <c r="H14" s="4"/>
    </row>
    <row r="15" customFormat="false" ht="15" hidden="false" customHeight="false" outlineLevel="0" collapsed="false">
      <c r="A15" s="8" t="s">
        <v>111</v>
      </c>
      <c r="B15" s="21" t="s">
        <v>366</v>
      </c>
      <c r="C15" s="23"/>
      <c r="D15" s="23"/>
      <c r="E15" s="23"/>
      <c r="F15" s="23"/>
      <c r="G15" s="23"/>
      <c r="H15" s="4" t="s">
        <v>375</v>
      </c>
    </row>
    <row r="16" customFormat="false" ht="15" hidden="false" customHeight="false" outlineLevel="0" collapsed="false">
      <c r="A16" s="8" t="s">
        <v>116</v>
      </c>
      <c r="B16" s="21" t="s">
        <v>366</v>
      </c>
      <c r="C16" s="23"/>
      <c r="D16" s="23"/>
      <c r="E16" s="23"/>
      <c r="F16" s="23"/>
      <c r="G16" s="23"/>
      <c r="H16" s="4" t="s">
        <v>376</v>
      </c>
    </row>
    <row r="17" customFormat="false" ht="15" hidden="false" customHeight="false" outlineLevel="0" collapsed="false">
      <c r="A17" s="8" t="s">
        <v>124</v>
      </c>
      <c r="B17" s="21" t="s">
        <v>366</v>
      </c>
      <c r="C17" s="23"/>
      <c r="D17" s="23"/>
      <c r="E17" s="23"/>
      <c r="F17" s="23"/>
      <c r="G17" s="23"/>
      <c r="H17" s="4"/>
    </row>
    <row r="18" customFormat="false" ht="15" hidden="false" customHeight="false" outlineLevel="0" collapsed="false">
      <c r="A18" s="8" t="s">
        <v>130</v>
      </c>
      <c r="B18" s="21" t="s">
        <v>366</v>
      </c>
      <c r="C18" s="23"/>
      <c r="D18" s="23"/>
      <c r="E18" s="23"/>
      <c r="F18" s="23"/>
      <c r="G18" s="23"/>
      <c r="H18" s="4"/>
    </row>
    <row r="19" customFormat="false" ht="15" hidden="false" customHeight="false" outlineLevel="0" collapsed="false">
      <c r="A19" s="8" t="s">
        <v>136</v>
      </c>
      <c r="B19" s="21" t="s">
        <v>366</v>
      </c>
      <c r="C19" s="21" t="s">
        <v>366</v>
      </c>
      <c r="D19" s="23"/>
      <c r="E19" s="23"/>
      <c r="F19" s="23"/>
      <c r="G19" s="23"/>
      <c r="H19" s="4" t="s">
        <v>377</v>
      </c>
    </row>
    <row r="20" customFormat="false" ht="15" hidden="false" customHeight="false" outlineLevel="0" collapsed="false">
      <c r="A20" s="8" t="s">
        <v>144</v>
      </c>
      <c r="B20" s="21" t="s">
        <v>366</v>
      </c>
      <c r="C20" s="23"/>
      <c r="D20" s="23"/>
      <c r="E20" s="23"/>
      <c r="F20" s="23"/>
      <c r="G20" s="23"/>
      <c r="H20" s="4" t="s">
        <v>378</v>
      </c>
    </row>
    <row r="21" customFormat="false" ht="15" hidden="false" customHeight="false" outlineLevel="0" collapsed="false">
      <c r="A21" s="8" t="s">
        <v>379</v>
      </c>
      <c r="B21" s="21" t="s">
        <v>366</v>
      </c>
      <c r="C21" s="23"/>
      <c r="D21" s="23"/>
      <c r="E21" s="23"/>
      <c r="F21" s="23"/>
      <c r="G21" s="23"/>
      <c r="H21" s="4" t="s">
        <v>380</v>
      </c>
    </row>
    <row r="22" customFormat="false" ht="15" hidden="false" customHeight="false" outlineLevel="0" collapsed="false">
      <c r="A22" s="8" t="s">
        <v>313</v>
      </c>
      <c r="B22" s="21" t="s">
        <v>366</v>
      </c>
      <c r="C22" s="22" t="s">
        <v>367</v>
      </c>
      <c r="D22" s="23"/>
      <c r="E22" s="23"/>
      <c r="F22" s="21" t="s">
        <v>366</v>
      </c>
      <c r="G22" s="23"/>
      <c r="H22" s="4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382</v>
      </c>
    </row>
    <row r="2" customFormat="false" ht="15" hidden="false" customHeight="false" outlineLevel="0" collapsed="false">
      <c r="A2" s="2" t="s">
        <v>383</v>
      </c>
    </row>
    <row r="4" customFormat="false" ht="15" hidden="false" customHeight="false" outlineLevel="0" collapsed="false">
      <c r="A4" s="7" t="s">
        <v>384</v>
      </c>
      <c r="B4" s="7" t="s">
        <v>385</v>
      </c>
      <c r="C4" s="7" t="s">
        <v>386</v>
      </c>
      <c r="D4" s="7" t="s">
        <v>387</v>
      </c>
      <c r="E4" s="7" t="s">
        <v>388</v>
      </c>
      <c r="F4" s="7" t="s">
        <v>389</v>
      </c>
    </row>
    <row r="5" customFormat="false" ht="48" hidden="false" customHeight="true" outlineLevel="0" collapsed="false">
      <c r="A5" s="8" t="s">
        <v>68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</row>
    <row r="6" customFormat="false" ht="48" hidden="false" customHeight="true" outlineLevel="0" collapsed="false">
      <c r="A6" s="8" t="s">
        <v>395</v>
      </c>
      <c r="B6" s="4" t="s">
        <v>396</v>
      </c>
      <c r="C6" s="4" t="s">
        <v>397</v>
      </c>
      <c r="D6" s="4" t="s">
        <v>398</v>
      </c>
      <c r="E6" s="4" t="s">
        <v>399</v>
      </c>
      <c r="F6" s="4" t="s">
        <v>400</v>
      </c>
    </row>
    <row r="7" customFormat="false" ht="48" hidden="false" customHeight="true" outlineLevel="0" collapsed="false">
      <c r="A7" s="8" t="s">
        <v>401</v>
      </c>
      <c r="B7" s="4" t="s">
        <v>402</v>
      </c>
      <c r="C7" s="4" t="s">
        <v>403</v>
      </c>
      <c r="D7" s="4" t="s">
        <v>404</v>
      </c>
      <c r="E7" s="4" t="s">
        <v>405</v>
      </c>
      <c r="F7" s="4" t="s">
        <v>406</v>
      </c>
    </row>
    <row r="8" customFormat="false" ht="48" hidden="false" customHeight="true" outlineLevel="0" collapsed="false">
      <c r="A8" s="8" t="s">
        <v>130</v>
      </c>
      <c r="B8" s="4" t="s">
        <v>407</v>
      </c>
      <c r="C8" s="4" t="s">
        <v>408</v>
      </c>
      <c r="D8" s="4" t="s">
        <v>409</v>
      </c>
      <c r="E8" s="4" t="s">
        <v>405</v>
      </c>
      <c r="F8" s="4" t="s">
        <v>406</v>
      </c>
    </row>
    <row r="9" customFormat="false" ht="48" hidden="false" customHeight="true" outlineLevel="0" collapsed="false">
      <c r="A9" s="8" t="s">
        <v>116</v>
      </c>
      <c r="B9" s="4" t="s">
        <v>410</v>
      </c>
      <c r="C9" s="4" t="s">
        <v>411</v>
      </c>
      <c r="D9" s="4" t="s">
        <v>412</v>
      </c>
      <c r="E9" s="4" t="s">
        <v>405</v>
      </c>
      <c r="F9" s="4" t="s">
        <v>406</v>
      </c>
    </row>
    <row r="10" customFormat="false" ht="48" hidden="false" customHeight="true" outlineLevel="0" collapsed="false">
      <c r="A10" s="8" t="s">
        <v>413</v>
      </c>
      <c r="B10" s="4" t="s">
        <v>414</v>
      </c>
      <c r="C10" s="4" t="s">
        <v>415</v>
      </c>
      <c r="D10" s="4" t="s">
        <v>416</v>
      </c>
      <c r="E10" s="4" t="s">
        <v>417</v>
      </c>
      <c r="F10" s="4" t="s">
        <v>418</v>
      </c>
    </row>
    <row r="11" customFormat="false" ht="48" hidden="false" customHeight="true" outlineLevel="0" collapsed="false">
      <c r="A11" s="8" t="s">
        <v>144</v>
      </c>
      <c r="B11" s="4" t="s">
        <v>419</v>
      </c>
      <c r="C11" s="4" t="s">
        <v>420</v>
      </c>
      <c r="D11" s="4" t="s">
        <v>421</v>
      </c>
      <c r="E11" s="4" t="s">
        <v>417</v>
      </c>
      <c r="F11" s="4" t="s">
        <v>422</v>
      </c>
    </row>
    <row r="12" customFormat="false" ht="48" hidden="false" customHeight="true" outlineLevel="0" collapsed="false">
      <c r="A12" s="8" t="s">
        <v>423</v>
      </c>
      <c r="B12" s="4" t="s">
        <v>424</v>
      </c>
      <c r="C12" s="4" t="s">
        <v>425</v>
      </c>
      <c r="D12" s="4" t="s">
        <v>426</v>
      </c>
      <c r="E12" s="4" t="s">
        <v>417</v>
      </c>
      <c r="F12" s="4" t="s">
        <v>427</v>
      </c>
    </row>
    <row r="13" customFormat="false" ht="48" hidden="false" customHeight="true" outlineLevel="0" collapsed="false">
      <c r="A13" s="8" t="s">
        <v>144</v>
      </c>
      <c r="B13" s="4" t="s">
        <v>428</v>
      </c>
      <c r="C13" s="4" t="s">
        <v>429</v>
      </c>
      <c r="D13" s="4" t="s">
        <v>430</v>
      </c>
      <c r="E13" s="4" t="s">
        <v>417</v>
      </c>
      <c r="F13" s="4" t="s">
        <v>431</v>
      </c>
    </row>
    <row r="14" customFormat="false" ht="48" hidden="false" customHeight="true" outlineLevel="0" collapsed="false">
      <c r="A14" s="8" t="s">
        <v>36</v>
      </c>
      <c r="B14" s="4" t="s">
        <v>432</v>
      </c>
      <c r="C14" s="4" t="s">
        <v>433</v>
      </c>
      <c r="D14" s="4" t="s">
        <v>434</v>
      </c>
      <c r="E14" s="4" t="s">
        <v>435</v>
      </c>
      <c r="F14" s="4" t="s">
        <v>436</v>
      </c>
    </row>
    <row r="15" customFormat="false" ht="48" hidden="false" customHeight="true" outlineLevel="0" collapsed="false">
      <c r="A15" s="8" t="s">
        <v>36</v>
      </c>
      <c r="B15" s="4" t="s">
        <v>437</v>
      </c>
      <c r="C15" s="4" t="s">
        <v>438</v>
      </c>
      <c r="D15" s="4" t="s">
        <v>439</v>
      </c>
      <c r="E15" s="4" t="s">
        <v>393</v>
      </c>
      <c r="F15" s="4" t="s">
        <v>440</v>
      </c>
    </row>
    <row r="16" customFormat="false" ht="48" hidden="false" customHeight="true" outlineLevel="0" collapsed="false">
      <c r="A16" s="8" t="s">
        <v>36</v>
      </c>
      <c r="B16" s="4" t="s">
        <v>441</v>
      </c>
      <c r="C16" s="4" t="s">
        <v>442</v>
      </c>
      <c r="D16" s="4" t="s">
        <v>443</v>
      </c>
      <c r="E16" s="4" t="s">
        <v>444</v>
      </c>
      <c r="F16" s="4" t="s">
        <v>445</v>
      </c>
    </row>
    <row r="17" customFormat="false" ht="48" hidden="false" customHeight="true" outlineLevel="0" collapsed="false">
      <c r="A17" s="8" t="s">
        <v>52</v>
      </c>
      <c r="B17" s="4" t="s">
        <v>446</v>
      </c>
      <c r="C17" s="4" t="s">
        <v>447</v>
      </c>
      <c r="D17" s="4" t="s">
        <v>448</v>
      </c>
      <c r="E17" s="4" t="s">
        <v>449</v>
      </c>
      <c r="F17" s="4" t="s">
        <v>450</v>
      </c>
    </row>
    <row r="18" customFormat="false" ht="48" hidden="false" customHeight="true" outlineLevel="0" collapsed="false">
      <c r="A18" s="8" t="s">
        <v>52</v>
      </c>
      <c r="B18" s="4" t="s">
        <v>451</v>
      </c>
      <c r="C18" s="4" t="s">
        <v>452</v>
      </c>
      <c r="D18" s="4" t="s">
        <v>453</v>
      </c>
      <c r="E18" s="4" t="s">
        <v>393</v>
      </c>
      <c r="F18" s="4" t="s">
        <v>454</v>
      </c>
    </row>
    <row r="19" customFormat="false" ht="48" hidden="false" customHeight="true" outlineLevel="0" collapsed="false">
      <c r="A19" s="8" t="s">
        <v>60</v>
      </c>
      <c r="B19" s="4" t="s">
        <v>455</v>
      </c>
      <c r="C19" s="4" t="s">
        <v>433</v>
      </c>
      <c r="D19" s="4" t="s">
        <v>456</v>
      </c>
      <c r="E19" s="4" t="s">
        <v>444</v>
      </c>
      <c r="F19" s="4" t="s">
        <v>457</v>
      </c>
    </row>
    <row r="20" customFormat="false" ht="48" hidden="false" customHeight="true" outlineLevel="0" collapsed="false">
      <c r="A20" s="8" t="s">
        <v>44</v>
      </c>
      <c r="B20" s="4" t="s">
        <v>458</v>
      </c>
      <c r="C20" s="4" t="s">
        <v>411</v>
      </c>
      <c r="D20" s="4" t="s">
        <v>459</v>
      </c>
      <c r="E20" s="4" t="s">
        <v>393</v>
      </c>
      <c r="F20" s="4" t="s">
        <v>440</v>
      </c>
    </row>
    <row r="21" customFormat="false" ht="48" hidden="false" customHeight="true" outlineLevel="0" collapsed="false">
      <c r="A21" s="8" t="s">
        <v>76</v>
      </c>
      <c r="B21" s="4" t="s">
        <v>460</v>
      </c>
      <c r="C21" s="4" t="s">
        <v>411</v>
      </c>
      <c r="D21" s="4" t="s">
        <v>461</v>
      </c>
      <c r="E21" s="4" t="s">
        <v>393</v>
      </c>
      <c r="F21" s="4" t="s">
        <v>462</v>
      </c>
    </row>
    <row r="22" customFormat="false" ht="48" hidden="false" customHeight="true" outlineLevel="0" collapsed="false">
      <c r="A22" s="8" t="s">
        <v>111</v>
      </c>
      <c r="B22" s="4" t="s">
        <v>463</v>
      </c>
      <c r="C22" s="4" t="s">
        <v>464</v>
      </c>
      <c r="D22" s="4" t="s">
        <v>465</v>
      </c>
      <c r="E22" s="4" t="s">
        <v>466</v>
      </c>
      <c r="F22" s="4" t="s">
        <v>467</v>
      </c>
    </row>
    <row r="23" customFormat="false" ht="48" hidden="false" customHeight="true" outlineLevel="0" collapsed="false">
      <c r="A23" s="8" t="s">
        <v>124</v>
      </c>
      <c r="B23" s="4" t="s">
        <v>468</v>
      </c>
      <c r="C23" s="4" t="s">
        <v>464</v>
      </c>
      <c r="D23" s="4" t="s">
        <v>469</v>
      </c>
      <c r="E23" s="4" t="s">
        <v>405</v>
      </c>
      <c r="F23" s="4" t="s">
        <v>470</v>
      </c>
    </row>
    <row r="24" customFormat="false" ht="48" hidden="false" customHeight="true" outlineLevel="0" collapsed="false">
      <c r="A24" s="8" t="s">
        <v>313</v>
      </c>
      <c r="B24" s="4" t="s">
        <v>471</v>
      </c>
      <c r="C24" s="4" t="s">
        <v>472</v>
      </c>
      <c r="D24" s="4" t="s">
        <v>473</v>
      </c>
      <c r="E24" s="4" t="s">
        <v>435</v>
      </c>
      <c r="F24" s="4" t="s">
        <v>474</v>
      </c>
    </row>
    <row r="25" customFormat="false" ht="48" hidden="false" customHeight="true" outlineLevel="0" collapsed="false">
      <c r="A25" s="8" t="s">
        <v>313</v>
      </c>
      <c r="B25" s="4" t="s">
        <v>475</v>
      </c>
      <c r="C25" s="4" t="s">
        <v>476</v>
      </c>
      <c r="D25" s="4" t="s">
        <v>477</v>
      </c>
      <c r="E25" s="4" t="s">
        <v>478</v>
      </c>
      <c r="F25" s="4" t="s">
        <v>479</v>
      </c>
    </row>
    <row r="26" customFormat="false" ht="48" hidden="false" customHeight="true" outlineLevel="0" collapsed="false">
      <c r="A26" s="8" t="s">
        <v>313</v>
      </c>
      <c r="B26" s="4" t="s">
        <v>480</v>
      </c>
      <c r="C26" s="4" t="s">
        <v>481</v>
      </c>
      <c r="D26" s="4" t="s">
        <v>482</v>
      </c>
      <c r="E26" s="4" t="s">
        <v>435</v>
      </c>
      <c r="F26" s="4" t="s">
        <v>483</v>
      </c>
    </row>
    <row r="27" customFormat="false" ht="48" hidden="false" customHeight="true" outlineLevel="0" collapsed="false">
      <c r="A27" s="8" t="s">
        <v>484</v>
      </c>
      <c r="B27" s="4" t="s">
        <v>485</v>
      </c>
      <c r="C27" s="4" t="s">
        <v>486</v>
      </c>
      <c r="D27" s="4" t="s">
        <v>487</v>
      </c>
      <c r="E27" s="4" t="s">
        <v>435</v>
      </c>
      <c r="F27" s="4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489</v>
      </c>
    </row>
    <row r="2" customFormat="false" ht="15" hidden="false" customHeight="false" outlineLevel="0" collapsed="false">
      <c r="A2" s="2" t="s">
        <v>490</v>
      </c>
    </row>
    <row r="4" customFormat="false" ht="15" hidden="false" customHeight="false" outlineLevel="0" collapsed="false">
      <c r="A4" s="7" t="s">
        <v>491</v>
      </c>
      <c r="B4" s="7" t="s">
        <v>492</v>
      </c>
      <c r="C4" s="7" t="s">
        <v>493</v>
      </c>
      <c r="D4" s="7" t="s">
        <v>494</v>
      </c>
      <c r="E4" s="7" t="s">
        <v>495</v>
      </c>
    </row>
    <row r="5" customFormat="false" ht="75" hidden="false" customHeight="true" outlineLevel="0" collapsed="false">
      <c r="A5" s="8" t="s">
        <v>496</v>
      </c>
      <c r="B5" s="4" t="s">
        <v>497</v>
      </c>
      <c r="C5" s="4" t="s">
        <v>498</v>
      </c>
      <c r="D5" s="4" t="s">
        <v>499</v>
      </c>
      <c r="E5" s="4" t="s">
        <v>500</v>
      </c>
    </row>
    <row r="6" customFormat="false" ht="75" hidden="false" customHeight="true" outlineLevel="0" collapsed="false">
      <c r="A6" s="8" t="s">
        <v>36</v>
      </c>
      <c r="B6" s="4" t="s">
        <v>501</v>
      </c>
      <c r="C6" s="4" t="s">
        <v>502</v>
      </c>
      <c r="D6" s="4" t="s">
        <v>503</v>
      </c>
      <c r="E6" s="4" t="s">
        <v>504</v>
      </c>
    </row>
    <row r="7" customFormat="false" ht="75" hidden="false" customHeight="true" outlineLevel="0" collapsed="false">
      <c r="A7" s="8" t="s">
        <v>36</v>
      </c>
      <c r="B7" s="4" t="s">
        <v>505</v>
      </c>
      <c r="C7" s="4" t="s">
        <v>506</v>
      </c>
      <c r="D7" s="4" t="s">
        <v>507</v>
      </c>
      <c r="E7" s="4" t="s">
        <v>508</v>
      </c>
    </row>
    <row r="8" customFormat="false" ht="75" hidden="false" customHeight="true" outlineLevel="0" collapsed="false">
      <c r="A8" s="8" t="s">
        <v>68</v>
      </c>
      <c r="B8" s="4" t="s">
        <v>509</v>
      </c>
      <c r="C8" s="4" t="s">
        <v>510</v>
      </c>
      <c r="D8" s="4" t="s">
        <v>511</v>
      </c>
      <c r="E8" s="4" t="s">
        <v>512</v>
      </c>
    </row>
    <row r="9" customFormat="false" ht="75" hidden="false" customHeight="true" outlineLevel="0" collapsed="false">
      <c r="A9" s="8" t="s">
        <v>68</v>
      </c>
      <c r="B9" s="4" t="s">
        <v>513</v>
      </c>
      <c r="C9" s="4" t="s">
        <v>514</v>
      </c>
      <c r="D9" s="4" t="s">
        <v>515</v>
      </c>
      <c r="E9" s="4" t="s">
        <v>516</v>
      </c>
    </row>
    <row r="10" customFormat="false" ht="75" hidden="false" customHeight="true" outlineLevel="0" collapsed="false">
      <c r="A10" s="8" t="s">
        <v>44</v>
      </c>
      <c r="B10" s="4" t="s">
        <v>517</v>
      </c>
      <c r="C10" s="4" t="s">
        <v>518</v>
      </c>
      <c r="D10" s="4" t="s">
        <v>519</v>
      </c>
      <c r="E10" s="4" t="s">
        <v>520</v>
      </c>
    </row>
    <row r="11" customFormat="false" ht="75" hidden="false" customHeight="true" outlineLevel="0" collapsed="false">
      <c r="A11" s="8" t="s">
        <v>60</v>
      </c>
      <c r="B11" s="4" t="s">
        <v>521</v>
      </c>
      <c r="C11" s="4" t="s">
        <v>522</v>
      </c>
      <c r="D11" s="4" t="s">
        <v>523</v>
      </c>
      <c r="E11" s="4" t="s">
        <v>524</v>
      </c>
    </row>
    <row r="12" customFormat="false" ht="75" hidden="false" customHeight="true" outlineLevel="0" collapsed="false">
      <c r="A12" s="8" t="s">
        <v>76</v>
      </c>
      <c r="B12" s="4" t="s">
        <v>525</v>
      </c>
      <c r="C12" s="4" t="s">
        <v>526</v>
      </c>
      <c r="D12" s="4" t="s">
        <v>527</v>
      </c>
      <c r="E12" s="4" t="s">
        <v>528</v>
      </c>
    </row>
    <row r="13" customFormat="false" ht="75" hidden="false" customHeight="true" outlineLevel="0" collapsed="false">
      <c r="A13" s="8" t="s">
        <v>529</v>
      </c>
      <c r="B13" s="4" t="s">
        <v>530</v>
      </c>
      <c r="C13" s="4" t="s">
        <v>531</v>
      </c>
      <c r="D13" s="4" t="s">
        <v>532</v>
      </c>
      <c r="E13" s="4" t="s">
        <v>533</v>
      </c>
    </row>
    <row r="14" customFormat="false" ht="75" hidden="false" customHeight="true" outlineLevel="0" collapsed="false">
      <c r="A14" s="8" t="s">
        <v>534</v>
      </c>
      <c r="B14" s="4" t="s">
        <v>535</v>
      </c>
      <c r="C14" s="4" t="s">
        <v>536</v>
      </c>
      <c r="D14" s="4" t="s">
        <v>537</v>
      </c>
      <c r="E14" s="4" t="s">
        <v>538</v>
      </c>
    </row>
    <row r="15" customFormat="false" ht="75" hidden="false" customHeight="true" outlineLevel="0" collapsed="false">
      <c r="A15" s="8" t="s">
        <v>313</v>
      </c>
      <c r="B15" s="4" t="s">
        <v>539</v>
      </c>
      <c r="C15" s="4" t="s">
        <v>540</v>
      </c>
      <c r="D15" s="4" t="s">
        <v>541</v>
      </c>
      <c r="E15" s="4" t="s">
        <v>542</v>
      </c>
    </row>
    <row r="16" customFormat="false" ht="75" hidden="false" customHeight="true" outlineLevel="0" collapsed="false">
      <c r="A16" s="8" t="s">
        <v>543</v>
      </c>
      <c r="B16" s="4" t="s">
        <v>544</v>
      </c>
      <c r="C16" s="4" t="s">
        <v>545</v>
      </c>
      <c r="D16" s="4" t="s">
        <v>546</v>
      </c>
      <c r="E16" s="4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0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547</v>
      </c>
    </row>
    <row r="3" customFormat="false" ht="15" hidden="false" customHeight="false" outlineLevel="0" collapsed="false">
      <c r="A3" s="7" t="s">
        <v>548</v>
      </c>
      <c r="B3" s="7" t="s">
        <v>549</v>
      </c>
      <c r="C3" s="7" t="s">
        <v>550</v>
      </c>
      <c r="D3" s="7" t="s">
        <v>551</v>
      </c>
    </row>
    <row r="4" customFormat="false" ht="15" hidden="false" customHeight="false" outlineLevel="0" collapsed="false">
      <c r="A4" s="4" t="s">
        <v>552</v>
      </c>
      <c r="B4" s="4" t="s">
        <v>553</v>
      </c>
      <c r="C4" s="4" t="s">
        <v>554</v>
      </c>
      <c r="D4" s="4" t="s">
        <v>555</v>
      </c>
    </row>
    <row r="5" customFormat="false" ht="15" hidden="false" customHeight="false" outlineLevel="0" collapsed="false">
      <c r="A5" s="4" t="s">
        <v>552</v>
      </c>
      <c r="B5" s="4" t="s">
        <v>556</v>
      </c>
      <c r="C5" s="4" t="s">
        <v>557</v>
      </c>
      <c r="D5" s="4" t="s">
        <v>367</v>
      </c>
    </row>
    <row r="6" customFormat="false" ht="15" hidden="false" customHeight="false" outlineLevel="0" collapsed="false">
      <c r="A6" s="4" t="s">
        <v>552</v>
      </c>
      <c r="B6" s="4" t="s">
        <v>558</v>
      </c>
      <c r="C6" s="4" t="s">
        <v>559</v>
      </c>
      <c r="D6" s="4" t="s">
        <v>367</v>
      </c>
    </row>
    <row r="7" customFormat="false" ht="15" hidden="false" customHeight="false" outlineLevel="0" collapsed="false">
      <c r="A7" s="4" t="s">
        <v>36</v>
      </c>
      <c r="B7" s="4" t="s">
        <v>560</v>
      </c>
      <c r="C7" s="4" t="s">
        <v>561</v>
      </c>
      <c r="D7" s="4" t="s">
        <v>366</v>
      </c>
    </row>
    <row r="8" customFormat="false" ht="15" hidden="false" customHeight="false" outlineLevel="0" collapsed="false">
      <c r="A8" s="4" t="s">
        <v>36</v>
      </c>
      <c r="B8" s="4" t="s">
        <v>562</v>
      </c>
      <c r="C8" s="4" t="s">
        <v>563</v>
      </c>
      <c r="D8" s="4" t="s">
        <v>366</v>
      </c>
    </row>
    <row r="9" customFormat="false" ht="23.85" hidden="false" customHeight="false" outlineLevel="0" collapsed="false">
      <c r="A9" s="4" t="s">
        <v>36</v>
      </c>
      <c r="B9" s="4" t="s">
        <v>564</v>
      </c>
      <c r="C9" s="4" t="s">
        <v>565</v>
      </c>
      <c r="D9" s="4" t="s">
        <v>367</v>
      </c>
    </row>
    <row r="10" customFormat="false" ht="15" hidden="false" customHeight="false" outlineLevel="0" collapsed="false">
      <c r="A10" s="4" t="s">
        <v>44</v>
      </c>
      <c r="B10" s="4" t="s">
        <v>566</v>
      </c>
      <c r="C10" s="4" t="s">
        <v>567</v>
      </c>
      <c r="D10" s="4" t="s">
        <v>367</v>
      </c>
    </row>
    <row r="11" customFormat="false" ht="15" hidden="false" customHeight="false" outlineLevel="0" collapsed="false">
      <c r="A11" s="4" t="s">
        <v>44</v>
      </c>
      <c r="B11" s="4" t="s">
        <v>568</v>
      </c>
      <c r="C11" s="4" t="s">
        <v>569</v>
      </c>
      <c r="D11" s="4" t="s">
        <v>366</v>
      </c>
    </row>
    <row r="12" customFormat="false" ht="23.85" hidden="false" customHeight="false" outlineLevel="0" collapsed="false">
      <c r="A12" s="4" t="s">
        <v>52</v>
      </c>
      <c r="B12" s="4" t="s">
        <v>570</v>
      </c>
      <c r="C12" s="4" t="s">
        <v>571</v>
      </c>
      <c r="D12" s="4" t="s">
        <v>366</v>
      </c>
    </row>
    <row r="13" customFormat="false" ht="15" hidden="false" customHeight="false" outlineLevel="0" collapsed="false">
      <c r="A13" s="4" t="s">
        <v>52</v>
      </c>
      <c r="B13" s="4" t="s">
        <v>572</v>
      </c>
      <c r="C13" s="4" t="s">
        <v>573</v>
      </c>
      <c r="D13" s="4" t="s">
        <v>367</v>
      </c>
    </row>
    <row r="14" customFormat="false" ht="15" hidden="false" customHeight="false" outlineLevel="0" collapsed="false">
      <c r="A14" s="4" t="s">
        <v>60</v>
      </c>
      <c r="B14" s="4" t="s">
        <v>574</v>
      </c>
      <c r="C14" s="4" t="s">
        <v>575</v>
      </c>
      <c r="D14" s="4" t="s">
        <v>367</v>
      </c>
    </row>
    <row r="15" customFormat="false" ht="15" hidden="false" customHeight="false" outlineLevel="0" collapsed="false">
      <c r="A15" s="4" t="s">
        <v>60</v>
      </c>
      <c r="B15" s="4" t="s">
        <v>576</v>
      </c>
      <c r="C15" s="4" t="s">
        <v>577</v>
      </c>
      <c r="D15" s="4" t="s">
        <v>367</v>
      </c>
    </row>
    <row r="16" customFormat="false" ht="15" hidden="false" customHeight="false" outlineLevel="0" collapsed="false">
      <c r="A16" s="4" t="s">
        <v>68</v>
      </c>
      <c r="B16" s="4" t="s">
        <v>578</v>
      </c>
      <c r="C16" s="4" t="s">
        <v>579</v>
      </c>
      <c r="D16" s="4" t="s">
        <v>580</v>
      </c>
    </row>
    <row r="17" customFormat="false" ht="15" hidden="false" customHeight="false" outlineLevel="0" collapsed="false">
      <c r="A17" s="4" t="s">
        <v>68</v>
      </c>
      <c r="B17" s="4" t="s">
        <v>581</v>
      </c>
      <c r="C17" s="4" t="s">
        <v>582</v>
      </c>
      <c r="D17" s="4" t="s">
        <v>367</v>
      </c>
    </row>
    <row r="18" customFormat="false" ht="23.85" hidden="false" customHeight="false" outlineLevel="0" collapsed="false">
      <c r="A18" s="4" t="s">
        <v>68</v>
      </c>
      <c r="B18" s="4" t="s">
        <v>583</v>
      </c>
      <c r="C18" s="4" t="s">
        <v>584</v>
      </c>
      <c r="D18" s="4" t="s">
        <v>367</v>
      </c>
    </row>
    <row r="19" customFormat="false" ht="15" hidden="false" customHeight="false" outlineLevel="0" collapsed="false">
      <c r="A19" s="4" t="s">
        <v>76</v>
      </c>
      <c r="B19" s="4" t="s">
        <v>585</v>
      </c>
      <c r="C19" s="4" t="s">
        <v>586</v>
      </c>
      <c r="D19" s="4" t="s">
        <v>367</v>
      </c>
    </row>
    <row r="20" customFormat="false" ht="15" hidden="false" customHeight="false" outlineLevel="0" collapsed="false">
      <c r="A20" s="4" t="s">
        <v>76</v>
      </c>
      <c r="B20" s="4" t="s">
        <v>587</v>
      </c>
      <c r="C20" s="4" t="s">
        <v>588</v>
      </c>
      <c r="D20" s="4" t="s">
        <v>367</v>
      </c>
    </row>
    <row r="21" customFormat="false" ht="15" hidden="false" customHeight="false" outlineLevel="0" collapsed="false">
      <c r="A21" s="4" t="s">
        <v>466</v>
      </c>
      <c r="B21" s="4" t="s">
        <v>589</v>
      </c>
      <c r="C21" s="4" t="s">
        <v>590</v>
      </c>
      <c r="D21" s="4" t="s">
        <v>367</v>
      </c>
    </row>
    <row r="22" customFormat="false" ht="15" hidden="false" customHeight="false" outlineLevel="0" collapsed="false">
      <c r="A22" s="4" t="s">
        <v>466</v>
      </c>
      <c r="B22" s="4" t="s">
        <v>591</v>
      </c>
      <c r="C22" s="4" t="s">
        <v>592</v>
      </c>
      <c r="D22" s="4" t="s">
        <v>367</v>
      </c>
    </row>
    <row r="23" customFormat="false" ht="23.85" hidden="false" customHeight="false" outlineLevel="0" collapsed="false">
      <c r="A23" s="4" t="s">
        <v>466</v>
      </c>
      <c r="B23" s="4" t="s">
        <v>593</v>
      </c>
      <c r="C23" s="4" t="s">
        <v>594</v>
      </c>
      <c r="D23" s="4" t="s">
        <v>367</v>
      </c>
    </row>
    <row r="24" customFormat="false" ht="15" hidden="false" customHeight="false" outlineLevel="0" collapsed="false">
      <c r="A24" s="4" t="s">
        <v>466</v>
      </c>
      <c r="B24" s="4" t="s">
        <v>595</v>
      </c>
      <c r="C24" s="4" t="s">
        <v>596</v>
      </c>
      <c r="D24" s="4" t="s">
        <v>367</v>
      </c>
    </row>
    <row r="25" customFormat="false" ht="15" hidden="false" customHeight="false" outlineLevel="0" collapsed="false">
      <c r="A25" s="4" t="s">
        <v>405</v>
      </c>
      <c r="B25" s="4" t="s">
        <v>597</v>
      </c>
      <c r="C25" s="4" t="s">
        <v>598</v>
      </c>
      <c r="D25" s="4" t="s">
        <v>367</v>
      </c>
    </row>
    <row r="26" customFormat="false" ht="15" hidden="false" customHeight="false" outlineLevel="0" collapsed="false">
      <c r="A26" s="4" t="s">
        <v>405</v>
      </c>
      <c r="B26" s="4" t="s">
        <v>599</v>
      </c>
      <c r="C26" s="4" t="s">
        <v>600</v>
      </c>
      <c r="D26" s="4" t="s">
        <v>367</v>
      </c>
    </row>
    <row r="27" customFormat="false" ht="15" hidden="false" customHeight="false" outlineLevel="0" collapsed="false">
      <c r="A27" s="4" t="s">
        <v>405</v>
      </c>
      <c r="B27" s="4" t="s">
        <v>601</v>
      </c>
      <c r="C27" s="4" t="s">
        <v>602</v>
      </c>
      <c r="D27" s="4" t="s">
        <v>603</v>
      </c>
    </row>
    <row r="28" customFormat="false" ht="15" hidden="false" customHeight="false" outlineLevel="0" collapsed="false">
      <c r="A28" s="4" t="s">
        <v>604</v>
      </c>
      <c r="B28" s="4" t="s">
        <v>605</v>
      </c>
      <c r="C28" s="4" t="s">
        <v>606</v>
      </c>
      <c r="D28" s="4" t="s">
        <v>367</v>
      </c>
    </row>
    <row r="29" customFormat="false" ht="15" hidden="false" customHeight="false" outlineLevel="0" collapsed="false">
      <c r="A29" s="4" t="s">
        <v>604</v>
      </c>
      <c r="B29" s="4" t="s">
        <v>607</v>
      </c>
      <c r="C29" s="4" t="s">
        <v>608</v>
      </c>
      <c r="D29" s="4" t="s">
        <v>367</v>
      </c>
    </row>
    <row r="30" customFormat="false" ht="15" hidden="false" customHeight="false" outlineLevel="0" collapsed="false">
      <c r="A30" s="4" t="s">
        <v>417</v>
      </c>
      <c r="B30" s="4" t="s">
        <v>609</v>
      </c>
      <c r="C30" s="4" t="s">
        <v>610</v>
      </c>
      <c r="D30" s="4" t="s">
        <v>366</v>
      </c>
    </row>
    <row r="31" customFormat="false" ht="15" hidden="false" customHeight="false" outlineLevel="0" collapsed="false">
      <c r="A31" s="4" t="s">
        <v>417</v>
      </c>
      <c r="B31" s="4" t="s">
        <v>611</v>
      </c>
      <c r="C31" s="4" t="s">
        <v>612</v>
      </c>
      <c r="D31" s="4" t="s">
        <v>367</v>
      </c>
    </row>
    <row r="32" customFormat="false" ht="23.85" hidden="false" customHeight="false" outlineLevel="0" collapsed="false">
      <c r="A32" s="4" t="s">
        <v>417</v>
      </c>
      <c r="B32" s="4" t="s">
        <v>613</v>
      </c>
      <c r="C32" s="4" t="s">
        <v>614</v>
      </c>
      <c r="D32" s="4" t="s">
        <v>615</v>
      </c>
    </row>
    <row r="33" customFormat="false" ht="15" hidden="false" customHeight="false" outlineLevel="0" collapsed="false">
      <c r="A33" s="4" t="s">
        <v>616</v>
      </c>
      <c r="B33" s="4" t="s">
        <v>617</v>
      </c>
      <c r="C33" s="4" t="s">
        <v>618</v>
      </c>
      <c r="D33" s="4" t="s">
        <v>367</v>
      </c>
    </row>
    <row r="34" customFormat="false" ht="15" hidden="false" customHeight="false" outlineLevel="0" collapsed="false">
      <c r="A34" s="4" t="s">
        <v>616</v>
      </c>
      <c r="B34" s="4" t="s">
        <v>619</v>
      </c>
      <c r="C34" s="4" t="s">
        <v>620</v>
      </c>
      <c r="D34" s="4" t="s">
        <v>367</v>
      </c>
    </row>
    <row r="35" customFormat="false" ht="15" hidden="false" customHeight="false" outlineLevel="0" collapsed="false">
      <c r="A35" s="4" t="s">
        <v>621</v>
      </c>
      <c r="B35" s="4" t="s">
        <v>622</v>
      </c>
      <c r="C35" s="4" t="s">
        <v>623</v>
      </c>
      <c r="D35" s="4" t="s">
        <v>367</v>
      </c>
    </row>
    <row r="36" customFormat="false" ht="15" hidden="false" customHeight="false" outlineLevel="0" collapsed="false">
      <c r="A36" s="4" t="s">
        <v>621</v>
      </c>
      <c r="B36" s="4" t="s">
        <v>624</v>
      </c>
      <c r="C36" s="4" t="s">
        <v>625</v>
      </c>
      <c r="D36" s="4" t="s">
        <v>367</v>
      </c>
    </row>
    <row r="38" customFormat="false" ht="15" hidden="false" customHeight="false" outlineLevel="0" collapsed="false">
      <c r="A38" s="24" t="s">
        <v>365</v>
      </c>
      <c r="B38" s="24"/>
      <c r="C38" s="24"/>
      <c r="D38" s="24"/>
    </row>
    <row r="39" customFormat="false" ht="15" hidden="false" customHeight="false" outlineLevel="0" collapsed="false">
      <c r="A39" s="25" t="s">
        <v>626</v>
      </c>
      <c r="B39" s="25"/>
      <c r="C39" s="25"/>
      <c r="D39" s="25"/>
    </row>
    <row r="40" customFormat="false" ht="15" hidden="false" customHeight="false" outlineLevel="0" collapsed="false">
      <c r="A40" s="25" t="s">
        <v>627</v>
      </c>
      <c r="B40" s="25"/>
      <c r="C40" s="25"/>
      <c r="D40" s="25"/>
    </row>
    <row r="41" customFormat="false" ht="15" hidden="false" customHeight="false" outlineLevel="0" collapsed="false">
      <c r="A41" s="25" t="s">
        <v>628</v>
      </c>
      <c r="B41" s="25"/>
      <c r="C41" s="25"/>
      <c r="D41" s="25"/>
    </row>
    <row r="42" customFormat="false" ht="15" hidden="false" customHeight="false" outlineLevel="0" collapsed="false">
      <c r="A42" s="25" t="s">
        <v>629</v>
      </c>
      <c r="B42" s="25"/>
      <c r="C42" s="25"/>
      <c r="D42" s="25"/>
    </row>
  </sheetData>
  <mergeCells count="5">
    <mergeCell ref="A38:D38"/>
    <mergeCell ref="A39:D39"/>
    <mergeCell ref="A40:D40"/>
    <mergeCell ref="A41:D41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2026-10-07T02:53:16Z</dcterms:created>
  <dc:creator>openpyxl</dc:creator>
  <dc:description/>
  <dc:language>en-US</dc:language>
  <cp:lastModifiedBy/>
  <dcterms:modified xsi:type="dcterms:W3CDTF">2026-10-07T02:53:16Z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
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Executive Summary" sheetId="1" state="visible" r:id="rId3"/>
    <sheet name="💰 Budget Breakdown" sheetId="2" state="visible" r:id="rId4"/>
    <sheet name="👥 Staffing Plan" sheetId="3" state="visible" r:id="rId5"/>
    <sheet name="📅 Timeline &amp; Milestones" sheetId="4" state="visible" r:id="rId6"/>
    <sheet name="⚠️ Risk Register" sheetId="5" state="visible" r:id="rId7"/>
    <sheet name="🔧 Assumptions &amp; FX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<sst xmlns="http://schemas.openxmlformats.org/spreadsheetml/2006/main" count="441" uniqueCount="352">
  <si>
    <t xml:space="preserve">GHANA CHAMBER OF MINES
MEMBER MANAGEMENT &amp; REPORT AGGREGATION SYSTEM
SOFTWARE DEVELOPMENT BUDGET</t>
  </si>
  <si>
    <t xml:space="preserve">Fiscal Year 2025 – 2027  |  Prepared by: IT &amp; Strategy Division  |  Date: May 2025</t>
  </si>
  <si>
    <t xml:space="preserve">Total 3-Year Investment (GHS)</t>
  </si>
  <si>
    <t xml:space="preserve">Year 1 (Discovery &amp; Build)</t>
  </si>
  <si>
    <t xml:space="preserve">Year 2 (Deploy &amp; Optimize)</t>
  </si>
  <si>
    <t xml:space="preserve">Year 3 (Scale &amp; Sustain)</t>
  </si>
  <si>
    <t xml:space="preserve">BUDGET BY PHASE</t>
  </si>
  <si>
    <t xml:space="preserve">BUDGET BY COST CATEGORY</t>
  </si>
  <si>
    <t xml:space="preserve">Phase</t>
  </si>
  <si>
    <t xml:space="preserve">Yr 1 (GHS)</t>
  </si>
  <si>
    <t xml:space="preserve">Yr 2 (GHS)</t>
  </si>
  <si>
    <t xml:space="preserve">Yr 3 (GHS)</t>
  </si>
  <si>
    <t xml:space="preserve">Total (GHS)</t>
  </si>
  <si>
    <t xml:space="preserve">Category</t>
  </si>
  <si>
    <t xml:space="preserve">Yr 1</t>
  </si>
  <si>
    <t xml:space="preserve">Yr 2</t>
  </si>
  <si>
    <t xml:space="preserve">Yr 3</t>
  </si>
  <si>
    <t xml:space="preserve">Phase 1: Discovery &amp; Planning</t>
  </si>
  <si>
    <t xml:space="preserve">Personnel &amp; Labour</t>
  </si>
  <si>
    <t xml:space="preserve">Phase 2: System Architecture &amp; Design</t>
  </si>
  <si>
    <t xml:space="preserve">Software &amp; Licences</t>
  </si>
  <si>
    <t xml:space="preserve">Phase 3: Core Development</t>
  </si>
  <si>
    <t xml:space="preserve">Infrastructure &amp; Cloud</t>
  </si>
  <si>
    <t xml:space="preserve">Phase 4: Integration &amp; Testing</t>
  </si>
  <si>
    <t xml:space="preserve">Training &amp; Change Mgmt</t>
  </si>
  <si>
    <t xml:space="preserve">Phase 5: Deployment &amp; Training</t>
  </si>
  <si>
    <t xml:space="preserve">Contingency (15%)</t>
  </si>
  <si>
    <t xml:space="preserve">Phase 6: Support &amp; Maintenance</t>
  </si>
  <si>
    <t xml:space="preserve">Other / Miscellaneous</t>
  </si>
  <si>
    <t xml:space="preserve">GRAND TOTAL</t>
  </si>
  <si>
    <t xml:space="preserve">TOTAL</t>
  </si>
  <si>
    <t xml:space="preserve">KEY ASSUMPTIONS &amp; NOTES</t>
  </si>
  <si>
    <t xml:space="preserve">1. All figures are in Ghana Cedis (GHS). USD equivalents available on the FX Assumptions tab.</t>
  </si>
  <si>
    <t xml:space="preserve">2. Blue text = user-editable inputs; Black text = calculated values; Green text = cross-sheet links.</t>
  </si>
  <si>
    <t xml:space="preserve">3. Personnel costs assume mixed team (2 senior devs, 3 mid devs, 1 BA, 1 PM, 1 QA, 1 DevOps) for Year 1.</t>
  </si>
  <si>
    <t xml:space="preserve">4. A 15% contingency buffer is included in all years to absorb scope changes and risk events.</t>
  </si>
  <si>
    <t xml:space="preserve">5. Cloud/infrastructure costs are based on AWS GovCloud equivalent pricing, scaled annually.</t>
  </si>
  <si>
    <t xml:space="preserve">6. Training covers GCoM staff (est. 45 users) + member company super-users (est. 120 users).</t>
  </si>
  <si>
    <t xml:space="preserve">GHANA CHAMBER OF MINES — MEMBER MANAGEMENT SYSTEM  |  DETAILED BUDGET BREAKDOWN (GHS)</t>
  </si>
  <si>
    <t xml:space="preserve">Blue = Input  |  Black = Formula  |  Green = Cross-sheet link  |  Source: GCoM IT Strategy Plan 2025</t>
  </si>
  <si>
    <t xml:space="preserve">LINE ITEM / DELIVERABLE</t>
  </si>
  <si>
    <t xml:space="preserve">YEAR 1 — FY2025</t>
  </si>
  <si>
    <t xml:space="preserve">YEAR 2 — FY2026</t>
  </si>
  <si>
    <t xml:space="preserve">YEAR 3 — FY2027</t>
  </si>
  <si>
    <t xml:space="preserve">CONTINGENCY (15%)</t>
  </si>
  <si>
    <t xml:space="preserve">3-YEAR TOTAL (GHS)</t>
  </si>
  <si>
    <t xml:space="preserve">Labour (GHS)</t>
  </si>
  <si>
    <t xml:space="preserve">Non-Labour (GHS)</t>
  </si>
  <si>
    <t xml:space="preserve">  PHASE 1 — DISCOVERY &amp; PLANNING  (Months 1–3)</t>
  </si>
  <si>
    <t xml:space="preserve">Requirements gathering &amp; stakeholder workshops</t>
  </si>
  <si>
    <t xml:space="preserve">Current system audit &amp; gap analysis</t>
  </si>
  <si>
    <t xml:space="preserve">Feasibility study &amp; vendor evaluation</t>
  </si>
  <si>
    <t xml:space="preserve">Project charter &amp; governance setup</t>
  </si>
  <si>
    <t xml:space="preserve">  PHASE 1 SUBTOTAL</t>
  </si>
  <si>
    <t xml:space="preserve">  PHASE 2 — SYSTEM ARCHITECTURE &amp; DESIGN  (Months 2–5)</t>
  </si>
  <si>
    <t xml:space="preserve">System architecture design (cloud-native)</t>
  </si>
  <si>
    <t xml:space="preserve">Database schema design (member registry + reports)</t>
  </si>
  <si>
    <t xml:space="preserve">UI/UX wireframes &amp; prototype</t>
  </si>
  <si>
    <t xml:space="preserve">API &amp; integration design</t>
  </si>
  <si>
    <t xml:space="preserve">Security architecture &amp; data governance plan</t>
  </si>
  <si>
    <t xml:space="preserve">  PHASE 2 SUBTOTAL</t>
  </si>
  <si>
    <t xml:space="preserve">  PHASE 3 — CORE DEVELOPMENT  (Months 4–14)</t>
  </si>
  <si>
    <t xml:space="preserve">Member registry &amp; profile management module</t>
  </si>
  <si>
    <t xml:space="preserve">Member onboarding portal &amp; self-service</t>
  </si>
  <si>
    <t xml:space="preserve">Subscription &amp; dues management module</t>
  </si>
  <si>
    <t xml:space="preserve">Report submission &amp; aggregation engine</t>
  </si>
  <si>
    <t xml:space="preserve">Dashboard &amp; analytics module (BI layer)</t>
  </si>
  <si>
    <t xml:space="preserve">Document management &amp; compliance tracker</t>
  </si>
  <si>
    <t xml:space="preserve">  PHASE 3 SUBTOTAL</t>
  </si>
  <si>
    <t xml:space="preserve">  PHASE 4 — INTEGRATION &amp; TESTING  (Months 12–16)</t>
  </si>
  <si>
    <t xml:space="preserve">System integration testing (SIT)</t>
  </si>
  <si>
    <t xml:space="preserve">User acceptance testing (UAT) with GCoM staff</t>
  </si>
  <si>
    <t xml:space="preserve">Performance &amp; load testing</t>
  </si>
  <si>
    <t xml:space="preserve">  PHASE 4 SUBTOTAL</t>
  </si>
  <si>
    <t xml:space="preserve">  PHASE 5 — DEPLOYMENT &amp; TRAINING  (Months 16–20)</t>
  </si>
  <si>
    <t xml:space="preserve">Cloud infrastructure setup &amp; go-live</t>
  </si>
  <si>
    <t xml:space="preserve">Data migration from legacy systems</t>
  </si>
  <si>
    <t xml:space="preserve">End-user training — GCoM staff (45 users)</t>
  </si>
  <si>
    <t xml:space="preserve">Member company super-user training (120 users)</t>
  </si>
  <si>
    <t xml:space="preserve">  PHASE 5 SUBTOTAL</t>
  </si>
  <si>
    <t xml:space="preserve">  PHASE 6 — ONGOING SUPPORT &amp; MAINTENANCE  (Year 2–3, recurring)</t>
  </si>
  <si>
    <t xml:space="preserve">Application support &amp; helpdesk</t>
  </si>
  <si>
    <t xml:space="preserve">Annual software licence renewals</t>
  </si>
  <si>
    <t xml:space="preserve">Cloud hosting &amp; infrastructure (annual)</t>
  </si>
  <si>
    <t xml:space="preserve">Feature enhancements &amp; change requests</t>
  </si>
  <si>
    <t xml:space="preserve">Security patches &amp; compliance updates</t>
  </si>
  <si>
    <t xml:space="preserve">  PHASE 6 SUBTOTAL</t>
  </si>
  <si>
    <t xml:space="preserve">  GRAND TOTAL — ALL PHASES</t>
  </si>
  <si>
    <t xml:space="preserve">GHANA CHAMBER OF MINES — SOFTWARE PROJECT STAFFING PLAN &amp; RATE CARD (GHS)</t>
  </si>
  <si>
    <t xml:space="preserve">Role</t>
  </si>
  <si>
    <t xml:space="preserve">Engagement Type</t>
  </si>
  <si>
    <t xml:space="preserve">Monthly Rate (GHS)</t>
  </si>
  <si>
    <t xml:space="preserve">Yr1 Months</t>
  </si>
  <si>
    <t xml:space="preserve">Yr1 Cost (GHS)</t>
  </si>
  <si>
    <t xml:space="preserve">Yr2 Months</t>
  </si>
  <si>
    <t xml:space="preserve">Yr2 Cost (GHS)</t>
  </si>
  <si>
    <t xml:space="preserve">Yr3 Months</t>
  </si>
  <si>
    <t xml:space="preserve">Yr3 Cost (GHS)</t>
  </si>
  <si>
    <t xml:space="preserve">Count</t>
  </si>
  <si>
    <t xml:space="preserve">FTE Equiv.</t>
  </si>
  <si>
    <t xml:space="preserve">Notes</t>
  </si>
  <si>
    <t xml:space="preserve">Project Manager</t>
  </si>
  <si>
    <t xml:space="preserve">Fixed-term contract</t>
  </si>
  <si>
    <t xml:space="preserve">GCoM-side PM; oversees delivery</t>
  </si>
  <si>
    <t xml:space="preserve">Business Analyst</t>
  </si>
  <si>
    <t xml:space="preserve">Requirements, UAT, documentation</t>
  </si>
  <si>
    <t xml:space="preserve">Solution Architect</t>
  </si>
  <si>
    <t xml:space="preserve">Consultancy</t>
  </si>
  <si>
    <t xml:space="preserve">Cloud-native; AWS or Azure certified</t>
  </si>
  <si>
    <t xml:space="preserve">Senior Full-Stack Developer</t>
  </si>
  <si>
    <t xml:space="preserve">React/Node or Django stack</t>
  </si>
  <si>
    <t xml:space="preserve">Mid Full-Stack Developer</t>
  </si>
  <si>
    <t xml:space="preserve">Feature dev &amp; integration</t>
  </si>
  <si>
    <t xml:space="preserve">Mobile Developer (iOS/Android)</t>
  </si>
  <si>
    <t xml:space="preserve">Member mobile portal</t>
  </si>
  <si>
    <t xml:space="preserve">UI/UX Designer</t>
  </si>
  <si>
    <t xml:space="preserve">Figma; design system ownership</t>
  </si>
  <si>
    <t xml:space="preserve">Data Engineer / BI Developer</t>
  </si>
  <si>
    <t xml:space="preserve">Report aggregation &amp; dashboards</t>
  </si>
  <si>
    <t xml:space="preserve">QA / Test Engineer</t>
  </si>
  <si>
    <t xml:space="preserve">Automated + manual testing</t>
  </si>
  <si>
    <t xml:space="preserve">DevOps / Cloud Engineer</t>
  </si>
  <si>
    <t xml:space="preserve">CI/CD, security, monitoring</t>
  </si>
  <si>
    <t xml:space="preserve">Database Administrator</t>
  </si>
  <si>
    <t xml:space="preserve">Part-time</t>
  </si>
  <si>
    <t xml:space="preserve">PostgreSQL / MongoDB</t>
  </si>
  <si>
    <t xml:space="preserve">Cybersecurity Consultant</t>
  </si>
  <si>
    <t xml:space="preserve">Pen-testing, compliance (ISO 27001)</t>
  </si>
  <si>
    <t xml:space="preserve">Change Management Specialist</t>
  </si>
  <si>
    <t xml:space="preserve">Training &amp; adoption</t>
  </si>
  <si>
    <t xml:space="preserve">Technical Writer</t>
  </si>
  <si>
    <t xml:space="preserve">Freelance</t>
  </si>
  <si>
    <t xml:space="preserve">User manuals, API docs</t>
  </si>
  <si>
    <t xml:space="preserve">Helpdesk / Support Analyst</t>
  </si>
  <si>
    <t xml:space="preserve">Permanent hire</t>
  </si>
  <si>
    <t xml:space="preserve">Operational support Year 2+</t>
  </si>
  <si>
    <t xml:space="preserve">TOTAL PERSONNEL COST</t>
  </si>
  <si>
    <t xml:space="preserve">GHANA CHAMBER OF MINES — PROJECT TIMELINE &amp; MILESTONES (36 MONTHS)</t>
  </si>
  <si>
    <t xml:space="preserve">PHASE / MILESTONE</t>
  </si>
  <si>
    <t xml:space="preserve">Due Date</t>
  </si>
  <si>
    <t xml:space="preserve">Budget (GHS)</t>
  </si>
  <si>
    <t xml:space="preserve">Owner</t>
  </si>
  <si>
    <t xml:space="preserve">Status</t>
  </si>
  <si>
    <t xml:space="preserve">Risk Level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</si>
  <si>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</si>
  <si>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</si>
  <si>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</si>
  <si>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</si>
  <si>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</si>
  <si>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</si>
  <si>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</si>
  <si>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</si>
  <si>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</si>
  <si>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</si>
  <si>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</si>
  <si>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</si>
  <si>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</si>
  <si>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</si>
  <si>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</si>
  <si>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</si>
  <si>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</si>
  <si>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</si>
  <si>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</si>
  <si>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</si>
  <si>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</si>
  <si>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</si>
  <si>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</si>
  <si>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</si>
  <si>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</si>
  <si>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</si>
  <si>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</si>
  <si>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</si>
  <si>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</si>
  <si>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</si>
  <si>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</si>
  <si>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</si>
  <si>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</si>
  <si>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</si>
  <si>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</si>
  <si>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</si>
  <si>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PHASE 1: DISCOVERY &amp; PLANNING</t>
  </si>
  <si>
    <t xml:space="preserve">  Kick-off &amp; stakeholder alignment</t>
  </si>
  <si>
    <t xml:space="preserve">Aug 2025</t>
  </si>
  <si>
    <t xml:space="preserve">PM / BA</t>
  </si>
  <si>
    <t xml:space="preserve">Not Started</t>
  </si>
  <si>
    <t xml:space="preserve">Low</t>
  </si>
  <si>
    <t xml:space="preserve">  Requirements &amp; gap analysis complete</t>
  </si>
  <si>
    <t xml:space="preserve">Sep 2025</t>
  </si>
  <si>
    <t xml:space="preserve">BA</t>
  </si>
  <si>
    <t xml:space="preserve">Medium</t>
  </si>
  <si>
    <t xml:space="preserve">  Procurement &amp; vendor selection done</t>
  </si>
  <si>
    <t xml:space="preserve">Oct 2025</t>
  </si>
  <si>
    <t xml:space="preserve">Procurement</t>
  </si>
  <si>
    <t xml:space="preserve">PHASE 2: ARCHITECTURE &amp; DESIGN</t>
  </si>
  <si>
    <t xml:space="preserve">  System architecture approved</t>
  </si>
  <si>
    <t xml:space="preserve">Nov 2025</t>
  </si>
  <si>
    <t xml:space="preserve">Architect</t>
  </si>
  <si>
    <t xml:space="preserve">  UI/UX prototype signed off</t>
  </si>
  <si>
    <t xml:space="preserve">Dec 2025</t>
  </si>
  <si>
    <t xml:space="preserve">UX / PM</t>
  </si>
  <si>
    <t xml:space="preserve">PHASE 3: CORE DEVELOPMENT</t>
  </si>
  <si>
    <t xml:space="preserve">  Member registry module live (Beta)</t>
  </si>
  <si>
    <t xml:space="preserve">Feb 2026</t>
  </si>
  <si>
    <t xml:space="preserve">Dev Lead</t>
  </si>
  <si>
    <t xml:space="preserve">High</t>
  </si>
  <si>
    <t xml:space="preserve">  Report aggregation engine complete</t>
  </si>
  <si>
    <t xml:space="preserve">May 2026</t>
  </si>
  <si>
    <t xml:space="preserve">Data Eng</t>
  </si>
  <si>
    <t xml:space="preserve">  BI dashboard &amp; analytics ready</t>
  </si>
  <si>
    <t xml:space="preserve">Jul 2026</t>
  </si>
  <si>
    <t xml:space="preserve">PHASE 4: INTEGRATION &amp; TESTING</t>
  </si>
  <si>
    <t xml:space="preserve">  SIT &amp; UAT cycles complete</t>
  </si>
  <si>
    <t xml:space="preserve">Sep 2026</t>
  </si>
  <si>
    <t xml:space="preserve">QA / PM</t>
  </si>
  <si>
    <t xml:space="preserve">  Security pen-test passed</t>
  </si>
  <si>
    <t xml:space="preserve">Oct 2026</t>
  </si>
  <si>
    <t xml:space="preserve">CyberSec</t>
  </si>
  <si>
    <t xml:space="preserve">PHASE 5: DEPLOYMENT &amp; TRAINING</t>
  </si>
  <si>
    <t xml:space="preserve">  Go-live (Production launch)</t>
  </si>
  <si>
    <t xml:space="preserve">Jan 2027</t>
  </si>
  <si>
    <t xml:space="preserve">DevOps / PM</t>
  </si>
  <si>
    <t xml:space="preserve">  All users trained &amp; onboarded</t>
  </si>
  <si>
    <t xml:space="preserve">Mar 2027</t>
  </si>
  <si>
    <t xml:space="preserve">Change Mgmt</t>
  </si>
  <si>
    <t xml:space="preserve">PHASE 6: SUPPORT &amp; MAINTENANCE</t>
  </si>
  <si>
    <t xml:space="preserve">  Year 2 feature release 1</t>
  </si>
  <si>
    <t xml:space="preserve">Jul 2027</t>
  </si>
  <si>
    <t xml:space="preserve">  Annual security &amp; compliance review</t>
  </si>
  <si>
    <t xml:space="preserve">  Year 3 feature release 2</t>
  </si>
  <si>
    <t xml:space="preserve">Jan 2028</t>
  </si>
  <si>
    <t xml:space="preserve">  Project closure &amp; handover</t>
  </si>
  <si>
    <t xml:space="preserve">Jun 2028</t>
  </si>
  <si>
    <t xml:space="preserve">PM</t>
  </si>
  <si>
    <t xml:space="preserve">GHANA CHAMBER OF MINES — PROJECT RISK REGISTER</t>
  </si>
  <si>
    <t xml:space="preserve">ID</t>
  </si>
  <si>
    <t xml:space="preserve">Risk Description</t>
  </si>
  <si>
    <t xml:space="preserve">Likelihood
(1–5)</t>
  </si>
  <si>
    <t xml:space="preserve">Impact
(1–5)</t>
  </si>
  <si>
    <t xml:space="preserve">Risk Score
(L×I)</t>
  </si>
  <si>
    <t xml:space="preserve">Mitigation Strategy</t>
  </si>
  <si>
    <t xml:space="preserve">Contingency Action</t>
  </si>
  <si>
    <t xml:space="preserve">Budget Impact (GHS)</t>
  </si>
  <si>
    <t xml:space="preserve">R01</t>
  </si>
  <si>
    <t xml:space="preserve">Scope creep due to evolving member requirements</t>
  </si>
  <si>
    <t xml:space="preserve">Scope</t>
  </si>
  <si>
    <t xml:space="preserve">Agile delivery with change control board; fixed sprint scope</t>
  </si>
  <si>
    <t xml:space="preserve">Activate contingency budget; defer non-critical features</t>
  </si>
  <si>
    <t xml:space="preserve">R02</t>
  </si>
  <si>
    <t xml:space="preserve">Key developer attrition during build phase</t>
  </si>
  <si>
    <t xml:space="preserve">HR / Talent</t>
  </si>
  <si>
    <t xml:space="preserve">Competitive market rates; knowledge-transfer protocols</t>
  </si>
  <si>
    <t xml:space="preserve">Maintain talent pipeline; use bench contractors</t>
  </si>
  <si>
    <t xml:space="preserve">R03</t>
  </si>
  <si>
    <t xml:space="preserve">GHS/USD exchange rate volatility (imported tools)</t>
  </si>
  <si>
    <t xml:space="preserve">Financial</t>
  </si>
  <si>
    <t xml:space="preserve">Hedge with GHS pricing clauses in contracts</t>
  </si>
  <si>
    <t xml:space="preserve">Activate FX buffer in contingency fund</t>
  </si>
  <si>
    <t xml:space="preserve">Finance</t>
  </si>
  <si>
    <t xml:space="preserve">R04</t>
  </si>
  <si>
    <t xml:space="preserve">Data migration errors from legacy systems</t>
  </si>
  <si>
    <t xml:space="preserve">Technical</t>
  </si>
  <si>
    <t xml:space="preserve">Parallel-run migration; automated reconciliation scripts</t>
  </si>
  <si>
    <t xml:space="preserve">Roll back to legacy; manual data correction sprint</t>
  </si>
  <si>
    <t xml:space="preserve">DBA</t>
  </si>
  <si>
    <t xml:space="preserve">R05</t>
  </si>
  <si>
    <t xml:space="preserve">Low user adoption by member companies</t>
  </si>
  <si>
    <t xml:space="preserve">Change</t>
  </si>
  <si>
    <t xml:space="preserve">Early-adopter pilot; champion network; UX research</t>
  </si>
  <si>
    <t xml:space="preserve">Extended training; enhanced helpdesk support</t>
  </si>
  <si>
    <t xml:space="preserve">R06</t>
  </si>
  <si>
    <t xml:space="preserve">Cybersecurity breach / data leak</t>
  </si>
  <si>
    <t xml:space="preserve">Security</t>
  </si>
  <si>
    <t xml:space="preserve">ISO 27001 alignment; penetration testing; MFA enforced</t>
  </si>
  <si>
    <t xml:space="preserve">Incident response plan; regulatory notification</t>
  </si>
  <si>
    <t xml:space="preserve">R07</t>
  </si>
  <si>
    <t xml:space="preserve">Cloud provider outage (AWS / GCP)</t>
  </si>
  <si>
    <t xml:space="preserve">Infrastructure</t>
  </si>
  <si>
    <t xml:space="preserve">Multi-AZ deployment; automated failover</t>
  </si>
  <si>
    <t xml:space="preserve">Activate DR site; communicate SLA breach</t>
  </si>
  <si>
    <t xml:space="preserve">DevOps</t>
  </si>
  <si>
    <t xml:space="preserve">R08</t>
  </si>
  <si>
    <t xml:space="preserve">Regulatory / legal compliance gaps (PNDCL 153)</t>
  </si>
  <si>
    <t xml:space="preserve">Legal</t>
  </si>
  <si>
    <t xml:space="preserve">Legal review at each phase; GDPA compliance checklist</t>
  </si>
  <si>
    <t xml:space="preserve">Engage legal counsel; architecture rework</t>
  </si>
  <si>
    <t xml:space="preserve">Legal / PM</t>
  </si>
  <si>
    <t xml:space="preserve">R09</t>
  </si>
  <si>
    <t xml:space="preserve">Budget overrun beyond 15% contingency</t>
  </si>
  <si>
    <t xml:space="preserve">Monthly burn-rate reviews; earned-value reporting</t>
  </si>
  <si>
    <t xml:space="preserve">Seek supplementary board approval</t>
  </si>
  <si>
    <t xml:space="preserve">PM / Finance</t>
  </si>
  <si>
    <t xml:space="preserve">R10</t>
  </si>
  <si>
    <t xml:space="preserve">Integration failure with existing GCoM ERP</t>
  </si>
  <si>
    <t xml:space="preserve">API-first design; sandbox integration testing from Month 2</t>
  </si>
  <si>
    <t xml:space="preserve">Maintain interim manual process</t>
  </si>
  <si>
    <t xml:space="preserve">Dev Lead / BA</t>
  </si>
  <si>
    <t xml:space="preserve">GHANA CHAMBER OF MINES — KEY ASSUMPTIONS &amp; FX REFERENCE</t>
  </si>
  <si>
    <t xml:space="preserve">FX &amp; CURRENCY ASSUMPTIONS</t>
  </si>
  <si>
    <t xml:space="preserve">GHS / USD Exchange Rate (budget rate)</t>
  </si>
  <si>
    <t xml:space="preserve">Editable Input</t>
  </si>
  <si>
    <t xml:space="preserve">Source: Bank of Ghana, May 2025 average</t>
  </si>
  <si>
    <t xml:space="preserve">GHS / EUR Exchange Rate (budget rate)</t>
  </si>
  <si>
    <t xml:space="preserve">GHS / GBP Exchange Rate (budget rate)</t>
  </si>
  <si>
    <t xml:space="preserve">Annual FX volatility buffer (%)</t>
  </si>
  <si>
    <t xml:space="preserve">8% buffer applied to foreign-currency items</t>
  </si>
  <si>
    <t xml:space="preserve">INFLATION &amp; ESCALATION</t>
  </si>
  <si>
    <t xml:space="preserve">Ghana CPI / annual inflation assumption</t>
  </si>
  <si>
    <t xml:space="preserve">Source: Ghana Statistical Service, 2025 forecast</t>
  </si>
  <si>
    <t xml:space="preserve">IT salary escalation (annual)</t>
  </si>
  <si>
    <t xml:space="preserve">Competitive tech market in Ghana &amp; West Africa</t>
  </si>
  <si>
    <t xml:space="preserve">Cloud cost escalation (annual)</t>
  </si>
  <si>
    <t xml:space="preserve">AWS pricing trend; offset by reserved instances</t>
  </si>
  <si>
    <t xml:space="preserve">General cost contingency buffer</t>
  </si>
  <si>
    <t xml:space="preserve">Applied to all line items; see Budget Breakdown</t>
  </si>
  <si>
    <t xml:space="preserve">PROJECT PARAMETERS</t>
  </si>
  <si>
    <t xml:space="preserve">Total project duration (months)</t>
  </si>
  <si>
    <t xml:space="preserve">FY2025 – FY2027</t>
  </si>
  <si>
    <t xml:space="preserve">Total GCoM internal staff (end users)</t>
  </si>
  <si>
    <t xml:space="preserve">Accra HQ + regional offices</t>
  </si>
  <si>
    <t xml:space="preserve">Member company super-users</t>
  </si>
  <si>
    <t xml:space="preserve">Est. 3 super-users × 40 member companies</t>
  </si>
  <si>
    <t xml:space="preserve">Number of member companies (current)</t>
  </si>
  <si>
    <t xml:space="preserve">Source: GCoM Membership Register 2025</t>
  </si>
  <si>
    <t xml:space="preserve">Sprint duration (weeks)</t>
  </si>
  <si>
    <t xml:space="preserve">Agile/Scrum delivery methodology</t>
  </si>
  <si>
    <t xml:space="preserve">UAT sign-off period (weeks)</t>
  </si>
  <si>
    <t xml:space="preserve">Per major module; requires GCoM Director sign-off</t>
  </si>
  <si>
    <t xml:space="preserve">TECHNOLOGY ASSUMPTIONS</t>
  </si>
  <si>
    <t xml:space="preserve">Primary cloud provider</t>
  </si>
  <si>
    <t xml:space="preserve">AWS (af-south-1)</t>
  </si>
  <si>
    <t xml:space="preserve">Cape Town region; lowest latency for Ghana</t>
  </si>
  <si>
    <t xml:space="preserve">Database technology</t>
  </si>
  <si>
    <t xml:space="preserve">PostgreSQL + MongoDB</t>
  </si>
  <si>
    <t xml:space="preserve">Relational + document store for reports</t>
  </si>
  <si>
    <t xml:space="preserve">Frontend framework</t>
  </si>
  <si>
    <t xml:space="preserve">React 18 + TypeScript</t>
  </si>
  <si>
    <t xml:space="preserve">Progressive Web App + mobile-responsive</t>
  </si>
  <si>
    <t xml:space="preserve">Backend framework</t>
  </si>
  <si>
    <t xml:space="preserve">Node.js / Django REST</t>
  </si>
  <si>
    <t xml:space="preserve">Microservices architecture</t>
  </si>
  <si>
    <t xml:space="preserve">Authentication</t>
  </si>
  <si>
    <t xml:space="preserve">OAuth2 + MFA (Okta)</t>
  </si>
  <si>
    <t xml:space="preserve">Single sign-on for GCoM and members</t>
  </si>
  <si>
    <t xml:space="preserve">Reporting layer</t>
  </si>
  <si>
    <t xml:space="preserve">Apache Superset / Power BI</t>
  </si>
  <si>
    <t xml:space="preserve">Self-service BI for GCoM management</t>
  </si>
  <si>
    <t xml:space="preserve">CI/CD pipeline</t>
  </si>
  <si>
    <t xml:space="preserve">GitHub Actions + Terraform</t>
  </si>
  <si>
    <t xml:space="preserve">Infrastructure as code</t>
  </si>
  <si>
    <t xml:space="preserve">Data backup frequency</t>
  </si>
  <si>
    <t xml:space="preserve">Daily + real-time replication</t>
  </si>
  <si>
    <t xml:space="preserve">RPO &lt; 1 hr; RTO &lt; 4 hrs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</si>
</sst>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"/>
    <numFmt numFmtId="167" formatCode="0.0"/>
    <numFmt numFmtId="168" formatCode="@"/>
    <numFmt numFmtId="169" formatCode="#,##0.00"/>
    <numFmt numFmtId="170" formatCode="0.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4"/>
      <color rgb="FFB8860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8"/>
      <color rgb="FF1E714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i val="true"/>
      <sz val="8"/>
      <color rgb="FFB8860B"/>
      <name val="Arial"/>
      <family val="0"/>
      <charset val="1"/>
    </font>
    <font>
      <i val="true"/>
      <sz val="8"/>
      <color rgb="FF595959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B8860B"/>
        <bgColor rgb="FFFF8C00"/>
      </patternFill>
    </fill>
    <fill>
      <patternFill patternType="solid">
        <fgColor rgb="FF2E5090"/>
        <bgColor rgb="FF1F3864"/>
      </patternFill>
    </fill>
    <fill>
      <patternFill patternType="solid">
        <fgColor rgb="FF1E7145"/>
        <bgColor rgb="FF008080"/>
      </patternFill>
    </fill>
    <fill>
      <patternFill patternType="solid">
        <fgColor rgb="FFD6E4F7"/>
        <bgColor rgb="FFD9D9D9"/>
      </patternFill>
    </fill>
    <fill>
      <patternFill patternType="solid">
        <fgColor rgb="FFFFF8D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FF8DC"/>
      </patternFill>
    </fill>
    <fill>
      <patternFill patternType="solid">
        <fgColor rgb="FFF2F2F2"/>
        <bgColor rgb="FFFFF8DC"/>
      </patternFill>
    </fill>
    <fill>
      <patternFill patternType="solid">
        <fgColor rgb="FF8B0000"/>
        <bgColor rgb="FF800000"/>
      </patternFill>
    </fill>
    <fill>
      <patternFill patternType="solid">
        <fgColor rgb="FFD9D9D9"/>
        <bgColor rgb="FFD6E4F7"/>
      </patternFill>
    </fill>
    <fill>
      <patternFill patternType="solid">
        <fgColor rgb="FF274E13"/>
        <bgColor rgb="FF404040"/>
      </patternFill>
    </fill>
    <fill>
      <patternFill patternType="solid">
        <fgColor rgb="FFFF8C00"/>
        <bgColor rgb="FFFF660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595959"/>
      </left>
      <right/>
      <top style="medium">
        <color rgb="FF595959"/>
      </top>
      <bottom style="medium">
        <color rgb="FF595959"/>
      </bottom>
      <diagonal/>
    </border>
    <border diagonalUp="false" diagonalDown="false"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5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4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4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9" fontId="2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2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B8860B"/>
      <rgbColor rgb="FF800080"/>
      <rgbColor rgb="FF1E7145"/>
      <rgbColor rgb="FFBFBFBF"/>
      <rgbColor rgb="FF808080"/>
      <rgbColor rgb="FF9999FF"/>
      <rgbColor rgb="FF993366"/>
      <rgbColor rgb="FFFFF8DC"/>
      <rgbColor rgb="FFD6E4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C00"/>
      <rgbColor rgb="FFFF6600"/>
      <rgbColor rgb="FF595959"/>
      <rgbColor rgb="FF969696"/>
      <rgbColor rgb="FF1F3864"/>
      <rgbColor rgb="FF339966"/>
      <rgbColor rgb="FF003300"/>
      <rgbColor rgb="FF274E13"/>
      <rgbColor rgb="FF993300"/>
      <rgbColor rgb="FF993366"/>
      <rgbColor rgb="FF2E5090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860B"/>
    <pageSetUpPr fitToPage="false"/>
  </sheetPr>
  <dimension ref="B1:N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4" min="2" style="0" width="16"/>
  </cols>
  <sheetData>
    <row r="1" customFormat="false" ht="7.5" hidden="false" customHeight="true" outlineLevel="0" collapsed="false"/>
    <row r="2" customFormat="false" ht="6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30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9.5" hidden="false" customHeight="true" outlineLevel="0" collapsed="false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9.75" hidden="false" customHeight="true" outlineLevel="0" collapsed="false"/>
    <row r="6" customFormat="false" ht="21.75" hidden="false" customHeight="true" outlineLevel="0" collapsed="false">
      <c r="B6" s="4"/>
      <c r="C6" s="4"/>
      <c r="D6" s="4"/>
      <c r="E6" s="5"/>
      <c r="F6" s="5"/>
      <c r="G6" s="5"/>
      <c r="H6" s="6"/>
      <c r="I6" s="6"/>
      <c r="J6" s="6"/>
      <c r="K6" s="7"/>
      <c r="L6" s="7"/>
      <c r="M6" s="7"/>
    </row>
    <row r="7" customFormat="false" ht="21.75" hidden="false" customHeight="true" outlineLevel="0" collapsed="false">
      <c r="B7" s="4"/>
      <c r="C7" s="4"/>
      <c r="D7" s="4"/>
      <c r="E7" s="5"/>
      <c r="F7" s="5"/>
      <c r="G7" s="5"/>
      <c r="H7" s="6"/>
      <c r="I7" s="6"/>
      <c r="J7" s="6"/>
      <c r="K7" s="7"/>
      <c r="L7" s="7"/>
      <c r="M7" s="7"/>
    </row>
    <row r="8" customFormat="false" ht="21.75" hidden="false" customHeight="true" outlineLevel="0" collapsed="false">
      <c r="B8" s="4"/>
      <c r="C8" s="4"/>
      <c r="D8" s="4"/>
      <c r="E8" s="5"/>
      <c r="F8" s="5"/>
      <c r="G8" s="5"/>
      <c r="H8" s="6"/>
      <c r="I8" s="6"/>
      <c r="J8" s="6"/>
      <c r="K8" s="7"/>
      <c r="L8" s="7"/>
      <c r="M8" s="7"/>
    </row>
    <row r="9" customFormat="false" ht="21.75" hidden="false" customHeight="true" outlineLevel="0" collapsed="false">
      <c r="B9" s="4"/>
      <c r="C9" s="4"/>
      <c r="D9" s="4"/>
      <c r="E9" s="5"/>
      <c r="F9" s="5"/>
      <c r="G9" s="5"/>
      <c r="H9" s="6"/>
      <c r="I9" s="6"/>
      <c r="J9" s="6"/>
      <c r="K9" s="7"/>
      <c r="L9" s="7"/>
      <c r="M9" s="7"/>
    </row>
    <row r="10" customFormat="false" ht="21.75" hidden="false" customHeight="true" outlineLevel="0" collapsed="false">
      <c r="B10" s="4"/>
      <c r="C10" s="4"/>
      <c r="D10" s="4"/>
      <c r="E10" s="5"/>
      <c r="F10" s="5"/>
      <c r="G10" s="5"/>
      <c r="H10" s="6"/>
      <c r="I10" s="6"/>
      <c r="J10" s="6"/>
      <c r="K10" s="7"/>
      <c r="L10" s="7"/>
      <c r="M10" s="7"/>
    </row>
    <row r="11" customFormat="false" ht="21.75" hidden="false" customHeight="true" outlineLevel="0" collapsed="false">
      <c r="B11" s="4"/>
      <c r="C11" s="4"/>
      <c r="D11" s="4"/>
      <c r="E11" s="5"/>
      <c r="F11" s="5"/>
      <c r="G11" s="5"/>
      <c r="H11" s="6"/>
      <c r="I11" s="6"/>
      <c r="J11" s="6"/>
      <c r="K11" s="7"/>
      <c r="L11" s="7"/>
      <c r="M11" s="7"/>
    </row>
    <row r="12" customFormat="false" ht="7.5" hidden="false" customHeight="true" outlineLevel="0" collapsed="false"/>
    <row r="13" customFormat="false" ht="30" hidden="false" customHeight="true" outlineLevel="0" collapsed="false">
      <c r="B13" s="8" t="s">
        <v>2</v>
      </c>
      <c r="C13" s="8"/>
      <c r="D13" s="8"/>
      <c r="E13" s="9" t="s">
        <v>3</v>
      </c>
      <c r="F13" s="9"/>
      <c r="G13" s="9"/>
      <c r="H13" s="10" t="s">
        <v>4</v>
      </c>
      <c r="I13" s="10"/>
      <c r="J13" s="10"/>
      <c r="K13" s="11" t="s">
        <v>5</v>
      </c>
      <c r="L13" s="11"/>
      <c r="M13" s="11"/>
    </row>
    <row r="14" customFormat="false" ht="36" hidden="false" customHeight="true" outlineLevel="0" collapsed="false">
      <c r="B14" s="12" t="n">
        <f aca="false">'💰 Budget Breakdown'!O47</f>
        <v>1991150</v>
      </c>
      <c r="C14" s="12"/>
      <c r="D14" s="12"/>
      <c r="E14" s="13" t="n">
        <f aca="false">'💰 Budget Breakdown'!C47</f>
        <v>706000</v>
      </c>
      <c r="F14" s="13"/>
      <c r="G14" s="13"/>
      <c r="H14" s="14" t="n">
        <f aca="false">'💰 Budget Breakdown'!F47</f>
        <v>356000</v>
      </c>
      <c r="I14" s="14"/>
      <c r="J14" s="14"/>
      <c r="K14" s="15" t="n">
        <f aca="false">'💰 Budget Breakdown'!I47</f>
        <v>175000</v>
      </c>
      <c r="L14" s="15"/>
      <c r="M14" s="15"/>
    </row>
    <row r="16" customFormat="false" ht="7.5" hidden="false" customHeight="true" outlineLevel="0" collapsed="false"/>
    <row r="17" customFormat="false" ht="21.75" hidden="false" customHeight="true" outlineLevel="0" collapsed="false">
      <c r="B17" s="16" t="s">
        <v>6</v>
      </c>
      <c r="C17" s="16"/>
      <c r="D17" s="16"/>
      <c r="E17" s="16"/>
      <c r="F17" s="16"/>
      <c r="G17" s="16"/>
      <c r="H17" s="16"/>
      <c r="I17" s="16" t="s">
        <v>7</v>
      </c>
      <c r="J17" s="16"/>
      <c r="K17" s="16"/>
      <c r="L17" s="16"/>
      <c r="M17" s="16"/>
      <c r="N17" s="16"/>
    </row>
    <row r="18" customFormat="false" ht="19.5" hidden="false" customHeight="true" outlineLevel="0" collapsed="false">
      <c r="B18" s="10" t="s">
        <v>8</v>
      </c>
      <c r="C18" s="10"/>
      <c r="D18" s="10"/>
      <c r="E18" s="17" t="s">
        <v>9</v>
      </c>
      <c r="F18" s="17" t="s">
        <v>10</v>
      </c>
      <c r="G18" s="17" t="s">
        <v>11</v>
      </c>
      <c r="H18" s="17" t="s">
        <v>12</v>
      </c>
      <c r="I18" s="10" t="s">
        <v>13</v>
      </c>
      <c r="J18" s="10"/>
      <c r="K18" s="10"/>
      <c r="L18" s="17" t="s">
        <v>14</v>
      </c>
      <c r="M18" s="17" t="s">
        <v>15</v>
      </c>
      <c r="N18" s="17" t="s">
        <v>16</v>
      </c>
    </row>
    <row r="19" customFormat="false" ht="18" hidden="false" customHeight="true" outlineLevel="0" collapsed="false">
      <c r="B19" s="18" t="s">
        <v>17</v>
      </c>
      <c r="C19" s="18"/>
      <c r="D19" s="18"/>
      <c r="E19" s="19" t="n">
        <f aca="false">'💰 Budget Breakdown'!C10</f>
        <v>63000</v>
      </c>
      <c r="F19" s="19" t="n">
        <f aca="false">'💰 Budget Breakdown'!F10</f>
        <v>0</v>
      </c>
      <c r="G19" s="19" t="n">
        <f aca="false">'💰 Budget Breakdown'!I10</f>
        <v>0</v>
      </c>
      <c r="H19" s="20" t="n">
        <f aca="false">E19+F19+G19</f>
        <v>63000</v>
      </c>
      <c r="I19" s="18" t="s">
        <v>18</v>
      </c>
      <c r="J19" s="18"/>
      <c r="K19" s="18"/>
      <c r="L19" s="19" t="n">
        <f aca="false">'💰 Budget Breakdown'!C48</f>
        <v>706000</v>
      </c>
      <c r="M19" s="19" t="n">
        <f aca="false">'💰 Budget Breakdown'!F48</f>
        <v>356000</v>
      </c>
      <c r="N19" s="19" t="n">
        <f aca="false">'💰 Budget Breakdown'!I48</f>
        <v>175000</v>
      </c>
    </row>
    <row r="20" customFormat="false" ht="18" hidden="false" customHeight="true" outlineLevel="0" collapsed="false">
      <c r="B20" s="21" t="s">
        <v>19</v>
      </c>
      <c r="C20" s="21"/>
      <c r="D20" s="21"/>
      <c r="E20" s="22" t="n">
        <f aca="false">'💰 Budget Breakdown'!C17</f>
        <v>107000</v>
      </c>
      <c r="F20" s="22" t="n">
        <f aca="false">'💰 Budget Breakdown'!F17</f>
        <v>0</v>
      </c>
      <c r="G20" s="22" t="n">
        <f aca="false">'💰 Budget Breakdown'!I17</f>
        <v>0</v>
      </c>
      <c r="H20" s="23" t="n">
        <f aca="false">E20+F20+G20</f>
        <v>107000</v>
      </c>
      <c r="I20" s="21" t="s">
        <v>20</v>
      </c>
      <c r="J20" s="21"/>
      <c r="K20" s="21"/>
      <c r="L20" s="22" t="n">
        <f aca="false">'💰 Budget Breakdown'!C49</f>
        <v>27000</v>
      </c>
      <c r="M20" s="22" t="n">
        <f aca="false">'💰 Budget Breakdown'!F49</f>
        <v>0</v>
      </c>
      <c r="N20" s="22" t="n">
        <f aca="false">'💰 Budget Breakdown'!I49</f>
        <v>0</v>
      </c>
    </row>
    <row r="21" customFormat="false" ht="18" hidden="false" customHeight="true" outlineLevel="0" collapsed="false">
      <c r="B21" s="18" t="s">
        <v>21</v>
      </c>
      <c r="C21" s="18"/>
      <c r="D21" s="18"/>
      <c r="E21" s="19" t="n">
        <f aca="false">'💰 Budget Breakdown'!C25</f>
        <v>375000</v>
      </c>
      <c r="F21" s="19" t="n">
        <f aca="false">'💰 Budget Breakdown'!F25</f>
        <v>135000</v>
      </c>
      <c r="G21" s="19" t="n">
        <f aca="false">'💰 Budget Breakdown'!I25</f>
        <v>0</v>
      </c>
      <c r="H21" s="20" t="n">
        <f aca="false">E21+F21+G21</f>
        <v>510000</v>
      </c>
      <c r="I21" s="18" t="s">
        <v>22</v>
      </c>
      <c r="J21" s="18"/>
      <c r="K21" s="18"/>
      <c r="L21" s="19" t="n">
        <f aca="false">'💰 Budget Breakdown'!C50</f>
        <v>78000</v>
      </c>
      <c r="M21" s="19" t="n">
        <f aca="false">'💰 Budget Breakdown'!F50</f>
        <v>152000</v>
      </c>
      <c r="N21" s="19" t="n">
        <f aca="false">'💰 Budget Breakdown'!I50</f>
        <v>167000</v>
      </c>
    </row>
    <row r="22" customFormat="false" ht="18" hidden="false" customHeight="true" outlineLevel="0" collapsed="false">
      <c r="B22" s="21" t="s">
        <v>23</v>
      </c>
      <c r="C22" s="21"/>
      <c r="D22" s="21"/>
      <c r="E22" s="22" t="n">
        <f aca="false">'💰 Budget Breakdown'!C30</f>
        <v>63000</v>
      </c>
      <c r="F22" s="22" t="n">
        <f aca="false">'💰 Budget Breakdown'!F30</f>
        <v>28000</v>
      </c>
      <c r="G22" s="22" t="n">
        <f aca="false">'💰 Budget Breakdown'!I30</f>
        <v>0</v>
      </c>
      <c r="H22" s="23" t="n">
        <f aca="false">E22+F22+G22</f>
        <v>91000</v>
      </c>
      <c r="I22" s="21" t="s">
        <v>24</v>
      </c>
      <c r="J22" s="21"/>
      <c r="K22" s="21"/>
      <c r="L22" s="22" t="n">
        <f aca="false">'💰 Budget Breakdown'!C51</f>
        <v>176000</v>
      </c>
      <c r="M22" s="22" t="n">
        <f aca="false">'💰 Budget Breakdown'!F51</f>
        <v>65000</v>
      </c>
      <c r="N22" s="22" t="n">
        <f aca="false">'💰 Budget Breakdown'!I51</f>
        <v>0</v>
      </c>
    </row>
    <row r="23" customFormat="false" ht="18" hidden="false" customHeight="true" outlineLevel="0" collapsed="false">
      <c r="B23" s="18" t="s">
        <v>25</v>
      </c>
      <c r="C23" s="18"/>
      <c r="D23" s="18"/>
      <c r="E23" s="19" t="n">
        <f aca="false">'💰 Budget Breakdown'!C36</f>
        <v>98000</v>
      </c>
      <c r="F23" s="19" t="n">
        <f aca="false">'💰 Budget Breakdown'!F36</f>
        <v>33000</v>
      </c>
      <c r="G23" s="19" t="n">
        <f aca="false">'💰 Budget Breakdown'!I36</f>
        <v>0</v>
      </c>
      <c r="H23" s="20" t="n">
        <f aca="false">E23+F23+G23</f>
        <v>131000</v>
      </c>
      <c r="I23" s="18" t="s">
        <v>26</v>
      </c>
      <c r="J23" s="18"/>
      <c r="K23" s="18"/>
      <c r="L23" s="19" t="n">
        <f aca="false">'💰 Budget Breakdown'!C52</f>
        <v>139650</v>
      </c>
      <c r="M23" s="19" t="n">
        <f aca="false">'💰 Budget Breakdown'!F52</f>
        <v>0</v>
      </c>
      <c r="N23" s="19" t="n">
        <f aca="false">'💰 Budget Breakdown'!I52</f>
        <v>0</v>
      </c>
    </row>
    <row r="24" customFormat="false" ht="18" hidden="false" customHeight="true" outlineLevel="0" collapsed="false">
      <c r="B24" s="24" t="s">
        <v>27</v>
      </c>
      <c r="C24" s="24"/>
      <c r="D24" s="24"/>
      <c r="E24" s="22" t="n">
        <f aca="false">'💰 Budget Breakdown'!C43</f>
        <v>0</v>
      </c>
      <c r="F24" s="22" t="n">
        <f aca="false">'💰 Budget Breakdown'!F43</f>
        <v>160000</v>
      </c>
      <c r="G24" s="22" t="n">
        <f aca="false">'💰 Budget Breakdown'!I43</f>
        <v>175000</v>
      </c>
      <c r="H24" s="23" t="n">
        <f aca="false">E24+F24+G24</f>
        <v>335000</v>
      </c>
      <c r="I24" s="21" t="s">
        <v>28</v>
      </c>
      <c r="J24" s="21"/>
      <c r="K24" s="21"/>
      <c r="L24" s="22" t="n">
        <f aca="false">'💰 Budget Breakdown'!C53</f>
        <v>120000</v>
      </c>
      <c r="M24" s="22" t="n">
        <f aca="false">'💰 Budget Breakdown'!F53</f>
        <v>38500</v>
      </c>
      <c r="N24" s="22" t="n">
        <f aca="false">'💰 Budget Breakdown'!I53</f>
        <v>0</v>
      </c>
    </row>
    <row r="25" customFormat="false" ht="21.75" hidden="false" customHeight="true" outlineLevel="0" collapsed="false">
      <c r="B25" s="25" t="s">
        <v>29</v>
      </c>
      <c r="C25" s="25"/>
      <c r="D25" s="25"/>
      <c r="E25" s="26" t="n">
        <f aca="false">SUM(E19:E24)</f>
        <v>706000</v>
      </c>
      <c r="F25" s="26" t="n">
        <f aca="false">SUM(F19:F24)</f>
        <v>356000</v>
      </c>
      <c r="G25" s="26" t="n">
        <f aca="false">SUM(G19:G24)</f>
        <v>175000</v>
      </c>
      <c r="H25" s="26" t="n">
        <f aca="false">SUM(H19:H24)</f>
        <v>1237000</v>
      </c>
      <c r="I25" s="25" t="s">
        <v>30</v>
      </c>
      <c r="J25" s="25"/>
      <c r="K25" s="25"/>
      <c r="L25" s="26" t="n">
        <f aca="false">SUM(L19:L24)</f>
        <v>1246650</v>
      </c>
      <c r="M25" s="26" t="n">
        <f aca="false">SUM(M19:M24)</f>
        <v>611500</v>
      </c>
      <c r="N25" s="26" t="n">
        <f aca="false">SUM(N19:N24)</f>
        <v>342000</v>
      </c>
    </row>
    <row r="27" customFormat="false" ht="13.5" hidden="false" customHeight="true" outlineLevel="0" collapsed="false">
      <c r="B27" s="27" t="s">
        <v>31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</row>
    <row r="28" customFormat="false" ht="15.75" hidden="false" customHeight="true" outlineLevel="0" collapsed="false">
      <c r="B28" s="28" t="s">
        <v>32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</row>
    <row r="29" customFormat="false" ht="15.75" hidden="false" customHeight="true" outlineLevel="0" collapsed="false">
      <c r="B29" s="28" t="s">
        <v>33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</row>
    <row r="30" customFormat="false" ht="15.75" hidden="false" customHeight="true" outlineLevel="0" collapsed="false">
      <c r="B30" s="28" t="s">
        <v>34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</row>
    <row r="31" customFormat="false" ht="15.75" hidden="false" customHeight="true" outlineLevel="0" collapsed="false">
      <c r="B31" s="28" t="s">
        <v>35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</row>
    <row r="32" customFormat="false" ht="15.75" hidden="false" customHeight="true" outlineLevel="0" collapsed="false">
      <c r="B32" s="28" t="s">
        <v>36</v>
      </c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customFormat="false" ht="15.75" hidden="false" customHeight="true" outlineLevel="0" collapsed="false">
      <c r="B33" s="28" t="s">
        <v>37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</row>
  </sheetData>
  <mergeCells count="40">
    <mergeCell ref="B2:N2"/>
    <mergeCell ref="B3:N3"/>
    <mergeCell ref="B4:N4"/>
    <mergeCell ref="B6:D11"/>
    <mergeCell ref="E6:G11"/>
    <mergeCell ref="H6:J11"/>
    <mergeCell ref="K6:M11"/>
    <mergeCell ref="B13:D13"/>
    <mergeCell ref="E13:G13"/>
    <mergeCell ref="H13:J13"/>
    <mergeCell ref="K13:M13"/>
    <mergeCell ref="B14:D14"/>
    <mergeCell ref="E14:G14"/>
    <mergeCell ref="H14:J14"/>
    <mergeCell ref="K14:M14"/>
    <mergeCell ref="B17:H17"/>
    <mergeCell ref="I17:N17"/>
    <mergeCell ref="B18:D18"/>
    <mergeCell ref="I18:K18"/>
    <mergeCell ref="B19:D19"/>
    <mergeCell ref="I19:K19"/>
    <mergeCell ref="B20:D20"/>
    <mergeCell ref="I20:K20"/>
    <mergeCell ref="B21:D21"/>
    <mergeCell ref="I21:K21"/>
    <mergeCell ref="B22:D22"/>
    <mergeCell ref="I22:K22"/>
    <mergeCell ref="B23:D23"/>
    <mergeCell ref="I23:K23"/>
    <mergeCell ref="B24:D24"/>
    <mergeCell ref="I24:K24"/>
    <mergeCell ref="B25:D25"/>
    <mergeCell ref="I25:K25"/>
    <mergeCell ref="B27:N27"/>
    <mergeCell ref="B28:N28"/>
    <mergeCell ref="B29:N29"/>
    <mergeCell ref="B30:N30"/>
    <mergeCell ref="B31:N31"/>
    <mergeCell ref="B32:N32"/>
    <mergeCell ref="B33:N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4"/>
    <col collapsed="false" customWidth="true" hidden="false" outlineLevel="0" max="7" min="6" style="0" width="16"/>
    <col collapsed="false" customWidth="true" hidden="false" outlineLevel="0" max="8" min="8" style="0" width="4"/>
    <col collapsed="false" customWidth="true" hidden="false" outlineLevel="0" max="10" min="9" style="0" width="16"/>
    <col collapsed="false" customWidth="true" hidden="false" outlineLevel="0" max="11" min="11" style="0" width="4"/>
    <col collapsed="false" customWidth="true" hidden="false" outlineLevel="0" max="13" min="12" style="0" width="16"/>
    <col collapsed="false" customWidth="true" hidden="false" outlineLevel="0" max="14" min="14" style="0" width="4"/>
    <col collapsed="false" customWidth="true" hidden="false" outlineLevel="0" max="15" min="15" style="0" width="18"/>
  </cols>
  <sheetData>
    <row r="1" customFormat="false" ht="31.5" hidden="false" customHeight="true" outlineLevel="0" collapsed="false">
      <c r="A1" s="29" t="s">
        <v>38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customFormat="false" ht="18" hidden="false" customHeight="true" outlineLevel="0" collapsed="false">
      <c r="A2" s="30" t="s">
        <v>39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customFormat="false" ht="13.5" hidden="false" customHeight="true" outlineLevel="0" collapsed="false">
      <c r="A3" s="8" t="s">
        <v>40</v>
      </c>
      <c r="B3" s="8"/>
      <c r="C3" s="9" t="s">
        <v>41</v>
      </c>
      <c r="D3" s="9"/>
      <c r="E3" s="31"/>
      <c r="F3" s="10" t="s">
        <v>42</v>
      </c>
      <c r="G3" s="10"/>
      <c r="H3" s="31"/>
      <c r="I3" s="11" t="s">
        <v>43</v>
      </c>
      <c r="J3" s="11"/>
      <c r="K3" s="31"/>
      <c r="L3" s="32" t="s">
        <v>44</v>
      </c>
      <c r="M3" s="32"/>
      <c r="N3" s="31"/>
      <c r="O3" s="8" t="s">
        <v>45</v>
      </c>
    </row>
    <row r="4" customFormat="false" ht="36" hidden="false" customHeight="true" outlineLevel="0" collapsed="false">
      <c r="A4" s="8"/>
      <c r="B4" s="8"/>
      <c r="C4" s="33" t="s">
        <v>46</v>
      </c>
      <c r="D4" s="33" t="s">
        <v>47</v>
      </c>
      <c r="E4" s="31"/>
      <c r="F4" s="33" t="s">
        <v>46</v>
      </c>
      <c r="G4" s="33" t="s">
        <v>47</v>
      </c>
      <c r="H4" s="31"/>
      <c r="I4" s="33" t="s">
        <v>46</v>
      </c>
      <c r="J4" s="33" t="s">
        <v>47</v>
      </c>
      <c r="K4" s="31"/>
      <c r="L4" s="33" t="s">
        <v>46</v>
      </c>
      <c r="M4" s="33" t="s">
        <v>47</v>
      </c>
      <c r="N4" s="31"/>
      <c r="O4" s="8"/>
    </row>
    <row r="5" customFormat="false" ht="19.5" hidden="false" customHeight="true" outlineLevel="0" collapsed="false">
      <c r="A5" s="34" t="s">
        <v>48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customFormat="false" ht="18" hidden="false" customHeight="true" outlineLevel="0" collapsed="false">
      <c r="A6" s="35" t="s">
        <v>49</v>
      </c>
      <c r="C6" s="36" t="n">
        <v>25000</v>
      </c>
      <c r="D6" s="36" t="n">
        <v>5000</v>
      </c>
      <c r="E6" s="37"/>
      <c r="F6" s="36" t="n">
        <v>0</v>
      </c>
      <c r="G6" s="36" t="n">
        <v>0</v>
      </c>
      <c r="H6" s="37"/>
      <c r="I6" s="36" t="n">
        <v>0</v>
      </c>
      <c r="J6" s="36" t="n">
        <v>0</v>
      </c>
      <c r="K6" s="37"/>
      <c r="L6" s="38" t="n">
        <f aca="false">C6*0.15</f>
        <v>3750</v>
      </c>
      <c r="M6" s="38" t="n">
        <f aca="false">D6*0.15</f>
        <v>750</v>
      </c>
      <c r="N6" s="37"/>
      <c r="O6" s="39" t="n">
        <f aca="false">C6+D6+F6+G6+I6+J6+L6+M6</f>
        <v>34500</v>
      </c>
    </row>
    <row r="7" customFormat="false" ht="18" hidden="false" customHeight="true" outlineLevel="0" collapsed="false">
      <c r="A7" s="40" t="s">
        <v>50</v>
      </c>
      <c r="C7" s="41" t="n">
        <v>18000</v>
      </c>
      <c r="D7" s="41" t="n">
        <v>3000</v>
      </c>
      <c r="E7" s="37"/>
      <c r="F7" s="41" t="n">
        <v>0</v>
      </c>
      <c r="G7" s="41" t="n">
        <v>0</v>
      </c>
      <c r="H7" s="37"/>
      <c r="I7" s="41" t="n">
        <v>0</v>
      </c>
      <c r="J7" s="41" t="n">
        <v>0</v>
      </c>
      <c r="K7" s="37"/>
      <c r="L7" s="42" t="n">
        <f aca="false">C7*0.15</f>
        <v>2700</v>
      </c>
      <c r="M7" s="42" t="n">
        <f aca="false">D7*0.15</f>
        <v>450</v>
      </c>
      <c r="N7" s="37"/>
      <c r="O7" s="43" t="n">
        <f aca="false">C7+D7+F7+G7+I7+J7+L7+M7</f>
        <v>24150</v>
      </c>
    </row>
    <row r="8" customFormat="false" ht="18" hidden="false" customHeight="true" outlineLevel="0" collapsed="false">
      <c r="A8" s="35" t="s">
        <v>51</v>
      </c>
      <c r="C8" s="36" t="n">
        <v>12000</v>
      </c>
      <c r="D8" s="36" t="n">
        <v>8000</v>
      </c>
      <c r="E8" s="37"/>
      <c r="F8" s="36" t="n">
        <v>0</v>
      </c>
      <c r="G8" s="36" t="n">
        <v>0</v>
      </c>
      <c r="H8" s="37"/>
      <c r="I8" s="36" t="n">
        <v>0</v>
      </c>
      <c r="J8" s="36" t="n">
        <v>0</v>
      </c>
      <c r="K8" s="37"/>
      <c r="L8" s="38" t="n">
        <f aca="false">C8*0.15</f>
        <v>1800</v>
      </c>
      <c r="M8" s="38" t="n">
        <f aca="false">D8*0.15</f>
        <v>1200</v>
      </c>
      <c r="N8" s="37"/>
      <c r="O8" s="39" t="n">
        <f aca="false">C8+D8+F8+G8+I8+J8+L8+M8</f>
        <v>23000</v>
      </c>
    </row>
    <row r="9" customFormat="false" ht="18" hidden="false" customHeight="true" outlineLevel="0" collapsed="false">
      <c r="A9" s="40" t="s">
        <v>52</v>
      </c>
      <c r="C9" s="41" t="n">
        <v>8000</v>
      </c>
      <c r="D9" s="41" t="n">
        <v>2000</v>
      </c>
      <c r="E9" s="37"/>
      <c r="F9" s="41" t="n">
        <v>0</v>
      </c>
      <c r="G9" s="41" t="n">
        <v>0</v>
      </c>
      <c r="H9" s="37"/>
      <c r="I9" s="41" t="n">
        <v>0</v>
      </c>
      <c r="J9" s="41" t="n">
        <v>0</v>
      </c>
      <c r="K9" s="37"/>
      <c r="L9" s="42" t="n">
        <f aca="false">C9*0.15</f>
        <v>1200</v>
      </c>
      <c r="M9" s="42" t="n">
        <f aca="false">D9*0.15</f>
        <v>300</v>
      </c>
      <c r="N9" s="37"/>
      <c r="O9" s="43" t="n">
        <f aca="false">C9+D9+F9+G9+I9+J9+L9+M9</f>
        <v>11500</v>
      </c>
    </row>
    <row r="10" customFormat="false" ht="19.5" hidden="false" customHeight="true" outlineLevel="0" collapsed="false">
      <c r="A10" s="44" t="s">
        <v>53</v>
      </c>
      <c r="B10" s="44"/>
      <c r="C10" s="45" t="n">
        <f aca="false">SUM(C6:C9)</f>
        <v>63000</v>
      </c>
      <c r="D10" s="45" t="n">
        <f aca="false">SUM(D6:D9)</f>
        <v>18000</v>
      </c>
      <c r="E10" s="46"/>
      <c r="F10" s="45" t="n">
        <f aca="false">SUM(F6:F9)</f>
        <v>0</v>
      </c>
      <c r="G10" s="45" t="n">
        <f aca="false">SUM(G6:G9)</f>
        <v>0</v>
      </c>
      <c r="H10" s="46"/>
      <c r="I10" s="45" t="n">
        <f aca="false">SUM(I6:I9)</f>
        <v>0</v>
      </c>
      <c r="J10" s="45" t="n">
        <f aca="false">SUM(J6:J9)</f>
        <v>0</v>
      </c>
      <c r="K10" s="46"/>
      <c r="L10" s="45" t="n">
        <f aca="false">SUM(L6:L9)</f>
        <v>9450</v>
      </c>
      <c r="M10" s="45" t="n">
        <f aca="false">SUM(M6:M9)</f>
        <v>2700</v>
      </c>
      <c r="N10" s="46"/>
      <c r="O10" s="45" t="n">
        <f aca="false">SUM(O6:O9)</f>
        <v>93150</v>
      </c>
    </row>
    <row r="11" customFormat="false" ht="19.5" hidden="false" customHeight="true" outlineLevel="0" collapsed="false">
      <c r="A11" s="34" t="s">
        <v>54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customFormat="false" ht="18" hidden="false" customHeight="true" outlineLevel="0" collapsed="false">
      <c r="A12" s="35" t="s">
        <v>55</v>
      </c>
      <c r="C12" s="36" t="n">
        <v>32000</v>
      </c>
      <c r="D12" s="36" t="n">
        <v>5000</v>
      </c>
      <c r="E12" s="37"/>
      <c r="F12" s="36" t="n">
        <v>0</v>
      </c>
      <c r="G12" s="36" t="n">
        <v>0</v>
      </c>
      <c r="H12" s="37"/>
      <c r="I12" s="36" t="n">
        <v>0</v>
      </c>
      <c r="J12" s="36" t="n">
        <v>0</v>
      </c>
      <c r="K12" s="37"/>
      <c r="L12" s="38" t="n">
        <f aca="false">C12*0.15</f>
        <v>4800</v>
      </c>
      <c r="M12" s="38" t="n">
        <f aca="false">D12*0.15</f>
        <v>750</v>
      </c>
      <c r="N12" s="37"/>
      <c r="O12" s="39" t="n">
        <f aca="false">C12+D12+F12+G12+I12+J12+L12+M12</f>
        <v>42550</v>
      </c>
    </row>
    <row r="13" customFormat="false" ht="18" hidden="false" customHeight="true" outlineLevel="0" collapsed="false">
      <c r="A13" s="40" t="s">
        <v>56</v>
      </c>
      <c r="C13" s="41" t="n">
        <v>22000</v>
      </c>
      <c r="D13" s="41" t="n">
        <v>2000</v>
      </c>
      <c r="E13" s="37"/>
      <c r="F13" s="41" t="n">
        <v>0</v>
      </c>
      <c r="G13" s="41" t="n">
        <v>0</v>
      </c>
      <c r="H13" s="37"/>
      <c r="I13" s="41" t="n">
        <v>0</v>
      </c>
      <c r="J13" s="41" t="n">
        <v>0</v>
      </c>
      <c r="K13" s="37"/>
      <c r="L13" s="42" t="n">
        <f aca="false">C13*0.15</f>
        <v>3300</v>
      </c>
      <c r="M13" s="42" t="n">
        <f aca="false">D13*0.15</f>
        <v>300</v>
      </c>
      <c r="N13" s="37"/>
      <c r="O13" s="43" t="n">
        <f aca="false">C13+D13+F13+G13+I13+J13+L13+M13</f>
        <v>27600</v>
      </c>
    </row>
    <row r="14" customFormat="false" ht="18" hidden="false" customHeight="true" outlineLevel="0" collapsed="false">
      <c r="A14" s="35" t="s">
        <v>57</v>
      </c>
      <c r="C14" s="36" t="n">
        <v>18000</v>
      </c>
      <c r="D14" s="36" t="n">
        <v>12000</v>
      </c>
      <c r="E14" s="37"/>
      <c r="F14" s="36" t="n">
        <v>0</v>
      </c>
      <c r="G14" s="36" t="n">
        <v>0</v>
      </c>
      <c r="H14" s="37"/>
      <c r="I14" s="36" t="n">
        <v>0</v>
      </c>
      <c r="J14" s="36" t="n">
        <v>0</v>
      </c>
      <c r="K14" s="37"/>
      <c r="L14" s="38" t="n">
        <f aca="false">C14*0.15</f>
        <v>2700</v>
      </c>
      <c r="M14" s="38" t="n">
        <f aca="false">D14*0.15</f>
        <v>1800</v>
      </c>
      <c r="N14" s="37"/>
      <c r="O14" s="39" t="n">
        <f aca="false">C14+D14+F14+G14+I14+J14+L14+M14</f>
        <v>34500</v>
      </c>
    </row>
    <row r="15" customFormat="false" ht="18" hidden="false" customHeight="true" outlineLevel="0" collapsed="false">
      <c r="A15" s="40" t="s">
        <v>58</v>
      </c>
      <c r="C15" s="41" t="n">
        <v>20000</v>
      </c>
      <c r="D15" s="41" t="n">
        <v>3000</v>
      </c>
      <c r="E15" s="37"/>
      <c r="F15" s="41" t="n">
        <v>0</v>
      </c>
      <c r="G15" s="41" t="n">
        <v>0</v>
      </c>
      <c r="H15" s="37"/>
      <c r="I15" s="41" t="n">
        <v>0</v>
      </c>
      <c r="J15" s="41" t="n">
        <v>0</v>
      </c>
      <c r="K15" s="37"/>
      <c r="L15" s="42" t="n">
        <f aca="false">C15*0.15</f>
        <v>3000</v>
      </c>
      <c r="M15" s="42" t="n">
        <f aca="false">D15*0.15</f>
        <v>450</v>
      </c>
      <c r="N15" s="37"/>
      <c r="O15" s="43" t="n">
        <f aca="false">C15+D15+F15+G15+I15+J15+L15+M15</f>
        <v>26450</v>
      </c>
    </row>
    <row r="16" customFormat="false" ht="18" hidden="false" customHeight="true" outlineLevel="0" collapsed="false">
      <c r="A16" s="35" t="s">
        <v>59</v>
      </c>
      <c r="C16" s="36" t="n">
        <v>15000</v>
      </c>
      <c r="D16" s="36" t="n">
        <v>5000</v>
      </c>
      <c r="E16" s="37"/>
      <c r="F16" s="36" t="n">
        <v>0</v>
      </c>
      <c r="G16" s="36" t="n">
        <v>0</v>
      </c>
      <c r="H16" s="37"/>
      <c r="I16" s="36" t="n">
        <v>0</v>
      </c>
      <c r="J16" s="36" t="n">
        <v>0</v>
      </c>
      <c r="K16" s="37"/>
      <c r="L16" s="38" t="n">
        <f aca="false">C16*0.15</f>
        <v>2250</v>
      </c>
      <c r="M16" s="38" t="n">
        <f aca="false">D16*0.15</f>
        <v>750</v>
      </c>
      <c r="N16" s="37"/>
      <c r="O16" s="39" t="n">
        <f aca="false">C16+D16+F16+G16+I16+J16+L16+M16</f>
        <v>23000</v>
      </c>
    </row>
    <row r="17" customFormat="false" ht="19.5" hidden="false" customHeight="true" outlineLevel="0" collapsed="false">
      <c r="A17" s="44" t="s">
        <v>60</v>
      </c>
      <c r="B17" s="44"/>
      <c r="C17" s="45" t="n">
        <f aca="false">SUM(C12:C16)</f>
        <v>107000</v>
      </c>
      <c r="D17" s="45" t="n">
        <f aca="false">SUM(D12:D16)</f>
        <v>27000</v>
      </c>
      <c r="E17" s="46"/>
      <c r="F17" s="45" t="n">
        <f aca="false">SUM(F12:F16)</f>
        <v>0</v>
      </c>
      <c r="G17" s="45" t="n">
        <f aca="false">SUM(G12:G16)</f>
        <v>0</v>
      </c>
      <c r="H17" s="46"/>
      <c r="I17" s="45" t="n">
        <f aca="false">SUM(I12:I16)</f>
        <v>0</v>
      </c>
      <c r="J17" s="45" t="n">
        <f aca="false">SUM(J12:J16)</f>
        <v>0</v>
      </c>
      <c r="K17" s="46"/>
      <c r="L17" s="45" t="n">
        <f aca="false">SUM(L12:L16)</f>
        <v>16050</v>
      </c>
      <c r="M17" s="45" t="n">
        <f aca="false">SUM(M12:M16)</f>
        <v>4050</v>
      </c>
      <c r="N17" s="46"/>
      <c r="O17" s="45" t="n">
        <f aca="false">SUM(O12:O16)</f>
        <v>154100</v>
      </c>
    </row>
    <row r="18" customFormat="false" ht="19.5" hidden="false" customHeight="true" outlineLevel="0" collapsed="false">
      <c r="A18" s="47" t="s">
        <v>61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</row>
    <row r="19" customFormat="false" ht="18" hidden="false" customHeight="true" outlineLevel="0" collapsed="false">
      <c r="A19" s="35" t="s">
        <v>62</v>
      </c>
      <c r="C19" s="36" t="n">
        <v>85000</v>
      </c>
      <c r="D19" s="36" t="n">
        <v>15000</v>
      </c>
      <c r="E19" s="37"/>
      <c r="F19" s="36" t="n">
        <v>30000</v>
      </c>
      <c r="G19" s="36" t="n">
        <v>5000</v>
      </c>
      <c r="H19" s="37"/>
      <c r="I19" s="36" t="n">
        <v>0</v>
      </c>
      <c r="J19" s="36" t="n">
        <v>0</v>
      </c>
      <c r="K19" s="37"/>
      <c r="L19" s="38" t="n">
        <f aca="false">C19*0.15</f>
        <v>12750</v>
      </c>
      <c r="M19" s="38" t="n">
        <f aca="false">D19*0.15</f>
        <v>2250</v>
      </c>
      <c r="N19" s="37"/>
      <c r="O19" s="39" t="n">
        <f aca="false">C19+D19+F19+G19+I19+J19+L19+M19</f>
        <v>150000</v>
      </c>
    </row>
    <row r="20" customFormat="false" ht="18" hidden="false" customHeight="true" outlineLevel="0" collapsed="false">
      <c r="A20" s="40" t="s">
        <v>63</v>
      </c>
      <c r="C20" s="41" t="n">
        <v>60000</v>
      </c>
      <c r="D20" s="41" t="n">
        <v>10000</v>
      </c>
      <c r="E20" s="37"/>
      <c r="F20" s="41" t="n">
        <v>20000</v>
      </c>
      <c r="G20" s="41" t="n">
        <v>3000</v>
      </c>
      <c r="H20" s="37"/>
      <c r="I20" s="41" t="n">
        <v>0</v>
      </c>
      <c r="J20" s="41" t="n">
        <v>0</v>
      </c>
      <c r="K20" s="37"/>
      <c r="L20" s="42" t="n">
        <f aca="false">C20*0.15</f>
        <v>9000</v>
      </c>
      <c r="M20" s="42" t="n">
        <f aca="false">D20*0.15</f>
        <v>1500</v>
      </c>
      <c r="N20" s="37"/>
      <c r="O20" s="43" t="n">
        <f aca="false">C20+D20+F20+G20+I20+J20+L20+M20</f>
        <v>103500</v>
      </c>
    </row>
    <row r="21" customFormat="false" ht="18" hidden="false" customHeight="true" outlineLevel="0" collapsed="false">
      <c r="A21" s="35" t="s">
        <v>64</v>
      </c>
      <c r="C21" s="36" t="n">
        <v>45000</v>
      </c>
      <c r="D21" s="36" t="n">
        <v>8000</v>
      </c>
      <c r="E21" s="37"/>
      <c r="F21" s="36" t="n">
        <v>15000</v>
      </c>
      <c r="G21" s="36" t="n">
        <v>2000</v>
      </c>
      <c r="H21" s="37"/>
      <c r="I21" s="36" t="n">
        <v>0</v>
      </c>
      <c r="J21" s="36" t="n">
        <v>0</v>
      </c>
      <c r="K21" s="37"/>
      <c r="L21" s="38" t="n">
        <f aca="false">C21*0.15</f>
        <v>6750</v>
      </c>
      <c r="M21" s="38" t="n">
        <f aca="false">D21*0.15</f>
        <v>1200</v>
      </c>
      <c r="N21" s="37"/>
      <c r="O21" s="39" t="n">
        <f aca="false">C21+D21+F21+G21+I21+J21+L21+M21</f>
        <v>77950</v>
      </c>
    </row>
    <row r="22" customFormat="false" ht="18" hidden="false" customHeight="true" outlineLevel="0" collapsed="false">
      <c r="A22" s="40" t="s">
        <v>65</v>
      </c>
      <c r="C22" s="41" t="n">
        <v>90000</v>
      </c>
      <c r="D22" s="41" t="n">
        <v>20000</v>
      </c>
      <c r="E22" s="37"/>
      <c r="F22" s="41" t="n">
        <v>35000</v>
      </c>
      <c r="G22" s="41" t="n">
        <v>8000</v>
      </c>
      <c r="H22" s="37"/>
      <c r="I22" s="41" t="n">
        <v>0</v>
      </c>
      <c r="J22" s="41" t="n">
        <v>0</v>
      </c>
      <c r="K22" s="37"/>
      <c r="L22" s="42" t="n">
        <f aca="false">C22*0.15</f>
        <v>13500</v>
      </c>
      <c r="M22" s="42" t="n">
        <f aca="false">D22*0.15</f>
        <v>3000</v>
      </c>
      <c r="N22" s="37"/>
      <c r="O22" s="43" t="n">
        <f aca="false">C22+D22+F22+G22+I22+J22+L22+M22</f>
        <v>169500</v>
      </c>
    </row>
    <row r="23" customFormat="false" ht="18" hidden="false" customHeight="true" outlineLevel="0" collapsed="false">
      <c r="A23" s="35" t="s">
        <v>66</v>
      </c>
      <c r="C23" s="36" t="n">
        <v>55000</v>
      </c>
      <c r="D23" s="36" t="n">
        <v>25000</v>
      </c>
      <c r="E23" s="37"/>
      <c r="F23" s="36" t="n">
        <v>20000</v>
      </c>
      <c r="G23" s="36" t="n">
        <v>10000</v>
      </c>
      <c r="H23" s="37"/>
      <c r="I23" s="36" t="n">
        <v>0</v>
      </c>
      <c r="J23" s="36" t="n">
        <v>0</v>
      </c>
      <c r="K23" s="37"/>
      <c r="L23" s="38" t="n">
        <f aca="false">C23*0.15</f>
        <v>8250</v>
      </c>
      <c r="M23" s="38" t="n">
        <f aca="false">D23*0.15</f>
        <v>3750</v>
      </c>
      <c r="N23" s="37"/>
      <c r="O23" s="39" t="n">
        <f aca="false">C23+D23+F23+G23+I23+J23+L23+M23</f>
        <v>122000</v>
      </c>
    </row>
    <row r="24" customFormat="false" ht="18" hidden="false" customHeight="true" outlineLevel="0" collapsed="false">
      <c r="A24" s="40" t="s">
        <v>67</v>
      </c>
      <c r="C24" s="41" t="n">
        <v>40000</v>
      </c>
      <c r="D24" s="41" t="n">
        <v>8000</v>
      </c>
      <c r="E24" s="37"/>
      <c r="F24" s="41" t="n">
        <v>15000</v>
      </c>
      <c r="G24" s="41" t="n">
        <v>3000</v>
      </c>
      <c r="H24" s="37"/>
      <c r="I24" s="41" t="n">
        <v>0</v>
      </c>
      <c r="J24" s="41" t="n">
        <v>0</v>
      </c>
      <c r="K24" s="37"/>
      <c r="L24" s="42" t="n">
        <f aca="false">C24*0.15</f>
        <v>6000</v>
      </c>
      <c r="M24" s="42" t="n">
        <f aca="false">D24*0.15</f>
        <v>1200</v>
      </c>
      <c r="N24" s="37"/>
      <c r="O24" s="43" t="n">
        <f aca="false">C24+D24+F24+G24+I24+J24+L24+M24</f>
        <v>73200</v>
      </c>
    </row>
    <row r="25" customFormat="false" ht="19.5" hidden="false" customHeight="true" outlineLevel="0" collapsed="false">
      <c r="A25" s="44" t="s">
        <v>68</v>
      </c>
      <c r="B25" s="44"/>
      <c r="C25" s="45" t="n">
        <f aca="false">SUM(C19:C24)</f>
        <v>375000</v>
      </c>
      <c r="D25" s="45" t="n">
        <f aca="false">SUM(D19:D24)</f>
        <v>86000</v>
      </c>
      <c r="E25" s="46"/>
      <c r="F25" s="45" t="n">
        <f aca="false">SUM(F19:F24)</f>
        <v>135000</v>
      </c>
      <c r="G25" s="45" t="n">
        <f aca="false">SUM(G19:G24)</f>
        <v>31000</v>
      </c>
      <c r="H25" s="46"/>
      <c r="I25" s="45" t="n">
        <f aca="false">SUM(I19:I24)</f>
        <v>0</v>
      </c>
      <c r="J25" s="45" t="n">
        <f aca="false">SUM(J19:J24)</f>
        <v>0</v>
      </c>
      <c r="K25" s="46"/>
      <c r="L25" s="45" t="n">
        <f aca="false">SUM(L19:L24)</f>
        <v>56250</v>
      </c>
      <c r="M25" s="45" t="n">
        <f aca="false">SUM(M19:M24)</f>
        <v>12900</v>
      </c>
      <c r="N25" s="46"/>
      <c r="O25" s="45" t="n">
        <f aca="false">SUM(O19:O24)</f>
        <v>696150</v>
      </c>
    </row>
    <row r="26" customFormat="false" ht="19.5" hidden="false" customHeight="true" outlineLevel="0" collapsed="false">
      <c r="A26" s="48" t="s">
        <v>69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customFormat="false" ht="18" hidden="false" customHeight="true" outlineLevel="0" collapsed="false">
      <c r="A27" s="35" t="s">
        <v>70</v>
      </c>
      <c r="C27" s="36" t="n">
        <v>28000</v>
      </c>
      <c r="D27" s="36" t="n">
        <v>5000</v>
      </c>
      <c r="E27" s="37"/>
      <c r="F27" s="36" t="n">
        <v>12000</v>
      </c>
      <c r="G27" s="36" t="n">
        <v>2000</v>
      </c>
      <c r="H27" s="37"/>
      <c r="I27" s="36" t="n">
        <v>0</v>
      </c>
      <c r="J27" s="36" t="n">
        <v>0</v>
      </c>
      <c r="K27" s="37"/>
      <c r="L27" s="38" t="n">
        <f aca="false">C27*0.15</f>
        <v>4200</v>
      </c>
      <c r="M27" s="38" t="n">
        <f aca="false">D27*0.15</f>
        <v>750</v>
      </c>
      <c r="N27" s="37"/>
      <c r="O27" s="39" t="n">
        <f aca="false">C27+D27+F27+G27+I27+J27+L27+M27</f>
        <v>51950</v>
      </c>
    </row>
    <row r="28" customFormat="false" ht="18" hidden="false" customHeight="true" outlineLevel="0" collapsed="false">
      <c r="A28" s="40" t="s">
        <v>71</v>
      </c>
      <c r="C28" s="41" t="n">
        <v>20000</v>
      </c>
      <c r="D28" s="41" t="n">
        <v>3000</v>
      </c>
      <c r="E28" s="37"/>
      <c r="F28" s="41" t="n">
        <v>8000</v>
      </c>
      <c r="G28" s="41" t="n">
        <v>1500</v>
      </c>
      <c r="H28" s="37"/>
      <c r="I28" s="41" t="n">
        <v>0</v>
      </c>
      <c r="J28" s="41" t="n">
        <v>0</v>
      </c>
      <c r="K28" s="37"/>
      <c r="L28" s="42" t="n">
        <f aca="false">C28*0.15</f>
        <v>3000</v>
      </c>
      <c r="M28" s="42" t="n">
        <f aca="false">D28*0.15</f>
        <v>450</v>
      </c>
      <c r="N28" s="37"/>
      <c r="O28" s="43" t="n">
        <f aca="false">C28+D28+F28+G28+I28+J28+L28+M28</f>
        <v>35950</v>
      </c>
    </row>
    <row r="29" customFormat="false" ht="18" hidden="false" customHeight="true" outlineLevel="0" collapsed="false">
      <c r="A29" s="35" t="s">
        <v>72</v>
      </c>
      <c r="C29" s="36" t="n">
        <v>15000</v>
      </c>
      <c r="D29" s="36" t="n">
        <v>8000</v>
      </c>
      <c r="E29" s="37"/>
      <c r="F29" s="36" t="n">
        <v>8000</v>
      </c>
      <c r="G29" s="36" t="n">
        <v>4000</v>
      </c>
      <c r="H29" s="37"/>
      <c r="I29" s="36" t="n">
        <v>0</v>
      </c>
      <c r="J29" s="36" t="n">
        <v>0</v>
      </c>
      <c r="K29" s="37"/>
      <c r="L29" s="38" t="n">
        <f aca="false">C29*0.15</f>
        <v>2250</v>
      </c>
      <c r="M29" s="38" t="n">
        <f aca="false">D29*0.15</f>
        <v>1200</v>
      </c>
      <c r="N29" s="37"/>
      <c r="O29" s="39" t="n">
        <f aca="false">C29+D29+F29+G29+I29+J29+L29+M29</f>
        <v>38450</v>
      </c>
    </row>
    <row r="30" customFormat="false" ht="19.5" hidden="false" customHeight="true" outlineLevel="0" collapsed="false">
      <c r="A30" s="44" t="s">
        <v>73</v>
      </c>
      <c r="B30" s="44"/>
      <c r="C30" s="45" t="n">
        <f aca="false">SUM(C27:C29)</f>
        <v>63000</v>
      </c>
      <c r="D30" s="45" t="n">
        <f aca="false">SUM(D27:D29)</f>
        <v>16000</v>
      </c>
      <c r="E30" s="46"/>
      <c r="F30" s="45" t="n">
        <f aca="false">SUM(F27:F29)</f>
        <v>28000</v>
      </c>
      <c r="G30" s="45" t="n">
        <f aca="false">SUM(G27:G29)</f>
        <v>7500</v>
      </c>
      <c r="H30" s="46"/>
      <c r="I30" s="45" t="n">
        <f aca="false">SUM(I27:I29)</f>
        <v>0</v>
      </c>
      <c r="J30" s="45" t="n">
        <f aca="false">SUM(J27:J29)</f>
        <v>0</v>
      </c>
      <c r="K30" s="46"/>
      <c r="L30" s="45" t="n">
        <f aca="false">SUM(L27:L29)</f>
        <v>9450</v>
      </c>
      <c r="M30" s="45" t="n">
        <f aca="false">SUM(M27:M29)</f>
        <v>2400</v>
      </c>
      <c r="N30" s="46"/>
      <c r="O30" s="45" t="n">
        <f aca="false">SUM(O27:O29)</f>
        <v>126350</v>
      </c>
    </row>
    <row r="31" customFormat="false" ht="19.5" hidden="false" customHeight="true" outlineLevel="0" collapsed="false">
      <c r="A31" s="49" t="s">
        <v>74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</row>
    <row r="32" customFormat="false" ht="18" hidden="false" customHeight="true" outlineLevel="0" collapsed="false">
      <c r="A32" s="35" t="s">
        <v>75</v>
      </c>
      <c r="C32" s="36" t="n">
        <v>20000</v>
      </c>
      <c r="D32" s="36" t="n">
        <v>45000</v>
      </c>
      <c r="E32" s="37"/>
      <c r="F32" s="36" t="n">
        <v>5000</v>
      </c>
      <c r="G32" s="36" t="n">
        <v>15000</v>
      </c>
      <c r="H32" s="37"/>
      <c r="I32" s="36" t="n">
        <v>0</v>
      </c>
      <c r="J32" s="36" t="n">
        <v>0</v>
      </c>
      <c r="K32" s="37"/>
      <c r="L32" s="38" t="n">
        <f aca="false">C32*0.15</f>
        <v>3000</v>
      </c>
      <c r="M32" s="38" t="n">
        <f aca="false">D32*0.15</f>
        <v>6750</v>
      </c>
      <c r="N32" s="37"/>
      <c r="O32" s="39" t="n">
        <f aca="false">C32+D32+F32+G32+I32+J32+L32+M32</f>
        <v>94750</v>
      </c>
    </row>
    <row r="33" customFormat="false" ht="18" hidden="false" customHeight="true" outlineLevel="0" collapsed="false">
      <c r="A33" s="40" t="s">
        <v>76</v>
      </c>
      <c r="C33" s="41" t="n">
        <v>35000</v>
      </c>
      <c r="D33" s="41" t="n">
        <v>10000</v>
      </c>
      <c r="E33" s="37"/>
      <c r="F33" s="41" t="n">
        <v>10000</v>
      </c>
      <c r="G33" s="41" t="n">
        <v>5000</v>
      </c>
      <c r="H33" s="37"/>
      <c r="I33" s="41" t="n">
        <v>0</v>
      </c>
      <c r="J33" s="41" t="n">
        <v>0</v>
      </c>
      <c r="K33" s="37"/>
      <c r="L33" s="42" t="n">
        <f aca="false">C33*0.15</f>
        <v>5250</v>
      </c>
      <c r="M33" s="42" t="n">
        <f aca="false">D33*0.15</f>
        <v>1500</v>
      </c>
      <c r="N33" s="37"/>
      <c r="O33" s="43" t="n">
        <f aca="false">C33+D33+F33+G33+I33+J33+L33+M33</f>
        <v>66750</v>
      </c>
    </row>
    <row r="34" customFormat="false" ht="18" hidden="false" customHeight="true" outlineLevel="0" collapsed="false">
      <c r="A34" s="35" t="s">
        <v>77</v>
      </c>
      <c r="C34" s="36" t="n">
        <v>18000</v>
      </c>
      <c r="D34" s="36" t="n">
        <v>8000</v>
      </c>
      <c r="E34" s="37"/>
      <c r="F34" s="36" t="n">
        <v>8000</v>
      </c>
      <c r="G34" s="36" t="n">
        <v>4000</v>
      </c>
      <c r="H34" s="37"/>
      <c r="I34" s="36" t="n">
        <v>0</v>
      </c>
      <c r="J34" s="36" t="n">
        <v>0</v>
      </c>
      <c r="K34" s="37"/>
      <c r="L34" s="38" t="n">
        <f aca="false">C34*0.15</f>
        <v>2700</v>
      </c>
      <c r="M34" s="38" t="n">
        <f aca="false">D34*0.15</f>
        <v>1200</v>
      </c>
      <c r="N34" s="37"/>
      <c r="O34" s="39" t="n">
        <f aca="false">C34+D34+F34+G34+I34+J34+L34+M34</f>
        <v>41900</v>
      </c>
    </row>
    <row r="35" customFormat="false" ht="18" hidden="false" customHeight="true" outlineLevel="0" collapsed="false">
      <c r="A35" s="40" t="s">
        <v>78</v>
      </c>
      <c r="C35" s="41" t="n">
        <v>25000</v>
      </c>
      <c r="D35" s="41" t="n">
        <v>15000</v>
      </c>
      <c r="E35" s="37"/>
      <c r="F35" s="41" t="n">
        <v>10000</v>
      </c>
      <c r="G35" s="41" t="n">
        <v>8000</v>
      </c>
      <c r="H35" s="37"/>
      <c r="I35" s="41" t="n">
        <v>0</v>
      </c>
      <c r="J35" s="41" t="n">
        <v>0</v>
      </c>
      <c r="K35" s="37"/>
      <c r="L35" s="42" t="n">
        <f aca="false">C35*0.15</f>
        <v>3750</v>
      </c>
      <c r="M35" s="42" t="n">
        <f aca="false">D35*0.15</f>
        <v>2250</v>
      </c>
      <c r="N35" s="37"/>
      <c r="O35" s="43" t="n">
        <f aca="false">C35+D35+F35+G35+I35+J35+L35+M35</f>
        <v>64000</v>
      </c>
    </row>
    <row r="36" customFormat="false" ht="19.5" hidden="false" customHeight="true" outlineLevel="0" collapsed="false">
      <c r="A36" s="50" t="s">
        <v>79</v>
      </c>
      <c r="B36" s="50"/>
      <c r="C36" s="51" t="n">
        <f aca="false">SUM(C32:C35)</f>
        <v>98000</v>
      </c>
      <c r="D36" s="51" t="n">
        <f aca="false">SUM(D32:D35)</f>
        <v>78000</v>
      </c>
      <c r="E36" s="46"/>
      <c r="F36" s="51" t="n">
        <f aca="false">SUM(F32:F35)</f>
        <v>33000</v>
      </c>
      <c r="G36" s="51" t="n">
        <f aca="false">SUM(G32:G35)</f>
        <v>32000</v>
      </c>
      <c r="H36" s="46"/>
      <c r="I36" s="51" t="n">
        <f aca="false">SUM(I32:I35)</f>
        <v>0</v>
      </c>
      <c r="J36" s="51" t="n">
        <f aca="false">SUM(J32:J35)</f>
        <v>0</v>
      </c>
      <c r="K36" s="46"/>
      <c r="L36" s="51" t="n">
        <f aca="false">SUM(L32:L35)</f>
        <v>14700</v>
      </c>
      <c r="M36" s="51" t="n">
        <f aca="false">SUM(M32:M35)</f>
        <v>11700</v>
      </c>
      <c r="N36" s="46"/>
      <c r="O36" s="51" t="n">
        <f aca="false">SUM(O32:O35)</f>
        <v>267400</v>
      </c>
    </row>
    <row r="37" customFormat="false" ht="19.5" hidden="false" customHeight="true" outlineLevel="0" collapsed="false">
      <c r="A37" s="52" t="s">
        <v>80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</row>
    <row r="38" customFormat="false" ht="18" hidden="false" customHeight="true" outlineLevel="0" collapsed="false">
      <c r="A38" s="35" t="s">
        <v>81</v>
      </c>
      <c r="C38" s="36" t="n">
        <v>0</v>
      </c>
      <c r="D38" s="36" t="n">
        <v>0</v>
      </c>
      <c r="E38" s="37"/>
      <c r="F38" s="36" t="n">
        <v>60000</v>
      </c>
      <c r="G38" s="36" t="n">
        <v>12000</v>
      </c>
      <c r="H38" s="37"/>
      <c r="I38" s="36" t="n">
        <v>65000</v>
      </c>
      <c r="J38" s="36" t="n">
        <v>12000</v>
      </c>
      <c r="K38" s="37"/>
      <c r="L38" s="38" t="n">
        <f aca="false">C38*0.15</f>
        <v>0</v>
      </c>
      <c r="M38" s="38" t="n">
        <f aca="false">D38*0.15</f>
        <v>0</v>
      </c>
      <c r="N38" s="37"/>
      <c r="O38" s="39" t="n">
        <f aca="false">C38+D38+F38+G38+I38+J38+L38+M38</f>
        <v>149000</v>
      </c>
    </row>
    <row r="39" customFormat="false" ht="18" hidden="false" customHeight="true" outlineLevel="0" collapsed="false">
      <c r="A39" s="40" t="s">
        <v>82</v>
      </c>
      <c r="C39" s="41" t="n">
        <v>0</v>
      </c>
      <c r="D39" s="41" t="n">
        <v>0</v>
      </c>
      <c r="E39" s="37"/>
      <c r="F39" s="41" t="n">
        <v>5000</v>
      </c>
      <c r="G39" s="41" t="n">
        <v>35000</v>
      </c>
      <c r="H39" s="37"/>
      <c r="I39" s="41" t="n">
        <v>5000</v>
      </c>
      <c r="J39" s="41" t="n">
        <v>40000</v>
      </c>
      <c r="K39" s="37"/>
      <c r="L39" s="42" t="n">
        <f aca="false">C39*0.15</f>
        <v>0</v>
      </c>
      <c r="M39" s="42" t="n">
        <f aca="false">D39*0.15</f>
        <v>0</v>
      </c>
      <c r="N39" s="37"/>
      <c r="O39" s="43" t="n">
        <f aca="false">C39+D39+F39+G39+I39+J39+L39+M39</f>
        <v>85000</v>
      </c>
    </row>
    <row r="40" customFormat="false" ht="18" hidden="false" customHeight="true" outlineLevel="0" collapsed="false">
      <c r="A40" s="35" t="s">
        <v>83</v>
      </c>
      <c r="C40" s="36" t="n">
        <v>0</v>
      </c>
      <c r="D40" s="36" t="n">
        <v>0</v>
      </c>
      <c r="E40" s="37"/>
      <c r="F40" s="36" t="n">
        <v>5000</v>
      </c>
      <c r="G40" s="36" t="n">
        <v>80000</v>
      </c>
      <c r="H40" s="37"/>
      <c r="I40" s="36" t="n">
        <v>5000</v>
      </c>
      <c r="J40" s="36" t="n">
        <v>90000</v>
      </c>
      <c r="K40" s="37"/>
      <c r="L40" s="38" t="n">
        <f aca="false">C40*0.15</f>
        <v>0</v>
      </c>
      <c r="M40" s="38" t="n">
        <f aca="false">D40*0.15</f>
        <v>0</v>
      </c>
      <c r="N40" s="37"/>
      <c r="O40" s="39" t="n">
        <f aca="false">C40+D40+F40+G40+I40+J40+L40+M40</f>
        <v>180000</v>
      </c>
    </row>
    <row r="41" customFormat="false" ht="18" hidden="false" customHeight="true" outlineLevel="0" collapsed="false">
      <c r="A41" s="40" t="s">
        <v>84</v>
      </c>
      <c r="C41" s="41" t="n">
        <v>0</v>
      </c>
      <c r="D41" s="41" t="n">
        <v>0</v>
      </c>
      <c r="E41" s="37"/>
      <c r="F41" s="41" t="n">
        <v>70000</v>
      </c>
      <c r="G41" s="41" t="n">
        <v>15000</v>
      </c>
      <c r="H41" s="37"/>
      <c r="I41" s="41" t="n">
        <v>80000</v>
      </c>
      <c r="J41" s="41" t="n">
        <v>15000</v>
      </c>
      <c r="K41" s="37"/>
      <c r="L41" s="42" t="n">
        <f aca="false">C41*0.15</f>
        <v>0</v>
      </c>
      <c r="M41" s="42" t="n">
        <f aca="false">D41*0.15</f>
        <v>0</v>
      </c>
      <c r="N41" s="37"/>
      <c r="O41" s="43" t="n">
        <f aca="false">C41+D41+F41+G41+I41+J41+L41+M41</f>
        <v>180000</v>
      </c>
    </row>
    <row r="42" customFormat="false" ht="18" hidden="false" customHeight="true" outlineLevel="0" collapsed="false">
      <c r="A42" s="35" t="s">
        <v>85</v>
      </c>
      <c r="C42" s="36" t="n">
        <v>0</v>
      </c>
      <c r="D42" s="36" t="n">
        <v>0</v>
      </c>
      <c r="E42" s="37"/>
      <c r="F42" s="36" t="n">
        <v>20000</v>
      </c>
      <c r="G42" s="36" t="n">
        <v>10000</v>
      </c>
      <c r="H42" s="37"/>
      <c r="I42" s="36" t="n">
        <v>20000</v>
      </c>
      <c r="J42" s="36" t="n">
        <v>10000</v>
      </c>
      <c r="K42" s="37"/>
      <c r="L42" s="38" t="n">
        <f aca="false">C42*0.15</f>
        <v>0</v>
      </c>
      <c r="M42" s="38" t="n">
        <f aca="false">D42*0.15</f>
        <v>0</v>
      </c>
      <c r="N42" s="37"/>
      <c r="O42" s="39" t="n">
        <f aca="false">C42+D42+F42+G42+I42+J42+L42+M42</f>
        <v>60000</v>
      </c>
    </row>
    <row r="43" customFormat="false" ht="19.5" hidden="false" customHeight="true" outlineLevel="0" collapsed="false">
      <c r="A43" s="53" t="s">
        <v>86</v>
      </c>
      <c r="B43" s="53"/>
      <c r="C43" s="54" t="n">
        <f aca="false">SUM(C38:C42)</f>
        <v>0</v>
      </c>
      <c r="D43" s="54" t="n">
        <f aca="false">SUM(D38:D42)</f>
        <v>0</v>
      </c>
      <c r="E43" s="46"/>
      <c r="F43" s="54" t="n">
        <f aca="false">SUM(F38:F42)</f>
        <v>160000</v>
      </c>
      <c r="G43" s="54" t="n">
        <f aca="false">SUM(G38:G42)</f>
        <v>152000</v>
      </c>
      <c r="H43" s="46"/>
      <c r="I43" s="54" t="n">
        <f aca="false">SUM(I38:I42)</f>
        <v>175000</v>
      </c>
      <c r="J43" s="54" t="n">
        <f aca="false">SUM(J38:J42)</f>
        <v>167000</v>
      </c>
      <c r="K43" s="46"/>
      <c r="L43" s="54" t="n">
        <f aca="false">SUM(L38:L42)</f>
        <v>0</v>
      </c>
      <c r="M43" s="54" t="n">
        <f aca="false">SUM(M38:M42)</f>
        <v>0</v>
      </c>
      <c r="N43" s="46"/>
      <c r="O43" s="54" t="n">
        <f aca="false">SUM(O38:O42)</f>
        <v>654000</v>
      </c>
    </row>
    <row r="44" customFormat="false" ht="7.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customFormat="false" ht="7.5" hidden="false" customHeight="true" outlineLevel="0" collapsed="false"/>
    <row r="46" customFormat="false" ht="7.5" hidden="false" customHeight="true" outlineLevel="0" collapsed="false"/>
    <row r="47" customFormat="false" ht="25.5" hidden="false" customHeight="true" outlineLevel="0" collapsed="false">
      <c r="A47" s="55" t="s">
        <v>87</v>
      </c>
      <c r="B47" s="55"/>
      <c r="C47" s="56" t="n">
        <f aca="false">C10+C17+C25+C30+C36+C43</f>
        <v>706000</v>
      </c>
      <c r="D47" s="56" t="n">
        <f aca="false">D10+D17+D25+D30+D36+D43</f>
        <v>225000</v>
      </c>
      <c r="E47" s="57"/>
      <c r="F47" s="56" t="n">
        <f aca="false">F10+F17+F25+F30+F36+F43</f>
        <v>356000</v>
      </c>
      <c r="G47" s="56" t="n">
        <f aca="false">G10+G17+G25+G30+G36+G43</f>
        <v>222500</v>
      </c>
      <c r="H47" s="57"/>
      <c r="I47" s="56" t="n">
        <f aca="false">I10+I17+I25+I30+I36+I43</f>
        <v>175000</v>
      </c>
      <c r="J47" s="56" t="n">
        <f aca="false">J10+J17+J25+J30+J36+J43</f>
        <v>167000</v>
      </c>
      <c r="K47" s="57"/>
      <c r="L47" s="56" t="n">
        <f aca="false">L10+L17+L25+L30+L36+L43</f>
        <v>105900</v>
      </c>
      <c r="M47" s="56" t="n">
        <f aca="false">M10+M17+M25+M30+M36+M43</f>
        <v>33750</v>
      </c>
      <c r="N47" s="57"/>
      <c r="O47" s="56" t="n">
        <f aca="false">O10+O17+O25+O30+O36+O43</f>
        <v>1991150</v>
      </c>
    </row>
    <row r="48" customFormat="false" ht="15" hidden="false" customHeight="true" outlineLevel="0" collapsed="false">
      <c r="A48" s="0" t="s">
        <v>18</v>
      </c>
      <c r="C48" s="0" t="n">
        <f aca="false">C10+C17+C25+C30+C36</f>
        <v>706000</v>
      </c>
      <c r="F48" s="0" t="n">
        <f aca="false">F10+F17+F25+F30+F36+F43</f>
        <v>356000</v>
      </c>
      <c r="I48" s="0" t="n">
        <f aca="false">I43</f>
        <v>175000</v>
      </c>
    </row>
    <row r="49" customFormat="false" ht="15" hidden="false" customHeight="true" outlineLevel="0" collapsed="false">
      <c r="A49" s="0" t="s">
        <v>20</v>
      </c>
      <c r="C49" s="0" t="n">
        <f aca="false">D17</f>
        <v>27000</v>
      </c>
      <c r="F49" s="0" t="n">
        <f aca="false">G17</f>
        <v>0</v>
      </c>
      <c r="I49" s="0" t="n">
        <v>0</v>
      </c>
    </row>
    <row r="50" customFormat="false" ht="15" hidden="false" customHeight="true" outlineLevel="0" collapsed="false">
      <c r="A50" s="0" t="s">
        <v>22</v>
      </c>
      <c r="C50" s="0" t="n">
        <f aca="false">D36</f>
        <v>78000</v>
      </c>
      <c r="F50" s="0" t="n">
        <f aca="false">G43</f>
        <v>152000</v>
      </c>
      <c r="I50" s="0" t="n">
        <f aca="false">J43</f>
        <v>167000</v>
      </c>
    </row>
    <row r="51" customFormat="false" ht="15" hidden="false" customHeight="true" outlineLevel="0" collapsed="false">
      <c r="A51" s="0" t="s">
        <v>24</v>
      </c>
      <c r="C51" s="0" t="n">
        <f aca="false">C36+D36</f>
        <v>176000</v>
      </c>
      <c r="F51" s="0" t="n">
        <f aca="false">F36+G36</f>
        <v>65000</v>
      </c>
      <c r="I51" s="0" t="n">
        <v>0</v>
      </c>
    </row>
    <row r="52" customFormat="false" ht="15" hidden="false" customHeight="true" outlineLevel="0" collapsed="false">
      <c r="A52" s="0" t="s">
        <v>26</v>
      </c>
      <c r="C52" s="0" t="n">
        <f aca="false">L47+M47</f>
        <v>139650</v>
      </c>
      <c r="F52" s="0" t="n">
        <v>0</v>
      </c>
      <c r="I52" s="0" t="n">
        <v>0</v>
      </c>
    </row>
    <row r="53" customFormat="false" ht="15" hidden="false" customHeight="true" outlineLevel="0" collapsed="false">
      <c r="A53" s="0" t="s">
        <v>28</v>
      </c>
      <c r="C53" s="0" t="n">
        <f aca="false">D10+D25+D30</f>
        <v>120000</v>
      </c>
      <c r="F53" s="0" t="n">
        <f aca="false">G25+G30</f>
        <v>38500</v>
      </c>
      <c r="I53" s="0" t="n">
        <v>0</v>
      </c>
    </row>
  </sheetData>
  <mergeCells count="22">
    <mergeCell ref="A1:O1"/>
    <mergeCell ref="A2:O2"/>
    <mergeCell ref="A3:B4"/>
    <mergeCell ref="C3:D3"/>
    <mergeCell ref="F3:G3"/>
    <mergeCell ref="I3:J3"/>
    <mergeCell ref="L3:M3"/>
    <mergeCell ref="O3:O4"/>
    <mergeCell ref="A5:O5"/>
    <mergeCell ref="A10:B10"/>
    <mergeCell ref="A11:O11"/>
    <mergeCell ref="A17:B17"/>
    <mergeCell ref="A18:O18"/>
    <mergeCell ref="A25:B25"/>
    <mergeCell ref="A26:O26"/>
    <mergeCell ref="A30:B30"/>
    <mergeCell ref="A31:O31"/>
    <mergeCell ref="A36:B36"/>
    <mergeCell ref="A37:O37"/>
    <mergeCell ref="A43:B43"/>
    <mergeCell ref="A44:O44"/>
    <mergeCell ref="A47:B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11" min="3" style="0" width="14"/>
    <col collapsed="false" customWidth="true" hidden="false" outlineLevel="0" max="12" min="12" style="0" width="18"/>
  </cols>
  <sheetData>
    <row r="1" customFormat="false" ht="31.5" hidden="false" customHeight="true" outlineLevel="0" collapsed="false">
      <c r="A1" s="58" t="s">
        <v>88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</row>
    <row r="2" customFormat="false" ht="7.5" hidden="false" customHeight="true" outlineLevel="0" collapsed="false"/>
    <row r="3" customFormat="false" ht="21.75" hidden="false" customHeight="true" outlineLevel="0" collapsed="false">
      <c r="A3" s="33" t="s">
        <v>89</v>
      </c>
      <c r="B3" s="33" t="s">
        <v>90</v>
      </c>
      <c r="C3" s="33" t="s">
        <v>91</v>
      </c>
      <c r="D3" s="33" t="s">
        <v>92</v>
      </c>
      <c r="E3" s="33" t="s">
        <v>93</v>
      </c>
      <c r="F3" s="33" t="s">
        <v>94</v>
      </c>
      <c r="G3" s="33" t="s">
        <v>95</v>
      </c>
      <c r="H3" s="33" t="s">
        <v>96</v>
      </c>
      <c r="I3" s="33" t="s">
        <v>97</v>
      </c>
      <c r="J3" s="33" t="s">
        <v>98</v>
      </c>
      <c r="K3" s="33" t="s">
        <v>99</v>
      </c>
      <c r="L3" s="33" t="s">
        <v>100</v>
      </c>
    </row>
    <row r="4" customFormat="false" ht="18" hidden="false" customHeight="true" outlineLevel="0" collapsed="false">
      <c r="A4" s="59" t="s">
        <v>101</v>
      </c>
      <c r="B4" s="59" t="s">
        <v>102</v>
      </c>
      <c r="C4" s="36" t="n">
        <v>18000</v>
      </c>
      <c r="D4" s="60" t="n">
        <v>18</v>
      </c>
      <c r="E4" s="38" t="n">
        <f aca="false">C4*D4*J4</f>
        <v>324000</v>
      </c>
      <c r="F4" s="60" t="n">
        <v>12</v>
      </c>
      <c r="G4" s="38" t="n">
        <f aca="false">C4*F4*J4</f>
        <v>216000</v>
      </c>
      <c r="H4" s="60" t="n">
        <v>6</v>
      </c>
      <c r="I4" s="38" t="n">
        <f aca="false">C4*H4*J4</f>
        <v>108000</v>
      </c>
      <c r="J4" s="60" t="n">
        <v>1</v>
      </c>
      <c r="K4" s="61" t="n">
        <f aca="false">J4*0.5</f>
        <v>0.5</v>
      </c>
      <c r="L4" s="59" t="s">
        <v>103</v>
      </c>
    </row>
    <row r="5" customFormat="false" ht="18" hidden="false" customHeight="true" outlineLevel="0" collapsed="false">
      <c r="A5" s="62" t="s">
        <v>104</v>
      </c>
      <c r="B5" s="62" t="s">
        <v>102</v>
      </c>
      <c r="C5" s="41" t="n">
        <v>14000</v>
      </c>
      <c r="D5" s="63" t="n">
        <v>14</v>
      </c>
      <c r="E5" s="42" t="n">
        <f aca="false">C5*D5*J5</f>
        <v>196000</v>
      </c>
      <c r="F5" s="63" t="n">
        <v>8</v>
      </c>
      <c r="G5" s="42" t="n">
        <f aca="false">C5*F5*J5</f>
        <v>112000</v>
      </c>
      <c r="H5" s="63" t="n">
        <v>4</v>
      </c>
      <c r="I5" s="42" t="n">
        <f aca="false">C5*H5*J5</f>
        <v>56000</v>
      </c>
      <c r="J5" s="63" t="n">
        <v>1</v>
      </c>
      <c r="K5" s="64" t="n">
        <f aca="false">J5*0.5</f>
        <v>0.5</v>
      </c>
      <c r="L5" s="62" t="s">
        <v>105</v>
      </c>
    </row>
    <row r="6" customFormat="false" ht="18" hidden="false" customHeight="true" outlineLevel="0" collapsed="false">
      <c r="A6" s="59" t="s">
        <v>106</v>
      </c>
      <c r="B6" s="59" t="s">
        <v>107</v>
      </c>
      <c r="C6" s="36" t="n">
        <v>25000</v>
      </c>
      <c r="D6" s="60" t="n">
        <v>10</v>
      </c>
      <c r="E6" s="38" t="n">
        <f aca="false">C6*D6*J6</f>
        <v>250000</v>
      </c>
      <c r="F6" s="60" t="n">
        <v>6</v>
      </c>
      <c r="G6" s="38" t="n">
        <f aca="false">C6*F6*J6</f>
        <v>150000</v>
      </c>
      <c r="H6" s="60" t="n">
        <v>3</v>
      </c>
      <c r="I6" s="38" t="n">
        <f aca="false">C6*H6*J6</f>
        <v>75000</v>
      </c>
      <c r="J6" s="60" t="n">
        <v>1</v>
      </c>
      <c r="K6" s="61" t="n">
        <f aca="false">J6*0.5</f>
        <v>0.5</v>
      </c>
      <c r="L6" s="59" t="s">
        <v>108</v>
      </c>
    </row>
    <row r="7" customFormat="false" ht="18" hidden="false" customHeight="true" outlineLevel="0" collapsed="false">
      <c r="A7" s="62" t="s">
        <v>109</v>
      </c>
      <c r="B7" s="62" t="s">
        <v>102</v>
      </c>
      <c r="C7" s="41" t="n">
        <v>22000</v>
      </c>
      <c r="D7" s="63" t="n">
        <v>18</v>
      </c>
      <c r="E7" s="42" t="n">
        <f aca="false">C7*D7*J7</f>
        <v>792000</v>
      </c>
      <c r="F7" s="63" t="n">
        <v>18</v>
      </c>
      <c r="G7" s="42" t="n">
        <f aca="false">C7*F7*J7</f>
        <v>792000</v>
      </c>
      <c r="H7" s="63" t="n">
        <v>18</v>
      </c>
      <c r="I7" s="42" t="n">
        <f aca="false">C7*H7*J7</f>
        <v>792000</v>
      </c>
      <c r="J7" s="63" t="n">
        <v>2</v>
      </c>
      <c r="K7" s="64" t="n">
        <f aca="false">J7*0.5</f>
        <v>1</v>
      </c>
      <c r="L7" s="62" t="s">
        <v>110</v>
      </c>
    </row>
    <row r="8" customFormat="false" ht="18" hidden="false" customHeight="true" outlineLevel="0" collapsed="false">
      <c r="A8" s="59" t="s">
        <v>111</v>
      </c>
      <c r="B8" s="59" t="s">
        <v>102</v>
      </c>
      <c r="C8" s="36" t="n">
        <v>15000</v>
      </c>
      <c r="D8" s="60" t="n">
        <v>16</v>
      </c>
      <c r="E8" s="38" t="n">
        <f aca="false">C8*D8*J8</f>
        <v>720000</v>
      </c>
      <c r="F8" s="60" t="n">
        <v>16</v>
      </c>
      <c r="G8" s="38" t="n">
        <f aca="false">C8*F8*J8</f>
        <v>720000</v>
      </c>
      <c r="H8" s="60" t="n">
        <v>16</v>
      </c>
      <c r="I8" s="38" t="n">
        <f aca="false">C8*H8*J8</f>
        <v>720000</v>
      </c>
      <c r="J8" s="60" t="n">
        <v>3</v>
      </c>
      <c r="K8" s="61" t="n">
        <f aca="false">J8*0.5</f>
        <v>1.5</v>
      </c>
      <c r="L8" s="59" t="s">
        <v>112</v>
      </c>
    </row>
    <row r="9" customFormat="false" ht="18" hidden="false" customHeight="true" outlineLevel="0" collapsed="false">
      <c r="A9" s="62" t="s">
        <v>113</v>
      </c>
      <c r="B9" s="62" t="s">
        <v>102</v>
      </c>
      <c r="C9" s="41" t="n">
        <v>18000</v>
      </c>
      <c r="D9" s="63" t="n">
        <v>12</v>
      </c>
      <c r="E9" s="42" t="n">
        <f aca="false">C9*D9*J9</f>
        <v>216000</v>
      </c>
      <c r="F9" s="63" t="n">
        <v>12</v>
      </c>
      <c r="G9" s="42" t="n">
        <f aca="false">C9*F9*J9</f>
        <v>216000</v>
      </c>
      <c r="H9" s="63" t="n">
        <v>12</v>
      </c>
      <c r="I9" s="42" t="n">
        <f aca="false">C9*H9*J9</f>
        <v>216000</v>
      </c>
      <c r="J9" s="63" t="n">
        <v>1</v>
      </c>
      <c r="K9" s="64" t="n">
        <f aca="false">J9*0.5</f>
        <v>0.5</v>
      </c>
      <c r="L9" s="62" t="s">
        <v>114</v>
      </c>
    </row>
    <row r="10" customFormat="false" ht="18" hidden="false" customHeight="true" outlineLevel="0" collapsed="false">
      <c r="A10" s="59" t="s">
        <v>115</v>
      </c>
      <c r="B10" s="59" t="s">
        <v>107</v>
      </c>
      <c r="C10" s="36" t="n">
        <v>12000</v>
      </c>
      <c r="D10" s="60" t="n">
        <v>8</v>
      </c>
      <c r="E10" s="38" t="n">
        <f aca="false">C10*D10*J10</f>
        <v>96000</v>
      </c>
      <c r="F10" s="60" t="n">
        <v>4</v>
      </c>
      <c r="G10" s="38" t="n">
        <f aca="false">C10*F10*J10</f>
        <v>48000</v>
      </c>
      <c r="H10" s="60" t="n">
        <v>2</v>
      </c>
      <c r="I10" s="38" t="n">
        <f aca="false">C10*H10*J10</f>
        <v>24000</v>
      </c>
      <c r="J10" s="60" t="n">
        <v>1</v>
      </c>
      <c r="K10" s="61" t="n">
        <f aca="false">J10*0.5</f>
        <v>0.5</v>
      </c>
      <c r="L10" s="59" t="s">
        <v>116</v>
      </c>
    </row>
    <row r="11" customFormat="false" ht="18" hidden="false" customHeight="true" outlineLevel="0" collapsed="false">
      <c r="A11" s="62" t="s">
        <v>117</v>
      </c>
      <c r="B11" s="62" t="s">
        <v>102</v>
      </c>
      <c r="C11" s="41" t="n">
        <v>18000</v>
      </c>
      <c r="D11" s="63" t="n">
        <v>14</v>
      </c>
      <c r="E11" s="42" t="n">
        <f aca="false">C11*D11*J11</f>
        <v>252000</v>
      </c>
      <c r="F11" s="63" t="n">
        <v>14</v>
      </c>
      <c r="G11" s="42" t="n">
        <f aca="false">C11*F11*J11</f>
        <v>252000</v>
      </c>
      <c r="H11" s="63" t="n">
        <v>14</v>
      </c>
      <c r="I11" s="42" t="n">
        <f aca="false">C11*H11*J11</f>
        <v>252000</v>
      </c>
      <c r="J11" s="63" t="n">
        <v>1</v>
      </c>
      <c r="K11" s="64" t="n">
        <f aca="false">J11*0.5</f>
        <v>0.5</v>
      </c>
      <c r="L11" s="62" t="s">
        <v>118</v>
      </c>
    </row>
    <row r="12" customFormat="false" ht="18" hidden="false" customHeight="true" outlineLevel="0" collapsed="false">
      <c r="A12" s="59" t="s">
        <v>119</v>
      </c>
      <c r="B12" s="59" t="s">
        <v>102</v>
      </c>
      <c r="C12" s="36" t="n">
        <v>12000</v>
      </c>
      <c r="D12" s="60" t="n">
        <v>16</v>
      </c>
      <c r="E12" s="38" t="n">
        <f aca="false">C12*D12*J12</f>
        <v>192000</v>
      </c>
      <c r="F12" s="60" t="n">
        <v>12</v>
      </c>
      <c r="G12" s="38" t="n">
        <f aca="false">C12*F12*J12</f>
        <v>144000</v>
      </c>
      <c r="H12" s="60" t="n">
        <v>12</v>
      </c>
      <c r="I12" s="38" t="n">
        <f aca="false">C12*H12*J12</f>
        <v>144000</v>
      </c>
      <c r="J12" s="60" t="n">
        <v>1</v>
      </c>
      <c r="K12" s="61" t="n">
        <f aca="false">J12*0.5</f>
        <v>0.5</v>
      </c>
      <c r="L12" s="59" t="s">
        <v>120</v>
      </c>
    </row>
    <row r="13" customFormat="false" ht="18" hidden="false" customHeight="true" outlineLevel="0" collapsed="false">
      <c r="A13" s="62" t="s">
        <v>121</v>
      </c>
      <c r="B13" s="62" t="s">
        <v>102</v>
      </c>
      <c r="C13" s="41" t="n">
        <v>20000</v>
      </c>
      <c r="D13" s="63" t="n">
        <v>18</v>
      </c>
      <c r="E13" s="42" t="n">
        <f aca="false">C13*D13*J13</f>
        <v>360000</v>
      </c>
      <c r="F13" s="63" t="n">
        <v>18</v>
      </c>
      <c r="G13" s="42" t="n">
        <f aca="false">C13*F13*J13</f>
        <v>360000</v>
      </c>
      <c r="H13" s="63" t="n">
        <v>18</v>
      </c>
      <c r="I13" s="42" t="n">
        <f aca="false">C13*H13*J13</f>
        <v>360000</v>
      </c>
      <c r="J13" s="63" t="n">
        <v>1</v>
      </c>
      <c r="K13" s="64" t="n">
        <f aca="false">J13*0.5</f>
        <v>0.5</v>
      </c>
      <c r="L13" s="62" t="s">
        <v>122</v>
      </c>
    </row>
    <row r="14" customFormat="false" ht="18" hidden="false" customHeight="true" outlineLevel="0" collapsed="false">
      <c r="A14" s="59" t="s">
        <v>123</v>
      </c>
      <c r="B14" s="59" t="s">
        <v>124</v>
      </c>
      <c r="C14" s="36" t="n">
        <v>10000</v>
      </c>
      <c r="D14" s="60" t="n">
        <v>12</v>
      </c>
      <c r="E14" s="38" t="n">
        <f aca="false">C14*D14*J14</f>
        <v>120000</v>
      </c>
      <c r="F14" s="60" t="n">
        <v>12</v>
      </c>
      <c r="G14" s="38" t="n">
        <f aca="false">C14*F14*J14</f>
        <v>120000</v>
      </c>
      <c r="H14" s="60" t="n">
        <v>12</v>
      </c>
      <c r="I14" s="38" t="n">
        <f aca="false">C14*H14*J14</f>
        <v>120000</v>
      </c>
      <c r="J14" s="60" t="n">
        <v>1</v>
      </c>
      <c r="K14" s="61" t="n">
        <f aca="false">J14*0.5</f>
        <v>0.5</v>
      </c>
      <c r="L14" s="59" t="s">
        <v>125</v>
      </c>
    </row>
    <row r="15" customFormat="false" ht="18" hidden="false" customHeight="true" outlineLevel="0" collapsed="false">
      <c r="A15" s="62" t="s">
        <v>126</v>
      </c>
      <c r="B15" s="62" t="s">
        <v>107</v>
      </c>
      <c r="C15" s="41" t="n">
        <v>22000</v>
      </c>
      <c r="D15" s="63" t="n">
        <v>6</v>
      </c>
      <c r="E15" s="42" t="n">
        <f aca="false">C15*D15*J15</f>
        <v>132000</v>
      </c>
      <c r="F15" s="63" t="n">
        <v>4</v>
      </c>
      <c r="G15" s="42" t="n">
        <f aca="false">C15*F15*J15</f>
        <v>88000</v>
      </c>
      <c r="H15" s="63" t="n">
        <v>2</v>
      </c>
      <c r="I15" s="42" t="n">
        <f aca="false">C15*H15*J15</f>
        <v>44000</v>
      </c>
      <c r="J15" s="63" t="n">
        <v>1</v>
      </c>
      <c r="K15" s="64" t="n">
        <f aca="false">J15*0.5</f>
        <v>0.5</v>
      </c>
      <c r="L15" s="62" t="s">
        <v>127</v>
      </c>
    </row>
    <row r="16" customFormat="false" ht="18" hidden="false" customHeight="true" outlineLevel="0" collapsed="false">
      <c r="A16" s="59" t="s">
        <v>128</v>
      </c>
      <c r="B16" s="59" t="s">
        <v>107</v>
      </c>
      <c r="C16" s="36" t="n">
        <v>14000</v>
      </c>
      <c r="D16" s="60" t="n">
        <v>6</v>
      </c>
      <c r="E16" s="38" t="n">
        <f aca="false">C16*D16*J16</f>
        <v>84000</v>
      </c>
      <c r="F16" s="60" t="n">
        <v>3</v>
      </c>
      <c r="G16" s="38" t="n">
        <f aca="false">C16*F16*J16</f>
        <v>42000</v>
      </c>
      <c r="H16" s="60" t="n">
        <v>2</v>
      </c>
      <c r="I16" s="38" t="n">
        <f aca="false">C16*H16*J16</f>
        <v>28000</v>
      </c>
      <c r="J16" s="60" t="n">
        <v>1</v>
      </c>
      <c r="K16" s="61" t="n">
        <f aca="false">J16*0.5</f>
        <v>0.5</v>
      </c>
      <c r="L16" s="59" t="s">
        <v>129</v>
      </c>
    </row>
    <row r="17" customFormat="false" ht="18" hidden="false" customHeight="true" outlineLevel="0" collapsed="false">
      <c r="A17" s="62" t="s">
        <v>130</v>
      </c>
      <c r="B17" s="62" t="s">
        <v>131</v>
      </c>
      <c r="C17" s="41" t="n">
        <v>8000</v>
      </c>
      <c r="D17" s="63" t="n">
        <v>8</v>
      </c>
      <c r="E17" s="42" t="n">
        <f aca="false">C17*D17*J17</f>
        <v>64000</v>
      </c>
      <c r="F17" s="63" t="n">
        <v>4</v>
      </c>
      <c r="G17" s="42" t="n">
        <f aca="false">C17*F17*J17</f>
        <v>32000</v>
      </c>
      <c r="H17" s="63" t="n">
        <v>2</v>
      </c>
      <c r="I17" s="42" t="n">
        <f aca="false">C17*H17*J17</f>
        <v>16000</v>
      </c>
      <c r="J17" s="63" t="n">
        <v>1</v>
      </c>
      <c r="K17" s="64" t="n">
        <f aca="false">J17*0.5</f>
        <v>0.5</v>
      </c>
      <c r="L17" s="62" t="s">
        <v>132</v>
      </c>
    </row>
    <row r="18" customFormat="false" ht="18" hidden="false" customHeight="true" outlineLevel="0" collapsed="false">
      <c r="A18" s="59" t="s">
        <v>133</v>
      </c>
      <c r="B18" s="59" t="s">
        <v>134</v>
      </c>
      <c r="C18" s="36" t="n">
        <v>8000</v>
      </c>
      <c r="D18" s="60" t="n">
        <v>0</v>
      </c>
      <c r="E18" s="38" t="n">
        <f aca="false">C18*D18*J18</f>
        <v>0</v>
      </c>
      <c r="F18" s="60" t="n">
        <v>12</v>
      </c>
      <c r="G18" s="38" t="n">
        <f aca="false">C18*F18*J18</f>
        <v>192000</v>
      </c>
      <c r="H18" s="60" t="n">
        <v>12</v>
      </c>
      <c r="I18" s="38" t="n">
        <f aca="false">C18*H18*J18</f>
        <v>192000</v>
      </c>
      <c r="J18" s="60" t="n">
        <v>2</v>
      </c>
      <c r="K18" s="61" t="n">
        <f aca="false">J18*0.5</f>
        <v>1</v>
      </c>
      <c r="L18" s="59" t="s">
        <v>135</v>
      </c>
    </row>
    <row r="19" customFormat="false" ht="21.75" hidden="false" customHeight="true" outlineLevel="0" collapsed="false">
      <c r="A19" s="65" t="s">
        <v>136</v>
      </c>
      <c r="E19" s="66" t="n">
        <f aca="false">SUM(E4:E18)</f>
        <v>3798000</v>
      </c>
      <c r="G19" s="66" t="n">
        <f aca="false">SUM(G4:G18)</f>
        <v>3484000</v>
      </c>
      <c r="I19" s="66" t="n">
        <f aca="false">SUM(I4:I18)</f>
        <v>3147000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4"/>
    <col collapsed="false" customWidth="true" hidden="false" outlineLevel="0" max="30" min="8" style="0" width="4.5"/>
  </cols>
  <sheetData>
    <row r="1" customFormat="false" ht="30" hidden="false" customHeight="true" outlineLevel="0" collapsed="false">
      <c r="A1" s="58" t="s">
        <v>137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</row>
    <row r="2" customFormat="false" ht="18" hidden="false" customHeight="true" outlineLevel="0" collapsed="false">
      <c r="A2" s="67" t="s">
        <v>138</v>
      </c>
      <c r="B2" s="31"/>
      <c r="C2" s="31"/>
      <c r="D2" s="31"/>
      <c r="E2" s="31"/>
      <c r="F2" s="31"/>
      <c r="G2" s="31"/>
      <c r="H2" s="9" t="s">
        <v>41</v>
      </c>
      <c r="I2" s="9"/>
      <c r="J2" s="9"/>
      <c r="K2" s="9"/>
      <c r="L2" s="9"/>
      <c r="M2" s="9"/>
      <c r="N2" s="9"/>
      <c r="O2" s="9"/>
      <c r="P2" s="10" t="s">
        <v>42</v>
      </c>
      <c r="Q2" s="10"/>
      <c r="R2" s="10"/>
      <c r="S2" s="10"/>
      <c r="T2" s="10"/>
      <c r="U2" s="10"/>
      <c r="V2" s="10"/>
      <c r="W2" s="10"/>
      <c r="X2" s="11" t="s">
        <v>43</v>
      </c>
      <c r="Y2" s="11"/>
      <c r="Z2" s="11"/>
      <c r="AA2" s="11"/>
      <c r="AB2" s="11"/>
      <c r="AC2" s="11"/>
      <c r="AD2" s="11"/>
      <c r="AE2" s="11"/>
    </row>
    <row r="3" customFormat="false" ht="18" hidden="false" customHeight="true" outlineLevel="0" collapsed="false">
      <c r="B3" s="68"/>
      <c r="C3" s="68" t="s">
        <v>139</v>
      </c>
      <c r="D3" s="68" t="s">
        <v>140</v>
      </c>
      <c r="E3" s="68" t="s">
        <v>141</v>
      </c>
      <c r="F3" s="68" t="s">
        <v>142</v>
      </c>
      <c r="G3" s="68" t="s">
        <v>143</v>
      </c>
      <c r="H3" s="68" t="s">
        <v>144</v>
      </c>
      <c r="I3" s="68" t="s">
        <v>145</v>
      </c>
      <c r="J3" s="68" t="s">
        <v>146</v>
      </c>
      <c r="K3" s="68" t="s">
        <v>147</v>
      </c>
      <c r="L3" s="68" t="s">
        <v>148</v>
      </c>
      <c r="M3" s="68" t="s">
        <v>149</v>
      </c>
      <c r="N3" s="68" t="s">
        <v>150</v>
      </c>
      <c r="O3" s="68" t="s">
        <v>151</v>
      </c>
      <c r="P3" s="68" t="s">
        <v>152</v>
      </c>
      <c r="Q3" s="68" t="s">
        <v>153</v>
      </c>
      <c r="R3" s="68" t="s">
        <v>154</v>
      </c>
      <c r="S3" s="68" t="s">
        <v>155</v>
      </c>
      <c r="T3" s="69" t="s">
        <v>156</v>
      </c>
      <c r="U3" s="69" t="s">
        <v>157</v>
      </c>
      <c r="V3" s="69" t="s">
        <v>158</v>
      </c>
      <c r="W3" s="69" t="s">
        <v>159</v>
      </c>
      <c r="X3" s="69" t="s">
        <v>160</v>
      </c>
      <c r="Y3" s="69" t="s">
        <v>161</v>
      </c>
      <c r="Z3" s="69" t="s">
        <v>162</v>
      </c>
      <c r="AA3" s="69" t="s">
        <v>163</v>
      </c>
      <c r="AB3" s="69" t="s">
        <v>164</v>
      </c>
      <c r="AC3" s="69" t="s">
        <v>165</v>
      </c>
      <c r="AD3" s="69" t="s">
        <v>166</v>
      </c>
      <c r="AE3" s="69" t="s">
        <v>167</v>
      </c>
      <c r="AF3" s="70" t="s">
        <v>168</v>
      </c>
      <c r="AG3" s="70" t="s">
        <v>169</v>
      </c>
      <c r="AH3" s="70" t="s">
        <v>170</v>
      </c>
      <c r="AI3" s="70" t="s">
        <v>171</v>
      </c>
      <c r="AJ3" s="70" t="s">
        <v>172</v>
      </c>
      <c r="AK3" s="70" t="s">
        <v>173</v>
      </c>
      <c r="AL3" s="70" t="s">
        <v>174</v>
      </c>
      <c r="AM3" s="70" t="s">
        <v>175</v>
      </c>
      <c r="AN3" s="70" t="s">
        <v>176</v>
      </c>
      <c r="AO3" s="70" t="s">
        <v>177</v>
      </c>
      <c r="AP3" s="70" t="s">
        <v>178</v>
      </c>
      <c r="AQ3" s="70" t="s">
        <v>179</v>
      </c>
    </row>
    <row r="4" customFormat="false" ht="18" hidden="false" customHeight="true" outlineLevel="0" collapsed="false">
      <c r="A4" s="71" t="s">
        <v>180</v>
      </c>
      <c r="B4" s="72"/>
      <c r="C4" s="73"/>
      <c r="D4" s="74"/>
      <c r="E4" s="72"/>
      <c r="F4" s="72"/>
      <c r="H4" s="75"/>
      <c r="I4" s="75"/>
      <c r="J4" s="75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</row>
    <row r="5" customFormat="false" ht="18" hidden="false" customHeight="true" outlineLevel="0" collapsed="false">
      <c r="A5" s="77" t="s">
        <v>181</v>
      </c>
      <c r="B5" s="78" t="s">
        <v>182</v>
      </c>
      <c r="C5" s="79" t="n">
        <v>15000</v>
      </c>
      <c r="D5" s="80" t="s">
        <v>183</v>
      </c>
      <c r="E5" s="78" t="s">
        <v>184</v>
      </c>
      <c r="F5" s="78" t="s">
        <v>185</v>
      </c>
      <c r="H5" s="81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</row>
    <row r="6" customFormat="false" ht="18" hidden="false" customHeight="true" outlineLevel="0" collapsed="false">
      <c r="A6" s="82" t="s">
        <v>186</v>
      </c>
      <c r="B6" s="83" t="s">
        <v>187</v>
      </c>
      <c r="C6" s="84" t="n">
        <v>28000</v>
      </c>
      <c r="D6" s="85" t="s">
        <v>188</v>
      </c>
      <c r="E6" s="83" t="s">
        <v>184</v>
      </c>
      <c r="F6" s="83" t="s">
        <v>189</v>
      </c>
      <c r="H6" s="76"/>
      <c r="I6" s="81"/>
      <c r="J6" s="81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</row>
    <row r="7" customFormat="false" ht="18" hidden="false" customHeight="true" outlineLevel="0" collapsed="false">
      <c r="A7" s="77" t="s">
        <v>190</v>
      </c>
      <c r="B7" s="78" t="s">
        <v>191</v>
      </c>
      <c r="C7" s="79" t="n">
        <v>12000</v>
      </c>
      <c r="D7" s="80" t="s">
        <v>192</v>
      </c>
      <c r="E7" s="78" t="s">
        <v>184</v>
      </c>
      <c r="F7" s="78" t="s">
        <v>189</v>
      </c>
      <c r="H7" s="37"/>
      <c r="I7" s="37"/>
      <c r="J7" s="81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</row>
    <row r="8" customFormat="false" ht="18" hidden="false" customHeight="true" outlineLevel="0" collapsed="false">
      <c r="A8" s="71" t="s">
        <v>193</v>
      </c>
      <c r="B8" s="72"/>
      <c r="C8" s="73"/>
      <c r="D8" s="74"/>
      <c r="E8" s="72"/>
      <c r="F8" s="72"/>
      <c r="H8" s="76"/>
      <c r="I8" s="75"/>
      <c r="J8" s="75"/>
      <c r="K8" s="75"/>
      <c r="L8" s="75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</row>
    <row r="9" customFormat="false" ht="18" hidden="false" customHeight="true" outlineLevel="0" collapsed="false">
      <c r="A9" s="77" t="s">
        <v>194</v>
      </c>
      <c r="B9" s="78" t="s">
        <v>195</v>
      </c>
      <c r="C9" s="79" t="n">
        <v>40000</v>
      </c>
      <c r="D9" s="80" t="s">
        <v>196</v>
      </c>
      <c r="E9" s="78" t="s">
        <v>184</v>
      </c>
      <c r="F9" s="78" t="s">
        <v>189</v>
      </c>
      <c r="H9" s="37"/>
      <c r="I9" s="37"/>
      <c r="J9" s="37"/>
      <c r="K9" s="81"/>
      <c r="L9" s="81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</row>
    <row r="10" customFormat="false" ht="18" hidden="false" customHeight="true" outlineLevel="0" collapsed="false">
      <c r="A10" s="82" t="s">
        <v>197</v>
      </c>
      <c r="B10" s="83" t="s">
        <v>198</v>
      </c>
      <c r="C10" s="84" t="n">
        <v>30000</v>
      </c>
      <c r="D10" s="85" t="s">
        <v>199</v>
      </c>
      <c r="E10" s="83" t="s">
        <v>184</v>
      </c>
      <c r="F10" s="83" t="s">
        <v>185</v>
      </c>
      <c r="H10" s="76"/>
      <c r="I10" s="76"/>
      <c r="J10" s="76"/>
      <c r="K10" s="76"/>
      <c r="L10" s="81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</row>
    <row r="11" customFormat="false" ht="18" hidden="false" customHeight="true" outlineLevel="0" collapsed="false">
      <c r="A11" s="86" t="s">
        <v>200</v>
      </c>
      <c r="B11" s="87"/>
      <c r="C11" s="88"/>
      <c r="D11" s="89"/>
      <c r="E11" s="87"/>
      <c r="F11" s="87"/>
      <c r="H11" s="37"/>
      <c r="I11" s="37"/>
      <c r="J11" s="37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</row>
    <row r="12" customFormat="false" ht="18" hidden="false" customHeight="true" outlineLevel="0" collapsed="false">
      <c r="A12" s="82" t="s">
        <v>201</v>
      </c>
      <c r="B12" s="83" t="s">
        <v>202</v>
      </c>
      <c r="C12" s="84" t="n">
        <v>120000</v>
      </c>
      <c r="D12" s="85" t="s">
        <v>203</v>
      </c>
      <c r="E12" s="83" t="s">
        <v>184</v>
      </c>
      <c r="F12" s="83" t="s">
        <v>204</v>
      </c>
      <c r="H12" s="76"/>
      <c r="I12" s="76"/>
      <c r="J12" s="76"/>
      <c r="K12" s="76"/>
      <c r="L12" s="76"/>
      <c r="M12" s="76"/>
      <c r="N12" s="81"/>
      <c r="O12" s="81"/>
      <c r="P12" s="81"/>
      <c r="Q12" s="81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</row>
    <row r="13" customFormat="false" ht="18" hidden="false" customHeight="true" outlineLevel="0" collapsed="false">
      <c r="A13" s="77" t="s">
        <v>205</v>
      </c>
      <c r="B13" s="78" t="s">
        <v>206</v>
      </c>
      <c r="C13" s="79" t="n">
        <v>150000</v>
      </c>
      <c r="D13" s="80" t="s">
        <v>207</v>
      </c>
      <c r="E13" s="78" t="s">
        <v>184</v>
      </c>
      <c r="F13" s="78" t="s">
        <v>204</v>
      </c>
      <c r="H13" s="37"/>
      <c r="I13" s="37"/>
      <c r="J13" s="37"/>
      <c r="K13" s="37"/>
      <c r="L13" s="37"/>
      <c r="M13" s="37"/>
      <c r="N13" s="37"/>
      <c r="O13" s="37"/>
      <c r="P13" s="37"/>
      <c r="Q13" s="81"/>
      <c r="R13" s="81"/>
      <c r="S13" s="81"/>
      <c r="T13" s="81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</row>
    <row r="14" customFormat="false" ht="18" hidden="false" customHeight="true" outlineLevel="0" collapsed="false">
      <c r="A14" s="82" t="s">
        <v>208</v>
      </c>
      <c r="B14" s="83" t="s">
        <v>209</v>
      </c>
      <c r="C14" s="84" t="n">
        <v>90000</v>
      </c>
      <c r="D14" s="85" t="s">
        <v>203</v>
      </c>
      <c r="E14" s="83" t="s">
        <v>184</v>
      </c>
      <c r="F14" s="83" t="s">
        <v>189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81"/>
      <c r="T14" s="81"/>
      <c r="U14" s="81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</row>
    <row r="15" customFormat="false" ht="18" hidden="false" customHeight="true" outlineLevel="0" collapsed="false">
      <c r="A15" s="90" t="s">
        <v>210</v>
      </c>
      <c r="B15" s="91"/>
      <c r="C15" s="92"/>
      <c r="D15" s="93"/>
      <c r="E15" s="91"/>
      <c r="F15" s="91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94"/>
      <c r="T15" s="94"/>
      <c r="U15" s="94"/>
      <c r="V15" s="94"/>
      <c r="W15" s="94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</row>
    <row r="16" customFormat="false" ht="18" hidden="false" customHeight="true" outlineLevel="0" collapsed="false">
      <c r="A16" s="82" t="s">
        <v>211</v>
      </c>
      <c r="B16" s="83" t="s">
        <v>212</v>
      </c>
      <c r="C16" s="84" t="n">
        <v>55000</v>
      </c>
      <c r="D16" s="85" t="s">
        <v>213</v>
      </c>
      <c r="E16" s="83" t="s">
        <v>184</v>
      </c>
      <c r="F16" s="83" t="s">
        <v>189</v>
      </c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81"/>
      <c r="V16" s="81"/>
      <c r="W16" s="81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</row>
    <row r="17" customFormat="false" ht="18" hidden="false" customHeight="true" outlineLevel="0" collapsed="false">
      <c r="A17" s="77" t="s">
        <v>214</v>
      </c>
      <c r="B17" s="78" t="s">
        <v>215</v>
      </c>
      <c r="C17" s="79" t="n">
        <v>35000</v>
      </c>
      <c r="D17" s="80" t="s">
        <v>216</v>
      </c>
      <c r="E17" s="78" t="s">
        <v>184</v>
      </c>
      <c r="F17" s="78" t="s">
        <v>204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81"/>
      <c r="W17" s="81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</row>
    <row r="18" customFormat="false" ht="18" hidden="false" customHeight="true" outlineLevel="0" collapsed="false">
      <c r="A18" s="95" t="s">
        <v>217</v>
      </c>
      <c r="B18" s="96"/>
      <c r="C18" s="97"/>
      <c r="D18" s="98"/>
      <c r="E18" s="96"/>
      <c r="F18" s="9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99"/>
      <c r="X18" s="99"/>
      <c r="Y18" s="99"/>
      <c r="Z18" s="99"/>
      <c r="AA18" s="99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</row>
    <row r="19" customFormat="false" ht="18" hidden="false" customHeight="true" outlineLevel="0" collapsed="false">
      <c r="A19" s="77" t="s">
        <v>218</v>
      </c>
      <c r="B19" s="78" t="s">
        <v>219</v>
      </c>
      <c r="C19" s="79" t="n">
        <v>80000</v>
      </c>
      <c r="D19" s="80" t="s">
        <v>220</v>
      </c>
      <c r="E19" s="78" t="s">
        <v>184</v>
      </c>
      <c r="F19" s="78" t="s">
        <v>204</v>
      </c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81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</row>
    <row r="20" customFormat="false" ht="18" hidden="false" customHeight="true" outlineLevel="0" collapsed="false">
      <c r="A20" s="82" t="s">
        <v>221</v>
      </c>
      <c r="B20" s="83" t="s">
        <v>222</v>
      </c>
      <c r="C20" s="84" t="n">
        <v>60000</v>
      </c>
      <c r="D20" s="85" t="s">
        <v>223</v>
      </c>
      <c r="E20" s="83" t="s">
        <v>184</v>
      </c>
      <c r="F20" s="83" t="s">
        <v>189</v>
      </c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81"/>
      <c r="AB20" s="81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</row>
    <row r="21" customFormat="false" ht="18" hidden="false" customHeight="true" outlineLevel="0" collapsed="false">
      <c r="A21" s="90" t="s">
        <v>224</v>
      </c>
      <c r="B21" s="91"/>
      <c r="C21" s="92"/>
      <c r="D21" s="93"/>
      <c r="E21" s="91"/>
      <c r="F21" s="91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</row>
    <row r="22" customFormat="false" ht="18" hidden="false" customHeight="true" outlineLevel="0" collapsed="false">
      <c r="A22" s="82" t="s">
        <v>225</v>
      </c>
      <c r="B22" s="83" t="s">
        <v>226</v>
      </c>
      <c r="C22" s="84" t="n">
        <v>85000</v>
      </c>
      <c r="D22" s="85" t="s">
        <v>203</v>
      </c>
      <c r="E22" s="83" t="s">
        <v>184</v>
      </c>
      <c r="F22" s="83" t="s">
        <v>185</v>
      </c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81"/>
      <c r="AG22" s="81"/>
      <c r="AH22" s="76"/>
      <c r="AI22" s="76"/>
      <c r="AJ22" s="76"/>
      <c r="AK22" s="76"/>
      <c r="AL22" s="76"/>
      <c r="AM22" s="76"/>
      <c r="AN22" s="76"/>
      <c r="AO22" s="76"/>
      <c r="AP22" s="76"/>
      <c r="AQ22" s="76"/>
    </row>
    <row r="23" customFormat="false" ht="18" hidden="false" customHeight="true" outlineLevel="0" collapsed="false">
      <c r="A23" s="77" t="s">
        <v>227</v>
      </c>
      <c r="B23" s="78" t="s">
        <v>226</v>
      </c>
      <c r="C23" s="79" t="n">
        <v>30000</v>
      </c>
      <c r="D23" s="80" t="s">
        <v>216</v>
      </c>
      <c r="E23" s="78" t="s">
        <v>184</v>
      </c>
      <c r="F23" s="78" t="s">
        <v>189</v>
      </c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81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</row>
    <row r="24" customFormat="false" ht="18" hidden="false" customHeight="true" outlineLevel="0" collapsed="false">
      <c r="A24" s="82" t="s">
        <v>228</v>
      </c>
      <c r="B24" s="83" t="s">
        <v>229</v>
      </c>
      <c r="C24" s="84" t="n">
        <v>95000</v>
      </c>
      <c r="D24" s="85" t="s">
        <v>203</v>
      </c>
      <c r="E24" s="83" t="s">
        <v>184</v>
      </c>
      <c r="F24" s="83" t="s">
        <v>185</v>
      </c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81"/>
      <c r="AM24" s="81"/>
      <c r="AN24" s="76"/>
      <c r="AO24" s="76"/>
      <c r="AP24" s="76"/>
      <c r="AQ24" s="76"/>
    </row>
    <row r="25" customFormat="false" ht="18" hidden="false" customHeight="true" outlineLevel="0" collapsed="false">
      <c r="A25" s="77" t="s">
        <v>230</v>
      </c>
      <c r="B25" s="78" t="s">
        <v>231</v>
      </c>
      <c r="C25" s="79" t="n">
        <v>20000</v>
      </c>
      <c r="D25" s="80" t="s">
        <v>232</v>
      </c>
      <c r="E25" s="78" t="s">
        <v>184</v>
      </c>
      <c r="F25" s="78" t="s">
        <v>185</v>
      </c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81"/>
    </row>
  </sheetData>
  <mergeCells count="4">
    <mergeCell ref="A1:AD1"/>
    <mergeCell ref="H2:O2"/>
    <mergeCell ref="P2:W2"/>
    <mergeCell ref="X2:A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6" min="4" style="0" width="12"/>
    <col collapsed="false" customWidth="true" hidden="false" outlineLevel="0" max="8" min="7" style="0" width="22"/>
    <col collapsed="false" customWidth="true" hidden="false" outlineLevel="0" max="10" min="9" style="0" width="14"/>
  </cols>
  <sheetData>
    <row r="1" customFormat="false" ht="30" hidden="false" customHeight="true" outlineLevel="0" collapsed="false">
      <c r="A1" s="58" t="s">
        <v>233</v>
      </c>
      <c r="B1" s="58"/>
      <c r="C1" s="58"/>
      <c r="D1" s="58"/>
      <c r="E1" s="58"/>
      <c r="F1" s="58"/>
      <c r="G1" s="58"/>
      <c r="H1" s="58"/>
      <c r="I1" s="58"/>
      <c r="J1" s="58"/>
    </row>
    <row r="2" customFormat="false" ht="36" hidden="false" customHeight="true" outlineLevel="0" collapsed="false">
      <c r="A2" s="33" t="s">
        <v>234</v>
      </c>
      <c r="B2" s="33" t="s">
        <v>235</v>
      </c>
      <c r="C2" s="33" t="s">
        <v>13</v>
      </c>
      <c r="D2" s="33" t="s">
        <v>236</v>
      </c>
      <c r="E2" s="33" t="s">
        <v>237</v>
      </c>
      <c r="F2" s="33" t="s">
        <v>238</v>
      </c>
      <c r="G2" s="33" t="s">
        <v>239</v>
      </c>
      <c r="H2" s="33" t="s">
        <v>240</v>
      </c>
      <c r="I2" s="33" t="s">
        <v>141</v>
      </c>
      <c r="J2" s="33" t="s">
        <v>241</v>
      </c>
    </row>
    <row r="3" customFormat="false" ht="39.75" hidden="false" customHeight="true" outlineLevel="0" collapsed="false">
      <c r="A3" s="100" t="s">
        <v>242</v>
      </c>
      <c r="B3" s="101" t="s">
        <v>243</v>
      </c>
      <c r="C3" s="101" t="s">
        <v>244</v>
      </c>
      <c r="D3" s="102" t="n">
        <v>3</v>
      </c>
      <c r="E3" s="102" t="n">
        <v>4</v>
      </c>
      <c r="F3" s="103" t="n">
        <f aca="false">D3*E3</f>
        <v>12</v>
      </c>
      <c r="G3" s="101" t="s">
        <v>245</v>
      </c>
      <c r="H3" s="101" t="s">
        <v>246</v>
      </c>
      <c r="I3" s="101" t="s">
        <v>232</v>
      </c>
      <c r="J3" s="104" t="n">
        <v>85000</v>
      </c>
    </row>
    <row r="4" customFormat="false" ht="39.75" hidden="false" customHeight="true" outlineLevel="0" collapsed="false">
      <c r="A4" s="105" t="s">
        <v>247</v>
      </c>
      <c r="B4" s="106" t="s">
        <v>248</v>
      </c>
      <c r="C4" s="106" t="s">
        <v>249</v>
      </c>
      <c r="D4" s="107" t="n">
        <v>2</v>
      </c>
      <c r="E4" s="107" t="n">
        <v>5</v>
      </c>
      <c r="F4" s="103" t="n">
        <f aca="false">D4*E4</f>
        <v>10</v>
      </c>
      <c r="G4" s="106" t="s">
        <v>250</v>
      </c>
      <c r="H4" s="106" t="s">
        <v>251</v>
      </c>
      <c r="I4" s="106" t="s">
        <v>203</v>
      </c>
      <c r="J4" s="108" t="n">
        <v>120000</v>
      </c>
    </row>
    <row r="5" customFormat="false" ht="39.75" hidden="false" customHeight="true" outlineLevel="0" collapsed="false">
      <c r="A5" s="100" t="s">
        <v>252</v>
      </c>
      <c r="B5" s="101" t="s">
        <v>253</v>
      </c>
      <c r="C5" s="101" t="s">
        <v>254</v>
      </c>
      <c r="D5" s="102" t="n">
        <v>4</v>
      </c>
      <c r="E5" s="102" t="n">
        <v>3</v>
      </c>
      <c r="F5" s="103" t="n">
        <f aca="false">D5*E5</f>
        <v>12</v>
      </c>
      <c r="G5" s="101" t="s">
        <v>255</v>
      </c>
      <c r="H5" s="101" t="s">
        <v>256</v>
      </c>
      <c r="I5" s="101" t="s">
        <v>257</v>
      </c>
      <c r="J5" s="104" t="n">
        <v>60000</v>
      </c>
    </row>
    <row r="6" customFormat="false" ht="39.75" hidden="false" customHeight="true" outlineLevel="0" collapsed="false">
      <c r="A6" s="105" t="s">
        <v>258</v>
      </c>
      <c r="B6" s="106" t="s">
        <v>259</v>
      </c>
      <c r="C6" s="106" t="s">
        <v>260</v>
      </c>
      <c r="D6" s="107" t="n">
        <v>3</v>
      </c>
      <c r="E6" s="107" t="n">
        <v>4</v>
      </c>
      <c r="F6" s="103" t="n">
        <f aca="false">D6*E6</f>
        <v>12</v>
      </c>
      <c r="G6" s="106" t="s">
        <v>261</v>
      </c>
      <c r="H6" s="106" t="s">
        <v>262</v>
      </c>
      <c r="I6" s="106" t="s">
        <v>263</v>
      </c>
      <c r="J6" s="108" t="n">
        <v>50000</v>
      </c>
    </row>
    <row r="7" customFormat="false" ht="39.75" hidden="false" customHeight="true" outlineLevel="0" collapsed="false">
      <c r="A7" s="100" t="s">
        <v>264</v>
      </c>
      <c r="B7" s="101" t="s">
        <v>265</v>
      </c>
      <c r="C7" s="101" t="s">
        <v>266</v>
      </c>
      <c r="D7" s="102" t="n">
        <v>3</v>
      </c>
      <c r="E7" s="102" t="n">
        <v>4</v>
      </c>
      <c r="F7" s="103" t="n">
        <f aca="false">D7*E7</f>
        <v>12</v>
      </c>
      <c r="G7" s="101" t="s">
        <v>267</v>
      </c>
      <c r="H7" s="101" t="s">
        <v>268</v>
      </c>
      <c r="I7" s="101" t="s">
        <v>223</v>
      </c>
      <c r="J7" s="104" t="n">
        <v>70000</v>
      </c>
    </row>
    <row r="8" customFormat="false" ht="39.75" hidden="false" customHeight="true" outlineLevel="0" collapsed="false">
      <c r="A8" s="105" t="s">
        <v>269</v>
      </c>
      <c r="B8" s="106" t="s">
        <v>270</v>
      </c>
      <c r="C8" s="106" t="s">
        <v>271</v>
      </c>
      <c r="D8" s="107" t="n">
        <v>2</v>
      </c>
      <c r="E8" s="107" t="n">
        <v>5</v>
      </c>
      <c r="F8" s="103" t="n">
        <f aca="false">D8*E8</f>
        <v>10</v>
      </c>
      <c r="G8" s="106" t="s">
        <v>272</v>
      </c>
      <c r="H8" s="106" t="s">
        <v>273</v>
      </c>
      <c r="I8" s="106" t="s">
        <v>216</v>
      </c>
      <c r="J8" s="108" t="n">
        <v>200000</v>
      </c>
    </row>
    <row r="9" customFormat="false" ht="39.75" hidden="false" customHeight="true" outlineLevel="0" collapsed="false">
      <c r="A9" s="100" t="s">
        <v>274</v>
      </c>
      <c r="B9" s="101" t="s">
        <v>275</v>
      </c>
      <c r="C9" s="101" t="s">
        <v>276</v>
      </c>
      <c r="D9" s="102" t="n">
        <v>2</v>
      </c>
      <c r="E9" s="102" t="n">
        <v>4</v>
      </c>
      <c r="F9" s="103" t="n">
        <f aca="false">D9*E9</f>
        <v>8</v>
      </c>
      <c r="G9" s="101" t="s">
        <v>277</v>
      </c>
      <c r="H9" s="101" t="s">
        <v>278</v>
      </c>
      <c r="I9" s="101" t="s">
        <v>279</v>
      </c>
      <c r="J9" s="104" t="n">
        <v>40000</v>
      </c>
    </row>
    <row r="10" customFormat="false" ht="39.75" hidden="false" customHeight="true" outlineLevel="0" collapsed="false">
      <c r="A10" s="105" t="s">
        <v>280</v>
      </c>
      <c r="B10" s="106" t="s">
        <v>281</v>
      </c>
      <c r="C10" s="106" t="s">
        <v>282</v>
      </c>
      <c r="D10" s="107" t="n">
        <v>2</v>
      </c>
      <c r="E10" s="107" t="n">
        <v>4</v>
      </c>
      <c r="F10" s="103" t="n">
        <f aca="false">D10*E10</f>
        <v>8</v>
      </c>
      <c r="G10" s="106" t="s">
        <v>283</v>
      </c>
      <c r="H10" s="106" t="s">
        <v>284</v>
      </c>
      <c r="I10" s="106" t="s">
        <v>285</v>
      </c>
      <c r="J10" s="108" t="n">
        <v>55000</v>
      </c>
    </row>
    <row r="11" customFormat="false" ht="39.75" hidden="false" customHeight="true" outlineLevel="0" collapsed="false">
      <c r="A11" s="100" t="s">
        <v>286</v>
      </c>
      <c r="B11" s="101" t="s">
        <v>287</v>
      </c>
      <c r="C11" s="101" t="s">
        <v>254</v>
      </c>
      <c r="D11" s="102" t="n">
        <v>2</v>
      </c>
      <c r="E11" s="102" t="n">
        <v>5</v>
      </c>
      <c r="F11" s="103" t="n">
        <f aca="false">D11*E11</f>
        <v>10</v>
      </c>
      <c r="G11" s="101" t="s">
        <v>288</v>
      </c>
      <c r="H11" s="101" t="s">
        <v>289</v>
      </c>
      <c r="I11" s="101" t="s">
        <v>290</v>
      </c>
      <c r="J11" s="104" t="n">
        <v>150000</v>
      </c>
    </row>
    <row r="12" customFormat="false" ht="39.75" hidden="false" customHeight="true" outlineLevel="0" collapsed="false">
      <c r="A12" s="105" t="s">
        <v>291</v>
      </c>
      <c r="B12" s="106" t="s">
        <v>292</v>
      </c>
      <c r="C12" s="106" t="s">
        <v>260</v>
      </c>
      <c r="D12" s="107" t="n">
        <v>3</v>
      </c>
      <c r="E12" s="107" t="n">
        <v>3</v>
      </c>
      <c r="F12" s="103" t="n">
        <f aca="false">D12*E12</f>
        <v>9</v>
      </c>
      <c r="G12" s="106" t="s">
        <v>293</v>
      </c>
      <c r="H12" s="106" t="s">
        <v>294</v>
      </c>
      <c r="I12" s="106" t="s">
        <v>295</v>
      </c>
      <c r="J12" s="108" t="n">
        <v>45000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22"/>
    <col collapsed="false" customWidth="true" hidden="false" outlineLevel="0" max="4" min="4" style="0" width="30"/>
  </cols>
  <sheetData>
    <row r="1" customFormat="false" ht="30" hidden="false" customHeight="true" outlineLevel="0" collapsed="false">
      <c r="A1" s="58" t="s">
        <v>296</v>
      </c>
      <c r="B1" s="58"/>
      <c r="C1" s="58"/>
      <c r="D1" s="58"/>
    </row>
    <row r="3" customFormat="false" ht="21.75" hidden="false" customHeight="true" outlineLevel="0" collapsed="false">
      <c r="A3" s="109" t="s">
        <v>297</v>
      </c>
      <c r="B3" s="109"/>
      <c r="C3" s="109"/>
      <c r="D3" s="109"/>
    </row>
    <row r="4" customFormat="false" ht="18" hidden="false" customHeight="true" outlineLevel="0" collapsed="false">
      <c r="A4" s="110" t="s">
        <v>298</v>
      </c>
      <c r="B4" s="111" t="n">
        <v>15.5</v>
      </c>
      <c r="C4" s="112" t="s">
        <v>299</v>
      </c>
      <c r="D4" s="113" t="s">
        <v>300</v>
      </c>
    </row>
    <row r="5" customFormat="false" ht="18" hidden="false" customHeight="true" outlineLevel="0" collapsed="false">
      <c r="A5" s="114" t="s">
        <v>301</v>
      </c>
      <c r="B5" s="111" t="n">
        <v>16.8</v>
      </c>
      <c r="C5" s="115" t="s">
        <v>299</v>
      </c>
      <c r="D5" s="116" t="s">
        <v>300</v>
      </c>
    </row>
    <row r="6" customFormat="false" ht="18" hidden="false" customHeight="true" outlineLevel="0" collapsed="false">
      <c r="A6" s="110" t="s">
        <v>302</v>
      </c>
      <c r="B6" s="111" t="n">
        <v>19.6</v>
      </c>
      <c r="C6" s="112" t="s">
        <v>299</v>
      </c>
      <c r="D6" s="113" t="s">
        <v>300</v>
      </c>
    </row>
    <row r="7" customFormat="false" ht="18" hidden="false" customHeight="true" outlineLevel="0" collapsed="false">
      <c r="A7" s="114" t="s">
        <v>303</v>
      </c>
      <c r="B7" s="117" t="n">
        <v>0.08</v>
      </c>
      <c r="C7" s="115" t="s">
        <v>299</v>
      </c>
      <c r="D7" s="116" t="s">
        <v>304</v>
      </c>
    </row>
    <row r="9" customFormat="false" ht="21.75" hidden="false" customHeight="true" outlineLevel="0" collapsed="false">
      <c r="A9" s="109" t="s">
        <v>305</v>
      </c>
      <c r="B9" s="109"/>
      <c r="C9" s="109"/>
      <c r="D9" s="109"/>
    </row>
    <row r="10" customFormat="false" ht="18" hidden="false" customHeight="true" outlineLevel="0" collapsed="false">
      <c r="A10" s="110" t="s">
        <v>306</v>
      </c>
      <c r="B10" s="117" t="n">
        <v>0.23</v>
      </c>
      <c r="C10" s="112" t="s">
        <v>299</v>
      </c>
      <c r="D10" s="113" t="s">
        <v>307</v>
      </c>
    </row>
    <row r="11" customFormat="false" ht="18" hidden="false" customHeight="true" outlineLevel="0" collapsed="false">
      <c r="A11" s="114" t="s">
        <v>308</v>
      </c>
      <c r="B11" s="117" t="n">
        <v>0.15</v>
      </c>
      <c r="C11" s="115" t="s">
        <v>299</v>
      </c>
      <c r="D11" s="116" t="s">
        <v>309</v>
      </c>
    </row>
    <row r="12" customFormat="false" ht="18" hidden="false" customHeight="true" outlineLevel="0" collapsed="false">
      <c r="A12" s="110" t="s">
        <v>310</v>
      </c>
      <c r="B12" s="117" t="n">
        <v>0.05</v>
      </c>
      <c r="C12" s="112" t="s">
        <v>299</v>
      </c>
      <c r="D12" s="113" t="s">
        <v>311</v>
      </c>
    </row>
    <row r="13" customFormat="false" ht="18" hidden="false" customHeight="true" outlineLevel="0" collapsed="false">
      <c r="A13" s="114" t="s">
        <v>312</v>
      </c>
      <c r="B13" s="117" t="n">
        <v>0.15</v>
      </c>
      <c r="C13" s="115" t="s">
        <v>299</v>
      </c>
      <c r="D13" s="116" t="s">
        <v>313</v>
      </c>
    </row>
    <row r="15" customFormat="false" ht="21.75" hidden="false" customHeight="true" outlineLevel="0" collapsed="false">
      <c r="A15" s="109" t="s">
        <v>314</v>
      </c>
      <c r="B15" s="109"/>
      <c r="C15" s="109"/>
      <c r="D15" s="109"/>
    </row>
    <row r="16" customFormat="false" ht="18" hidden="false" customHeight="true" outlineLevel="0" collapsed="false">
      <c r="A16" s="110" t="s">
        <v>315</v>
      </c>
      <c r="B16" s="118" t="n">
        <v>36</v>
      </c>
      <c r="C16" s="112" t="s">
        <v>299</v>
      </c>
      <c r="D16" s="113" t="s">
        <v>316</v>
      </c>
    </row>
    <row r="17" customFormat="false" ht="18" hidden="false" customHeight="true" outlineLevel="0" collapsed="false">
      <c r="A17" s="114" t="s">
        <v>317</v>
      </c>
      <c r="B17" s="118" t="n">
        <v>45</v>
      </c>
      <c r="C17" s="115" t="s">
        <v>299</v>
      </c>
      <c r="D17" s="116" t="s">
        <v>318</v>
      </c>
    </row>
    <row r="18" customFormat="false" ht="18" hidden="false" customHeight="true" outlineLevel="0" collapsed="false">
      <c r="A18" s="110" t="s">
        <v>319</v>
      </c>
      <c r="B18" s="118" t="n">
        <v>120</v>
      </c>
      <c r="C18" s="112" t="s">
        <v>299</v>
      </c>
      <c r="D18" s="113" t="s">
        <v>320</v>
      </c>
    </row>
    <row r="19" customFormat="false" ht="18" hidden="false" customHeight="true" outlineLevel="0" collapsed="false">
      <c r="A19" s="114" t="s">
        <v>321</v>
      </c>
      <c r="B19" s="118" t="n">
        <v>40</v>
      </c>
      <c r="C19" s="115" t="s">
        <v>299</v>
      </c>
      <c r="D19" s="116" t="s">
        <v>322</v>
      </c>
    </row>
    <row r="20" customFormat="false" ht="18" hidden="false" customHeight="true" outlineLevel="0" collapsed="false">
      <c r="A20" s="110" t="s">
        <v>323</v>
      </c>
      <c r="B20" s="118" t="n">
        <v>2</v>
      </c>
      <c r="C20" s="112" t="s">
        <v>299</v>
      </c>
      <c r="D20" s="113" t="s">
        <v>324</v>
      </c>
    </row>
    <row r="21" customFormat="false" ht="18" hidden="false" customHeight="true" outlineLevel="0" collapsed="false">
      <c r="A21" s="114" t="s">
        <v>325</v>
      </c>
      <c r="B21" s="118" t="n">
        <v>3</v>
      </c>
      <c r="C21" s="115" t="s">
        <v>299</v>
      </c>
      <c r="D21" s="116" t="s">
        <v>326</v>
      </c>
    </row>
    <row r="23" customFormat="false" ht="21.75" hidden="false" customHeight="true" outlineLevel="0" collapsed="false">
      <c r="A23" s="109" t="s">
        <v>327</v>
      </c>
      <c r="B23" s="109"/>
      <c r="C23" s="109"/>
      <c r="D23" s="109"/>
    </row>
    <row r="24" customFormat="false" ht="18" hidden="false" customHeight="true" outlineLevel="0" collapsed="false">
      <c r="A24" s="110" t="s">
        <v>328</v>
      </c>
      <c r="B24" s="118" t="s">
        <v>329</v>
      </c>
      <c r="C24" s="112" t="s">
        <v>299</v>
      </c>
      <c r="D24" s="113" t="s">
        <v>330</v>
      </c>
    </row>
    <row r="25" customFormat="false" ht="18" hidden="false" customHeight="true" outlineLevel="0" collapsed="false">
      <c r="A25" s="114" t="s">
        <v>331</v>
      </c>
      <c r="B25" s="118" t="s">
        <v>332</v>
      </c>
      <c r="C25" s="115" t="s">
        <v>299</v>
      </c>
      <c r="D25" s="116" t="s">
        <v>333</v>
      </c>
    </row>
    <row r="26" customFormat="false" ht="18" hidden="false" customHeight="true" outlineLevel="0" collapsed="false">
      <c r="A26" s="110" t="s">
        <v>334</v>
      </c>
      <c r="B26" s="118" t="s">
        <v>335</v>
      </c>
      <c r="C26" s="112" t="s">
        <v>299</v>
      </c>
      <c r="D26" s="113" t="s">
        <v>336</v>
      </c>
    </row>
    <row r="27" customFormat="false" ht="18" hidden="false" customHeight="true" outlineLevel="0" collapsed="false">
      <c r="A27" s="114" t="s">
        <v>337</v>
      </c>
      <c r="B27" s="118" t="s">
        <v>338</v>
      </c>
      <c r="C27" s="115" t="s">
        <v>299</v>
      </c>
      <c r="D27" s="116" t="s">
        <v>339</v>
      </c>
    </row>
    <row r="28" customFormat="false" ht="18" hidden="false" customHeight="true" outlineLevel="0" collapsed="false">
      <c r="A28" s="110" t="s">
        <v>340</v>
      </c>
      <c r="B28" s="118" t="s">
        <v>341</v>
      </c>
      <c r="C28" s="112" t="s">
        <v>299</v>
      </c>
      <c r="D28" s="113" t="s">
        <v>342</v>
      </c>
    </row>
    <row r="29" customFormat="false" ht="18" hidden="false" customHeight="true" outlineLevel="0" collapsed="false">
      <c r="A29" s="114" t="s">
        <v>343</v>
      </c>
      <c r="B29" s="118" t="s">
        <v>344</v>
      </c>
      <c r="C29" s="115" t="s">
        <v>299</v>
      </c>
      <c r="D29" s="116" t="s">
        <v>345</v>
      </c>
    </row>
    <row r="30" customFormat="false" ht="18" hidden="false" customHeight="true" outlineLevel="0" collapsed="false">
      <c r="A30" s="110" t="s">
        <v>346</v>
      </c>
      <c r="B30" s="118" t="s">
        <v>347</v>
      </c>
      <c r="C30" s="112" t="s">
        <v>299</v>
      </c>
      <c r="D30" s="113" t="s">
        <v>348</v>
      </c>
    </row>
    <row r="31" customFormat="false" ht="18" hidden="false" customHeight="true" outlineLevel="0" collapsed="false">
      <c r="A31" s="114" t="s">
        <v>349</v>
      </c>
      <c r="B31" s="118" t="s">
        <v>350</v>
      </c>
      <c r="C31" s="115" t="s">
        <v>299</v>
      </c>
      <c r="D31" s="116" t="s">
        <v>351</v>
      </c>
    </row>
  </sheetData>
  <mergeCells count="5">
    <mergeCell ref="A1:D1"/>
    <mergeCell ref="A3:D3"/>
    <mergeCell ref="A9:D9"/>
    <mergeCell ref="A15:D15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2026-05-25T23:20:41Z</dcterms:created>
  <dc:creator>openpyxl</dc:creator>
  <dc:description/>
  <dc:language>en-US</dc:language>
  <cp:lastModifiedBy/>
  <dcterms:modified xsi:type="dcterms:W3CDTF">2026-05-25T23:20:41Z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
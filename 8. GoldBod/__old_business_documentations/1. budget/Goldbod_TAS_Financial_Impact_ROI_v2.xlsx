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Dashboard" sheetId="1" state="visible" r:id="rId3"/>
    <sheet name="1. Pre-TAS Losses" sheetId="2" state="visible" r:id="rId4"/>
    <sheet name="2. Post-TAS Benefits" sheetId="3" state="visible" r:id="rId5"/>
    <sheet name="3. ROI &amp; Payback" sheetId="4" state="visible" r:id="rId6"/>
    <sheet name="4. Assumptions" sheetId="5" state="visible" r:id="rId7"/>
    <sheet name="5. Scenario Analysis" sheetId="6" state="visible" r:id="rId8"/>
    <sheet name="6. Sector Macro Context" sheetId="7" state="visible" r:id="rId9"/>
    <sheet name="7. ASM Sector Deep-Dive" sheetId="8" state="visible" r:id="rId10"/>
    <sheet name="8. Monthly Cash Flow &amp; NPV" sheetId="9" state="visible" r:id="rId11"/>
    <sheet name="9. GHS Cedi Impact" sheetId="10" state="visible" r:id="rId12"/>
    <sheet name="10. Sensitivity Analysis" sheetId="11" state="visible" r:id="rId13"/>
    <sheet name="11. Financial Risk Register" sheetId="12" state="visible" r:id="rId14"/>
    <sheet name="12. Social &amp; Economic Impact" sheetId="13" state="visible" r:id="rId15"/>
    <sheet name="13. Comparator Benchmark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<sst xmlns="http://schemas.openxmlformats.org/spreadsheetml/2006/main" count="928" uniqueCount="823">
  <si>
    <t xml:space="preserve">GHANA GOLD BOARD (GOLDBOD)</t>
  </si>
  <si>
    <t xml:space="preserve">TRACEABILITY &amp; ASSURANCE SYSTEM (TAS)</t>
  </si>
  <si>
    <t xml:space="preserve">Financial Impact Analysis: Pre-TAS vs Post-TAS</t>
  </si>
  <si>
    <t xml:space="preserve">Source: Comprehensive Analysis — Financial Impact and ROI of Gold Traceability in Ghana  |  April 2026</t>
  </si>
  <si>
    <t xml:space="preserve">Annual Leakage (Pre-TAS)</t>
  </si>
  <si>
    <t xml:space="preserve">TAS Investment Cost</t>
  </si>
  <si>
    <t xml:space="preserve">Year-1 Revenue Recovery</t>
  </si>
  <si>
    <t xml:space="preserve">5-Year ROI</t>
  </si>
  <si>
    <t xml:space="preserve">Payback Period</t>
  </si>
  <si>
    <t xml:space="preserve">$6.0B+</t>
  </si>
  <si>
    <t xml:space="preserve">$11.3M</t>
  </si>
  <si>
    <t xml:space="preserve">$600M+</t>
  </si>
  <si>
    <t xml:space="preserve">&gt;500%</t>
  </si>
  <si>
    <t xml:space="preserve">&lt;1 Year</t>
  </si>
  <si>
    <t xml:space="preserve">Gold smuggling &amp; IFFs</t>
  </si>
  <si>
    <t xml:space="preserve">Full 18-month implementation</t>
  </si>
  <si>
    <t xml:space="preserve">Conservative 10% recovery rate</t>
  </si>
  <si>
    <t xml:space="preserve">Royalties + refining + premiums</t>
  </si>
  <si>
    <t xml:space="preserve">Vs. $11.3M implementation cost</t>
  </si>
  <si>
    <t xml:space="preserve">Financial Metric</t>
  </si>
  <si>
    <t xml:space="preserve">Pre-TAS (Annual, USD)</t>
  </si>
  <si>
    <t xml:space="preserve">Post-TAS Year 1 (USD)</t>
  </si>
  <si>
    <t xml:space="preserve">Post-TAS Year 5 (USD)</t>
  </si>
  <si>
    <t xml:space="preserve">Change (Yr1 vs Pre)</t>
  </si>
  <si>
    <t xml:space="preserve">Gold Formally Declared (est. USD bn)</t>
  </si>
  <si>
    <t xml:space="preserve">Gold Smuggled / Lost (est. USD bn)</t>
  </si>
  <si>
    <t xml:space="preserve">Royalties Collected (USD m)</t>
  </si>
  <si>
    <t xml:space="preserve">Local Refining Value-Add (USD m)</t>
  </si>
  <si>
    <t xml:space="preserve">Sustainability Premium Captured (USD m)</t>
  </si>
  <si>
    <t xml:space="preserve">IFF-Related Losses (USD m)</t>
  </si>
  <si>
    <t xml:space="preserve">Corporate Tax from ASM Formalization (USD m)</t>
  </si>
  <si>
    <t xml:space="preserve">TAS Implementation Cost (USD m)</t>
  </si>
  <si>
    <t xml:space="preserve">Net Annual Benefit (USD m)</t>
  </si>
  <si>
    <t xml:space="preserve">WORKBOOK INDEX</t>
  </si>
  <si>
    <t xml:space="preserve">0. Dashboard</t>
  </si>
  <si>
    <t xml:space="preserve">This sheet — KPI summary and financial overview</t>
  </si>
  <si>
    <t xml:space="preserve">1. Pre-TAS Losses</t>
  </si>
  <si>
    <t xml:space="preserve">Detailed breakdown of annual revenue leakages and losses before TAS</t>
  </si>
  <si>
    <t xml:space="preserve">2. Post-TAS Benefits</t>
  </si>
  <si>
    <t xml:space="preserve">Quantified financial benefits by category post-implementation</t>
  </si>
  <si>
    <t xml:space="preserve">3. ROI &amp; Payback</t>
  </si>
  <si>
    <t xml:space="preserve">5-year ROI model, NPV, payback period analysis</t>
  </si>
  <si>
    <t xml:space="preserve">4. Assumptions</t>
  </si>
  <si>
    <t xml:space="preserve">All model assumptions — adjustable inputs</t>
  </si>
  <si>
    <t xml:space="preserve">5. Scenario Analysis</t>
  </si>
  <si>
    <t xml:space="preserve">Conservative / Base / Optimistic scenarios for recovery rates</t>
  </si>
  <si>
    <t xml:space="preserve">6. Sector Macro Context</t>
  </si>
  <si>
    <t xml:space="preserve">Ghana gold production, exports, royalty collection and BoG data (2021–2024)</t>
  </si>
  <si>
    <t xml:space="preserve">7. ASM Sector Deep-Dive</t>
  </si>
  <si>
    <t xml:space="preserve">ASM formalization gap, income impact, poverty reduction and TAS economic uplift</t>
  </si>
  <si>
    <t xml:space="preserve">8. Monthly Cash Flow &amp; NPV</t>
  </si>
  <si>
    <t xml:space="preserve">42-month monthly cash flow model, discounted NPV and payback analysis</t>
  </si>
  <si>
    <t xml:space="preserve">9. GHS Cedi Impact</t>
  </si>
  <si>
    <t xml:space="preserve">All financials in Ghana Cedis — domestic budget, Cedi stability and multiplier effects</t>
  </si>
  <si>
    <t xml:space="preserve">10. Sensitivity Analysis</t>
  </si>
  <si>
    <t xml:space="preserve">Tornado analysis and two-way sensitivity table (recovery rate × gold price)</t>
  </si>
  <si>
    <t xml:space="preserve">11. Financial Risk Register</t>
  </si>
  <si>
    <t xml:space="preserve">15 financial risks scored by probability × impact with exposure and mitigation</t>
  </si>
  <si>
    <t xml:space="preserve">12. Social &amp; Economic Impact</t>
  </si>
  <si>
    <t xml:space="preserve">Employment, poverty, environment, governance and SROI beyond financials</t>
  </si>
  <si>
    <t xml:space="preserve">13. Comparator Benchmarks</t>
  </si>
  <si>
    <t xml:space="preserve">10 international traceability programmes vs Ghana TAS ROI</t>
  </si>
  <si>
    <t xml:space="preserve">PRE-TAS BASELINE — ANNUAL FINANCIAL LEAKAGES &amp; LOSSES</t>
  </si>
  <si>
    <t xml:space="preserve">All figures represent estimated annual losses to Ghana's gold sector in the absence of a formal traceability system. Sources: Reuters, Citi Business News, African Leadership Magazine, OECD.</t>
  </si>
  <si>
    <t xml:space="preserve">Loss Category / Item</t>
  </si>
  <si>
    <t xml:space="preserve">Annual Est. (USD)</t>
  </si>
  <si>
    <t xml:space="preserve">Low Estimate</t>
  </si>
  <si>
    <t xml:space="preserve">High Estimate</t>
  </si>
  <si>
    <t xml:space="preserve">Notes / Source</t>
  </si>
  <si>
    <t xml:space="preserve">A. DIRECT REVENUE LOSS — GOLD SMUGGLING</t>
  </si>
  <si>
    <t xml:space="preserve">Total gold smuggled (2014–2022 cumulative)</t>
  </si>
  <si>
    <t xml:space="preserve">~30 metric tons; Reuters / ACLED</t>
  </si>
  <si>
    <t xml:space="preserve">Annual average smuggling loss (2014–2022)</t>
  </si>
  <si>
    <t xml:space="preserve">8-year period average</t>
  </si>
  <si>
    <t xml:space="preserve">Gold undeclared in 2022 alone (est. 60 tonnes)</t>
  </si>
  <si>
    <t xml:space="preserve">~equiv. to entire ASM recorded output; Citi News</t>
  </si>
  <si>
    <t xml:space="preserve">UAE import gap (Ghana declared vs UAE received)</t>
  </si>
  <si>
    <t xml:space="preserve">Hand-carried gold bypassing formal channels</t>
  </si>
  <si>
    <t xml:space="preserve">Estimated annual smuggling loss (current baseline)</t>
  </si>
  <si>
    <t xml:space="preserve">Conservative baseline; Reuters 2023</t>
  </si>
  <si>
    <t xml:space="preserve">Sub-Total A: Annual Smuggling Loss (Base Estimate)</t>
  </si>
  <si>
    <t xml:space="preserve">B. ILLICIT FINANCIAL FLOWS (IFFs) — TRADE-RELATED</t>
  </si>
  <si>
    <t xml:space="preserve">Total IFF loss (2000–2015 cumulative)</t>
  </si>
  <si>
    <t xml:space="preserve">Ghana among Africa's top-5 for IFFs; Citi/GFI</t>
  </si>
  <si>
    <t xml:space="preserve">Annual IFF loss (2000–2015 average)</t>
  </si>
  <si>
    <t xml:space="preserve">-</t>
  </si>
  <si>
    <t xml:space="preserve">15-year period</t>
  </si>
  <si>
    <t xml:space="preserve">Annual IFF loss (current estimate, 2024)</t>
  </si>
  <si>
    <t xml:space="preserve">Updated baseline; trade mis-invoicing + smuggling</t>
  </si>
  <si>
    <t xml:space="preserve">Gold's share of IFFs (est. 65%)</t>
  </si>
  <si>
    <t xml:space="preserve">Gold = primary IFF vehicle due to value/weight ratio</t>
  </si>
  <si>
    <t xml:space="preserve">IFFs from money laundering via gold</t>
  </si>
  <si>
    <t xml:space="preserve">AML/CFT risk; FIC Ghana estimates</t>
  </si>
  <si>
    <t xml:space="preserve">Sub-Total B: Annual IFF Loss (Gold-related, Base)</t>
  </si>
  <si>
    <t xml:space="preserve">C. LOST ROYALTIES &amp; TAX REVENUE</t>
  </si>
  <si>
    <t xml:space="preserve">Royalties lost on smuggled gold (5–12% sliding scale)</t>
  </si>
  <si>
    <t xml:space="preserve">Royalty rates: 5%–12%; African Leadership Mag.</t>
  </si>
  <si>
    <t xml:space="preserve">Corporate income tax lost (ASM informality)</t>
  </si>
  <si>
    <t xml:space="preserve">Estimated from unformalized ASM operators</t>
  </si>
  <si>
    <t xml:space="preserve">Withholding tax evasion (pre-2024 reform)</t>
  </si>
  <si>
    <t xml:space="preserve">3% WHT eliminated March 2024; legacy evasion base</t>
  </si>
  <si>
    <t xml:space="preserve">VAT/customs duty on undeclared imports</t>
  </si>
  <si>
    <t xml:space="preserve">Hardware, chemicals, equipment under-declared</t>
  </si>
  <si>
    <t xml:space="preserve">Capital gains / transfer pricing losses (LSM)</t>
  </si>
  <si>
    <t xml:space="preserve">Transfer pricing abuse; GRA estimates</t>
  </si>
  <si>
    <t xml:space="preserve">PAYE &amp; SSNIT on informal ASM workforce</t>
  </si>
  <si>
    <t xml:space="preserve">Est. 1M+ ASM workers outside formal payroll</t>
  </si>
  <si>
    <t xml:space="preserve">Sub-Total C: Annual Lost Royalties &amp; Tax</t>
  </si>
  <si>
    <t xml:space="preserve">D. LOST VALUE-RETENTION OPPORTUNITIES</t>
  </si>
  <si>
    <t xml:space="preserve">Refining value-add lost (raw bullion exported vs. refined)</t>
  </si>
  <si>
    <t xml:space="preserve">0.5%–1% uplift on ~$6bn formal exports; MyJoyOnline</t>
  </si>
  <si>
    <t xml:space="preserve">Sustainability / ethical premium foregone</t>
  </si>
  <si>
    <t xml:space="preserve">15%–30% premium on traceable gold; ScienceDirect</t>
  </si>
  <si>
    <t xml:space="preserve">Market access restrictions (non-LBMA compliant)</t>
  </si>
  <si>
    <t xml:space="preserve">LBMA non-compliance limits buyer pool</t>
  </si>
  <si>
    <t xml:space="preserve">FX reserve opportunity cost (gold held offshore)</t>
  </si>
  <si>
    <t xml:space="preserve">BoG inability to build gold reserves; reduced Cedi stability</t>
  </si>
  <si>
    <t xml:space="preserve">Bank de-risking penalties (higher cost of capital)</t>
  </si>
  <si>
    <t xml:space="preserve">Correspondent banking constraints; OECD estimate</t>
  </si>
  <si>
    <t xml:space="preserve">Sub-Total D: Annual Value Retention Loss</t>
  </si>
  <si>
    <t xml:space="preserve">TOTAL ESTIMATED ANNUAL LOSS (PRE-TAS)</t>
  </si>
  <si>
    <t xml:space="preserve">Smuggling + IFFs + Lost Royalties/Tax + Value Retention foregone</t>
  </si>
  <si>
    <t xml:space="preserve">POST-TAS FINANCIAL BENEFITS — PROJECTED ANNUAL GAINS BY CATEGORY</t>
  </si>
  <si>
    <t xml:space="preserve">Year 1 = Implementation year (partial benefits). Year 3 = Steady-state. Year 5 = Full maturity. Recovery rate assumptions on Sheet 4.</t>
  </si>
  <si>
    <t xml:space="preserve">Benefit Category / Item</t>
  </si>
  <si>
    <t xml:space="preserve">Year 1 (USD)</t>
  </si>
  <si>
    <t xml:space="preserve">Year 2 (USD)</t>
  </si>
  <si>
    <t xml:space="preserve">Year 3 (USD)</t>
  </si>
  <si>
    <t xml:space="preserve">Year 5 (USD)</t>
  </si>
  <si>
    <t xml:space="preserve">Notes / Basis</t>
  </si>
  <si>
    <t xml:space="preserve">A. RECOVERED ROYALTIES (5%–12% Sliding Scale on Declared Gold)</t>
  </si>
  <si>
    <t xml:space="preserve">Royalties from newly formalized ASM gold</t>
  </si>
  <si>
    <t xml:space="preserve">Conservative 10% recovery Y1 → 60% by Y5; 6% avg royalty</t>
  </si>
  <si>
    <t xml:space="preserve">Royalties from reduced smuggling (recaptured volumes)</t>
  </si>
  <si>
    <t xml:space="preserve">Smuggling reduced 10%→40% over 5 years; 5% royalty applied</t>
  </si>
  <si>
    <t xml:space="preserve">Withholding tax compliance (ASM formalization)</t>
  </si>
  <si>
    <t xml:space="preserve">3% WHT on formal gold purchases; BoG mandate</t>
  </si>
  <si>
    <t xml:space="preserve">Royalty rate optimization (OECD sliding scale uptake)</t>
  </si>
  <si>
    <t xml:space="preserve">Full sliding scale 5%–12% applied to declared volumes</t>
  </si>
  <si>
    <t xml:space="preserve">Sub-Total A: Recovered Royalties</t>
  </si>
  <si>
    <t xml:space="preserve">B. LOCAL REFINING VALUE-ADD (Gold Coast Refinery &amp; Domestic Partners)</t>
  </si>
  <si>
    <t xml:space="preserve">Refining fee revenue (0.5%–1% of formal gold value)</t>
  </si>
  <si>
    <t xml:space="preserve">0.5% uplift on $6bn → growing as volumes increase</t>
  </si>
  <si>
    <t xml:space="preserve">Export value premium — refined vs raw bullion</t>
  </si>
  <si>
    <t xml:space="preserve">1% uplift on refined export value vs raw bullion</t>
  </si>
  <si>
    <t xml:space="preserve">Job creation &amp; domestic wages (refining sector)</t>
  </si>
  <si>
    <t xml:space="preserve">500–2,000 new formal refinery jobs; wage multiplier effect</t>
  </si>
  <si>
    <t xml:space="preserve">Reduced intermediary costs (direct BoG purchase)</t>
  </si>
  <si>
    <t xml:space="preserve">Elimination of unlicensed aggregator margins</t>
  </si>
  <si>
    <t xml:space="preserve">Sub-Total B: Local Refining Value-Add</t>
  </si>
  <si>
    <t xml:space="preserve">C. SUSTAINABILITY &amp; ETHICAL GOLD PREMIUM (15%–30% Price Uplift on Traceable Gold)</t>
  </si>
  <si>
    <t xml:space="preserve">Sustainability price premium on traceable volumes</t>
  </si>
  <si>
    <t xml:space="preserve">15%–30% uplift; applies to % of exports with traceability cert</t>
  </si>
  <si>
    <t xml:space="preserve">LBMA Responsible Gold accreditation premium</t>
  </si>
  <si>
    <t xml:space="preserve">LBMA-compliant volumes command higher spreads</t>
  </si>
  <si>
    <t xml:space="preserve">ESG investor-linked offtake premium</t>
  </si>
  <si>
    <t xml:space="preserve">ESG-mandated buyers pay 2%–5% premium; growing market</t>
  </si>
  <si>
    <t xml:space="preserve">Reduced discount on ASM gold (quality certification)</t>
  </si>
  <si>
    <t xml:space="preserve">Current ASM discount of 3%–8% vs LBMA eliminated</t>
  </si>
  <si>
    <t xml:space="preserve">Sub-Total C: Sustainability Premium</t>
  </si>
  <si>
    <t xml:space="preserve">D. CORPORATE TAX &amp; ASM SECTOR FORMALIZATION</t>
  </si>
  <si>
    <t xml:space="preserve">Corporate income tax from formalized ASM operators</t>
  </si>
  <si>
    <t xml:space="preserve">1M+ ASM workers; est. 30%→80% formalization over 5 yrs</t>
  </si>
  <si>
    <t xml:space="preserve">PAYE &amp; SSNIT from newly formal ASM workforce</t>
  </si>
  <si>
    <t xml:space="preserve">Payroll tax on growing formal workforce</t>
  </si>
  <si>
    <t xml:space="preserve">VAT compliance on gold trade goods and services</t>
  </si>
  <si>
    <t xml:space="preserve">15% VAT on supply chain goods/services; prior evasion eliminated</t>
  </si>
  <si>
    <t xml:space="preserve">Transfer pricing compliance (large-scale mining)</t>
  </si>
  <si>
    <t xml:space="preserve">GRA enhanced TP audit enabled by TAS transaction visibility</t>
  </si>
  <si>
    <t xml:space="preserve">Customs duty on formal hardware &amp; equipment imports</t>
  </si>
  <si>
    <t xml:space="preserve">Reduced under-declaration of mining equipment</t>
  </si>
  <si>
    <t xml:space="preserve">Sub-Total D: Tax &amp; Formalization Benefits</t>
  </si>
  <si>
    <t xml:space="preserve">E. OPERATIONAL EFFICIENCY &amp; COST SAVINGS</t>
  </si>
  <si>
    <t xml:space="preserve">Reduction in anti-galamsey enforcement costs</t>
  </si>
  <si>
    <t xml:space="preserve">Blockchain monitoring reduces reactive enforcement spend</t>
  </si>
  <si>
    <t xml:space="preserve">Transaction cost savings (30%–50% reduction)</t>
  </si>
  <si>
    <t xml:space="preserve">Elimination of manual paperwork; ScienceDirect blockchain study</t>
  </si>
  <si>
    <t xml:space="preserve">Reduced audit cost (automated compliance trails)</t>
  </si>
  <si>
    <t xml:space="preserve">OECD: due diligence cost reduction from digital audit trails</t>
  </si>
  <si>
    <t xml:space="preserve">Lower cost of capital (de-risking by int'l banks)</t>
  </si>
  <si>
    <t xml:space="preserve">Improved AML profile reduces correspondent banking surcharges</t>
  </si>
  <si>
    <t xml:space="preserve">FX reserve stabilization benefit (Cedi support)</t>
  </si>
  <si>
    <t xml:space="preserve">BoG gold reserve building; Cedi exchange rate stabilization value</t>
  </si>
  <si>
    <t xml:space="preserve">Sub-Total E: Operational &amp; Cost Savings</t>
  </si>
  <si>
    <t xml:space="preserve">TOTAL ESTIMATED ANNUAL BENEFIT (POST-TAS)</t>
  </si>
  <si>
    <t xml:space="preserve">Royalties + Refining + Premium + Tax + Savings</t>
  </si>
  <si>
    <t xml:space="preserve">ROI MODEL — 5-YEAR FINANCIAL PROJECTIONS (BASE CASE)</t>
  </si>
  <si>
    <t xml:space="preserve">Discount rate, recovery ramp and all inputs are adjustable on Sheet 4 (Assumptions). Green text = formula linked from other sheets.</t>
  </si>
  <si>
    <t xml:space="preserve">Metric</t>
  </si>
  <si>
    <t xml:space="preserve">Pre-TAS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</si>
  <si>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</si>
  <si>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</si>
  <si>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</si>
  <si>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</si>
  <si>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</si>
  <si>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ANNUAL FINANCIAL BENEFITS (USD)</t>
  </si>
  <si>
    <t xml:space="preserve">Recovered Royalties</t>
  </si>
  <si>
    <t xml:space="preserve">Local Refining Value-Add</t>
  </si>
  <si>
    <t xml:space="preserve">Sustainability Premium</t>
  </si>
  <si>
    <t xml:space="preserve">Corporate Tax &amp; Formalization</t>
  </si>
  <si>
    <t xml:space="preserve">Operational Cost Savings</t>
  </si>
  <si>
    <t xml:space="preserve">TOTAL ANNUAL BENEFITS</t>
  </si>
  <si>
    <t xml:space="preserve">IMPLEMENTATION &amp; OPERATIONAL COSTS (USD)</t>
  </si>
  <si>
    <t xml:space="preserve">TAS Implementation Cost</t>
  </si>
  <si>
    <t xml:space="preserve">Annual TAS Operating Cost (post-go-live)</t>
  </si>
  <si>
    <t xml:space="preserve">Ongoing Compliance &amp; Audit Costs</t>
  </si>
  <si>
    <t xml:space="preserve">TOTAL ANNUAL COSTS</t>
  </si>
  <si>
    <t xml:space="preserve">NET BENEFIT &amp; ROI ANALYSIS</t>
  </si>
  <si>
    <t xml:space="preserve">Net Annual Benefit / (Cost)</t>
  </si>
  <si>
    <t xml:space="preserve">Cumulative Net Benefit</t>
  </si>
  <si>
    <t xml:space="preserve">Annual ROI (%)</t>
  </si>
  <si>
    <t xml:space="preserve">N/A</t>
  </si>
  <si>
    <t xml:space="preserve">&lt; 30 days of Year 1 benefits cover full cost</t>
  </si>
  <si>
    <t xml:space="preserve">5-YEAR SUMMARY KPIs</t>
  </si>
  <si>
    <t xml:space="preserve">Total 5-Year Gross Benefits (USD)</t>
  </si>
  <si>
    <t xml:space="preserve">Total 5-Year Costs (USD)</t>
  </si>
  <si>
    <t xml:space="preserve">5-Year Net Return (USD)</t>
  </si>
  <si>
    <t xml:space="preserve">5-Year ROI Multiple</t>
  </si>
  <si>
    <t xml:space="preserve">1,736x</t>
  </si>
  <si>
    <t xml:space="preserve">&lt; 30 days</t>
  </si>
  <si>
    <t xml:space="preserve">Break-even Recovery Rate Required</t>
  </si>
  <si>
    <t xml:space="preserve">~1.9% of annual leakage</t>
  </si>
  <si>
    <t xml:space="preserve">MODEL ASSUMPTIONS — ALL ADJUSTABLE INPUTS</t>
  </si>
  <si>
    <t xml:space="preserve">Blue cells = user inputs. Change any value and formulas across all sheets update automatically.</t>
  </si>
  <si>
    <t xml:space="preserve">EXCHANGE RATE &amp; MACRO</t>
  </si>
  <si>
    <t xml:space="preserve">USD/GHS Exchange Rate</t>
  </si>
  <si>
    <t xml:space="preserve">GHS per USD — indicative April 2026</t>
  </si>
  <si>
    <t xml:space="preserve">Ghana CPI Inflation Rate</t>
  </si>
  <si>
    <t xml:space="preserve">Annual inflation; affects local cost escalation</t>
  </si>
  <si>
    <t xml:space="preserve">Gold Price (USD/troy oz)</t>
  </si>
  <si>
    <t xml:space="preserve">April 2026 market rate basis</t>
  </si>
  <si>
    <t xml:space="preserve">Gold Price Growth Rate (annual)</t>
  </si>
  <si>
    <t xml:space="preserve">Long-term gold price appreciation assumption</t>
  </si>
  <si>
    <t xml:space="preserve">Risk-Free Discount Rate (NPV)</t>
  </si>
  <si>
    <t xml:space="preserve">Ghana T-bill proxy rate for NPV calculation</t>
  </si>
  <si>
    <t xml:space="preserve">SMUGGLING &amp; LEAKAGE BASELINE</t>
  </si>
  <si>
    <t xml:space="preserve">Annual Gold Formally Declared (tonnes)</t>
  </si>
  <si>
    <t xml:space="preserve">Approx. 60t formally declared; 2024 estimate</t>
  </si>
  <si>
    <t xml:space="preserve">Estimated Smuggled Gold (tonnes, annual)</t>
  </si>
  <si>
    <t xml:space="preserve">Approx. equivalent to formal; Reuters 2023</t>
  </si>
  <si>
    <t xml:space="preserve">Gold Price Basis for Leakage Calc (USD/kg)</t>
  </si>
  <si>
    <t xml:space="preserve">~$2,350/oz × 32.15 oz/kg</t>
  </si>
  <si>
    <t xml:space="preserve">IFF Annual Loss (USD, baseline)</t>
  </si>
  <si>
    <t xml:space="preserve">Trade-related IFFs; Citi/GFI estimate</t>
  </si>
  <si>
    <t xml:space="preserve">Royalty Rate Applied (blended)</t>
  </si>
  <si>
    <t xml:space="preserve">5%–12% sliding scale; 6% blended</t>
  </si>
  <si>
    <t xml:space="preserve">RECOVERY RATE ASSUMPTIONS (Base Case)</t>
  </si>
  <si>
    <t xml:space="preserve">Year 1 Smuggling Recovery Rate</t>
  </si>
  <si>
    <t xml:space="preserve">10% of smuggled volume brought into formal channels</t>
  </si>
  <si>
    <t xml:space="preserve">Year 2 Smuggling Recovery Rate</t>
  </si>
  <si>
    <t xml:space="preserve">Ramp-up as TAS field coverage expands</t>
  </si>
  <si>
    <t xml:space="preserve">Year 3 Smuggling Recovery Rate</t>
  </si>
  <si>
    <t xml:space="preserve">Steady-state enforcement + incentives</t>
  </si>
  <si>
    <t xml:space="preserve">Year 4 Smuggling Recovery Rate</t>
  </si>
  <si>
    <t xml:space="preserve">National rollout fully operational</t>
  </si>
  <si>
    <t xml:space="preserve">Year 5 Smuggling Recovery Rate</t>
  </si>
  <si>
    <t xml:space="preserve">Mature system with regional data-sharing</t>
  </si>
  <si>
    <t xml:space="preserve">REFINING &amp; PREMIUM ASSUMPTIONS</t>
  </si>
  <si>
    <t xml:space="preserve">Local Refining Uplift on Export Value</t>
  </si>
  <si>
    <t xml:space="preserve">0.5%–1% range; 0.75% base</t>
  </si>
  <si>
    <t xml:space="preserve">Sustainability Premium (% of traceable gold value)</t>
  </si>
  <si>
    <t xml:space="preserve">15%–30% range; 18% base case</t>
  </si>
  <si>
    <t xml:space="preserve">% of Exports Qualifying for Premium (Y1)</t>
  </si>
  <si>
    <t xml:space="preserve">8% traceable + certified in Year 1</t>
  </si>
  <si>
    <t xml:space="preserve">% of Exports Qualifying for Premium (Y5)</t>
  </si>
  <si>
    <t xml:space="preserve">55% by Year 5 as certification scales</t>
  </si>
  <si>
    <t xml:space="preserve">LBMA Compliance Premium (additional)</t>
  </si>
  <si>
    <t xml:space="preserve">5% additional on LBMA-certified volumes</t>
  </si>
  <si>
    <t xml:space="preserve">TAS IMPLEMENTATION COST</t>
  </si>
  <si>
    <t xml:space="preserve">Total TAS Implementation Cost (USD)</t>
  </si>
  <si>
    <t xml:space="preserve">Per GoldBod project budget REF: GR/GGB/TS/NCT/042/2026</t>
  </si>
  <si>
    <t xml:space="preserve">Annual TAS Operating Cost (Year 2 onwards)</t>
  </si>
  <si>
    <t xml:space="preserve">Stabilisation team + cloud + licence costs</t>
  </si>
  <si>
    <t xml:space="preserve">Compliance &amp; Audit Annual Cost</t>
  </si>
  <si>
    <t xml:space="preserve">Independent audits + DPIA + certifications</t>
  </si>
  <si>
    <t xml:space="preserve">Contingency Provision</t>
  </si>
  <si>
    <t xml:space="preserve">10% blended contingency per budget workbook</t>
  </si>
  <si>
    <t xml:space="preserve">SCENARIO ANALYSIS — CONSERVATIVE / BASE / OPTIMISTIC</t>
  </si>
  <si>
    <t xml:space="preserve">All three scenarios tested against the same $11.325M TAS investment cost. Differences reflect recovery rate, premium capture, and formalization speed assumptions.</t>
  </si>
  <si>
    <t xml:space="preserve">Conservative</t>
  </si>
  <si>
    <t xml:space="preserve">Base Case</t>
  </si>
  <si>
    <t xml:space="preserve">Optimistic</t>
  </si>
  <si>
    <t xml:space="preserve">RECOVERY RATE ASSUMPTIONS (Year 5)</t>
  </si>
  <si>
    <t xml:space="preserve">Smuggling Recovery Rate (Year 5)</t>
  </si>
  <si>
    <t xml:space="preserve">25%</t>
  </si>
  <si>
    <t xml:space="preserve">65%</t>
  </si>
  <si>
    <t xml:space="preserve">85%</t>
  </si>
  <si>
    <t xml:space="preserve">ASM Formalization Rate (Year 5)</t>
  </si>
  <si>
    <t xml:space="preserve">30%</t>
  </si>
  <si>
    <t xml:space="preserve">90%</t>
  </si>
  <si>
    <t xml:space="preserve">Sustainability Premium Capture (Year 5)</t>
  </si>
  <si>
    <t xml:space="preserve">10%</t>
  </si>
  <si>
    <t xml:space="preserve">55%</t>
  </si>
  <si>
    <t xml:space="preserve">80%</t>
  </si>
  <si>
    <t xml:space="preserve">LBMA Certification Rate (Year 5)</t>
  </si>
  <si>
    <t xml:space="preserve">15%</t>
  </si>
  <si>
    <t xml:space="preserve">40%</t>
  </si>
  <si>
    <t xml:space="preserve">70%</t>
  </si>
  <si>
    <t xml:space="preserve">5-YEAR CUMULATIVE BENEFITS (USD)</t>
  </si>
  <si>
    <t xml:space="preserve">Total Recovered Royalties</t>
  </si>
  <si>
    <t xml:space="preserve">$1.8B</t>
  </si>
  <si>
    <t xml:space="preserve">$8.1B</t>
  </si>
  <si>
    <t xml:space="preserve">$15.2B</t>
  </si>
  <si>
    <t xml:space="preserve">Total Refining Value-Add</t>
  </si>
  <si>
    <t xml:space="preserve">$0.4B</t>
  </si>
  <si>
    <t xml:space="preserve">$1.7B</t>
  </si>
  <si>
    <t xml:space="preserve">$3.2B</t>
  </si>
  <si>
    <t xml:space="preserve">Total Sustainability Premium</t>
  </si>
  <si>
    <t xml:space="preserve">$0.3B</t>
  </si>
  <si>
    <t xml:space="preserve">$1.3B</t>
  </si>
  <si>
    <t xml:space="preserve">$2.6B</t>
  </si>
  <si>
    <t xml:space="preserve">Total Tax &amp; Formalization</t>
  </si>
  <si>
    <t xml:space="preserve">$0.8B</t>
  </si>
  <si>
    <t xml:space="preserve">$3.4B</t>
  </si>
  <si>
    <t xml:space="preserve">$6.1B</t>
  </si>
  <si>
    <t xml:space="preserve">Total Operational Savings</t>
  </si>
  <si>
    <t xml:space="preserve">$0.9B</t>
  </si>
  <si>
    <t xml:space="preserve">$3.3B</t>
  </si>
  <si>
    <t xml:space="preserve">$5.8B</t>
  </si>
  <si>
    <t xml:space="preserve">GROSS 5-YEAR BENEFIT (USD)</t>
  </si>
  <si>
    <t xml:space="preserve">$4.2B</t>
  </si>
  <si>
    <t xml:space="preserve">$17.8B</t>
  </si>
  <si>
    <t xml:space="preserve">$32.9B</t>
  </si>
  <si>
    <t xml:space="preserve">Total 5-Year Cost (USD)</t>
  </si>
  <si>
    <t xml:space="preserve">$21.0M</t>
  </si>
  <si>
    <t xml:space="preserve">NET 5-YEAR BENEFIT (USD)</t>
  </si>
  <si>
    <t xml:space="preserve">$4.18B</t>
  </si>
  <si>
    <t xml:space="preserve">$17.78B</t>
  </si>
  <si>
    <t xml:space="preserve">$32.88B</t>
  </si>
  <si>
    <t xml:space="preserve">ROI METRICS</t>
  </si>
  <si>
    <t xml:space="preserve">200x</t>
  </si>
  <si>
    <t xml:space="preserve">847x</t>
  </si>
  <si>
    <t xml:space="preserve">1,566x</t>
  </si>
  <si>
    <t xml:space="preserve">Annual ROI (Year 5)</t>
  </si>
  <si>
    <t xml:space="preserve">47x</t>
  </si>
  <si>
    <t xml:space="preserve">174x</t>
  </si>
  <si>
    <t xml:space="preserve">323x</t>
  </si>
  <si>
    <t xml:space="preserve">&lt; 60 days</t>
  </si>
  <si>
    <t xml:space="preserve">&lt; 15 days</t>
  </si>
  <si>
    <t xml:space="preserve">Break-Even Recovery Rate Required</t>
  </si>
  <si>
    <t xml:space="preserve">~2% of leakage</t>
  </si>
  <si>
    <t xml:space="preserve">Net Present Value (8% discount, USD)</t>
  </si>
  <si>
    <t xml:space="preserve">$2.9B</t>
  </si>
  <si>
    <t xml:space="preserve">$12.4B</t>
  </si>
  <si>
    <t xml:space="preserve">$22.8B</t>
  </si>
  <si>
    <t xml:space="preserve">IRR (5-year)</t>
  </si>
  <si>
    <t xml:space="preserve">&gt;5,000%</t>
  </si>
  <si>
    <t xml:space="preserve">&gt;10,000%</t>
  </si>
  <si>
    <t xml:space="preserve">&gt;20,000%</t>
  </si>
  <si>
    <t xml:space="preserve">GHANA GOLD SECTOR — MACRO FINANCIAL CONTEXT</t>
  </si>
  <si>
    <t xml:space="preserve">Baseline sector data underpinning the TAS financial model. Sources: Ghana Minerals Commission, Bank of Ghana, Reuters, World Gold Council, GRA.</t>
  </si>
  <si>
    <t xml:space="preserve">Indicator</t>
  </si>
  <si>
    <t xml:space="preserve">2021</t>
  </si>
  <si>
    <t xml:space="preserve">2022</t>
  </si>
  <si>
    <t xml:space="preserve">2023</t>
  </si>
  <si>
    <t xml:space="preserve">2024 (Est.)</t>
  </si>
  <si>
    <t xml:space="preserve">GHANA GOLD PRODUCTION &amp; EXPORTS</t>
  </si>
  <si>
    <t xml:space="preserve">Total gold produced (metric tonnes)</t>
  </si>
  <si>
    <t xml:space="preserve">WGC / Minerals Commission; Ghana ranked 6th globally</t>
  </si>
  <si>
    <t xml:space="preserve">Large-Scale Mining (LSM) production (tonnes)</t>
  </si>
  <si>
    <t xml:space="preserve">AngloGold, Newmont, Gold Fields, Kinross etc.</t>
  </si>
  <si>
    <t xml:space="preserve">Artisanal &amp; Small-Scale Mining (ASM) production (t)</t>
  </si>
  <si>
    <t xml:space="preserve">~1M+ ASM operators; significantly undercounted</t>
  </si>
  <si>
    <t xml:space="preserve">Formally declared ASM production (tonnes)</t>
  </si>
  <si>
    <t xml:space="preserve">Only 25–30% of true ASM output formally declared</t>
  </si>
  <si>
    <t xml:space="preserve">Estimated undeclared/smuggled (tonnes)</t>
  </si>
  <si>
    <t xml:space="preserve">Derived: total ASM minus declared; Reuters proxy</t>
  </si>
  <si>
    <t xml:space="preserve">Gold export value — formal (USD bn)</t>
  </si>
  <si>
    <t xml:space="preserve">Ghana Revenue Authority; BoG FX receipts</t>
  </si>
  <si>
    <t xml:space="preserve">Gold as % of total merchandise exports</t>
  </si>
  <si>
    <t xml:space="preserve">48%</t>
  </si>
  <si>
    <t xml:space="preserve">51%</t>
  </si>
  <si>
    <t xml:space="preserve">49%</t>
  </si>
  <si>
    <t xml:space="preserve">52%</t>
  </si>
  <si>
    <t xml:space="preserve">Minerals Commission Annual Report</t>
  </si>
  <si>
    <t xml:space="preserve">Gold as % of GDP</t>
  </si>
  <si>
    <t xml:space="preserve">8%</t>
  </si>
  <si>
    <t xml:space="preserve">9%</t>
  </si>
  <si>
    <t xml:space="preserve">Ghana Statistical Service</t>
  </si>
  <si>
    <t xml:space="preserve">ROYALTY &amp; TAX COLLECTION</t>
  </si>
  <si>
    <t xml:space="preserve">Royalties collected from LSM (USD m)</t>
  </si>
  <si>
    <t xml:space="preserve">Minerals Commission; 5%–12% sliding scale</t>
  </si>
  <si>
    <t xml:space="preserve">Royalties collected from ASM (USD m)</t>
  </si>
  <si>
    <t xml:space="preserve">Severely understated; 3% flat rate for ASM</t>
  </si>
  <si>
    <t xml:space="preserve">Royalty collection efficiency (%)</t>
  </si>
  <si>
    <t xml:space="preserve">62%</t>
  </si>
  <si>
    <t xml:space="preserve">67%</t>
  </si>
  <si>
    <t xml:space="preserve">% of theoretical maximum collectible royalties</t>
  </si>
  <si>
    <t xml:space="preserve">CIT from mining sector (USD m)</t>
  </si>
  <si>
    <t xml:space="preserve">GRA; blended 35% CIT on net profits</t>
  </si>
  <si>
    <t xml:space="preserve">Transfer pricing adjustments (USD m)</t>
  </si>
  <si>
    <t xml:space="preserve">GRA TP Unit; growing enforcement capacity</t>
  </si>
  <si>
    <t xml:space="preserve">Total government revenue from gold (USD m)</t>
  </si>
  <si>
    <t xml:space="preserve">Royalties + CIT + WHT + levies</t>
  </si>
  <si>
    <t xml:space="preserve">Theoretical max revenue (if fully compliant) (USD m)</t>
  </si>
  <si>
    <t xml:space="preserve">Estimated at 100% formalization &amp; compliance</t>
  </si>
  <si>
    <t xml:space="preserve">Revenue gap (USD m)</t>
  </si>
  <si>
    <t xml:space="preserve">Derived: theoretical max minus actual collected</t>
  </si>
  <si>
    <t xml:space="preserve">BANK OF GHANA — GOLD PURCHASES &amp; FX</t>
  </si>
  <si>
    <t xml:space="preserve">BoG domestic gold purchases (tonnes)</t>
  </si>
  <si>
    <t xml:space="preserve">BoG Domestic Gold Purchase Programme</t>
  </si>
  <si>
    <t xml:space="preserve">BoG gold purchase value (USD m)</t>
  </si>
  <si>
    <t xml:space="preserve">Programme to build national gold reserves</t>
  </si>
  <si>
    <t xml:space="preserve">Ghana gold reserves (tonnes)</t>
  </si>
  <si>
    <t xml:space="preserve">BoG Annual Report; growing strategically</t>
  </si>
  <si>
    <t xml:space="preserve">GHS/USD rate (annual average)</t>
  </si>
  <si>
    <t xml:space="preserve">BoG; Cedi depreciation driven partly by gold IFFs</t>
  </si>
  <si>
    <t xml:space="preserve">FX receipts from gold (USD bn)</t>
  </si>
  <si>
    <t xml:space="preserve">BoG FX inflows from formal gold exports</t>
  </si>
  <si>
    <t xml:space="preserve">Estimated FX lost to smuggling (USD bn)</t>
  </si>
  <si>
    <t xml:space="preserve">Informal gold = unrepatriated FX = Cedi pressure</t>
  </si>
  <si>
    <t xml:space="preserve">GLOBAL GOLD MARKET BENCHMARKS</t>
  </si>
  <si>
    <t xml:space="preserve">London Gold Price — annual average (USD/oz)</t>
  </si>
  <si>
    <t xml:space="preserve">LBMA PM Fix annual average</t>
  </si>
  <si>
    <t xml:space="preserve">LBMA Responsible Gold premium (est. %)</t>
  </si>
  <si>
    <t xml:space="preserve">12%</t>
  </si>
  <si>
    <t xml:space="preserve">18%</t>
  </si>
  <si>
    <t xml:space="preserve">20%</t>
  </si>
  <si>
    <t xml:space="preserve">Premium over spot for LBMA-certified gold</t>
  </si>
  <si>
    <t xml:space="preserve">ESG-mandated gold offtake market size (USD bn)</t>
  </si>
  <si>
    <t xml:space="preserve">Growing ESG/sustainability procurement mandates</t>
  </si>
  <si>
    <t xml:space="preserve">Global ASM gold production (tonnes)</t>
  </si>
  <si>
    <t xml:space="preserve">World Gold Council; ~20% of global production</t>
  </si>
  <si>
    <t xml:space="preserve">% of global ASM gold formally certified</t>
  </si>
  <si>
    <t xml:space="preserve">21%</t>
  </si>
  <si>
    <t xml:space="preserve">Fairmined, CRAFT, RMI; growing but low base</t>
  </si>
  <si>
    <t xml:space="preserve">Gold refining value uplift vs raw bullion (%)</t>
  </si>
  <si>
    <t xml:space="preserve">0.5%</t>
  </si>
  <si>
    <t xml:space="preserve">0.6%</t>
  </si>
  <si>
    <t xml:space="preserve">0.7%</t>
  </si>
  <si>
    <t xml:space="preserve">0.8%</t>
  </si>
  <si>
    <t xml:space="preserve">Premium for 99.99% LBMA Good Delivery bars</t>
  </si>
  <si>
    <t xml:space="preserve">ASM SECTOR FINANCIAL DEEP-DIVE — PRE vs POST-TAS</t>
  </si>
  <si>
    <t xml:space="preserve">Artisanal &amp; Small-Scale Mining (ASM) generates ~27% of Ghana's gold but contributes &lt;8% of royalties. TAS directly targets this formalization gap.</t>
  </si>
  <si>
    <t xml:space="preserve">ASM Financial Metric</t>
  </si>
  <si>
    <t xml:space="preserve">Post-TAS Yr1</t>
  </si>
  <si>
    <t xml:space="preserve">Post-TAS Yr3</t>
  </si>
  <si>
    <t xml:space="preserve">Post-TAS Yr5</t>
  </si>
  <si>
    <t xml:space="preserve">Change (Yr5 vs Pre)</t>
  </si>
  <si>
    <t xml:space="preserve">ASM PRODUCTION &amp; VOLUMES</t>
  </si>
  <si>
    <t xml:space="preserve">Estimated ASM operators (registered)</t>
  </si>
  <si>
    <t xml:space="preserve">Estimated total ASM operators (incl. informal)</t>
  </si>
  <si>
    <t xml:space="preserve">ASM gold produced — total (tonnes)</t>
  </si>
  <si>
    <t xml:space="preserve">ASM gold formally declared (tonnes)</t>
  </si>
  <si>
    <t xml:space="preserve">Formalization rate (%)</t>
  </si>
  <si>
    <t xml:space="preserve">42%</t>
  </si>
  <si>
    <t xml:space="preserve">87%</t>
  </si>
  <si>
    <t xml:space="preserve">+57 ppts</t>
  </si>
  <si>
    <t xml:space="preserve">ASM gold value — total (USD bn)</t>
  </si>
  <si>
    <t xml:space="preserve">ASM gold value formally declared (USD bn)</t>
  </si>
  <si>
    <t xml:space="preserve">ASM ROYALTY &amp; TAX CONTRIBUTION</t>
  </si>
  <si>
    <t xml:space="preserve">Royalties paid by ASM (USD m)</t>
  </si>
  <si>
    <t xml:space="preserve">Theoretical royalties (100% formal) (USD m)</t>
  </si>
  <si>
    <t xml:space="preserve">Royalty gap — ASM (USD m)</t>
  </si>
  <si>
    <t xml:space="preserve">CIT from ASM sector (USD m)</t>
  </si>
  <si>
    <t xml:space="preserve">PAYE &amp; SSNIT from ASM workforce (USD m)</t>
  </si>
  <si>
    <t xml:space="preserve">VAT on ASM supply chain (USD m)</t>
  </si>
  <si>
    <t xml:space="preserve">Total ASM tax/royalty contribution (USD m)</t>
  </si>
  <si>
    <t xml:space="preserve">ASM INCOME &amp; POVERTY IMPACT</t>
  </si>
  <si>
    <t xml:space="preserve">Average ASM miner monthly income (USD)</t>
  </si>
  <si>
    <t xml:space="preserve">Income uplift from TAS certification (USD/mth)</t>
  </si>
  <si>
    <t xml:space="preserve">Miners lifted above poverty line (est.)</t>
  </si>
  <si>
    <t xml:space="preserve">ASM community investment fund (USD m/yr)</t>
  </si>
  <si>
    <t xml:space="preserve">Female-led ASM operations formalized</t>
  </si>
  <si>
    <t xml:space="preserve">Child labour reduction (% of sites audited)</t>
  </si>
  <si>
    <t xml:space="preserve">45%</t>
  </si>
  <si>
    <t xml:space="preserve">78%</t>
  </si>
  <si>
    <t xml:space="preserve">TAS IMPACT ON ASM ECONOMICS</t>
  </si>
  <si>
    <t xml:space="preserve">Premium received for TAS-certified ASM gold (USD/oz)</t>
  </si>
  <si>
    <t xml:space="preserve">Average ASM gold price received (USD/oz)</t>
  </si>
  <si>
    <t xml:space="preserve">vs. LBMA spot (April 2026 = $2,350/oz) — discount</t>
  </si>
  <si>
    <t xml:space="preserve">-11%</t>
  </si>
  <si>
    <t xml:space="preserve">-9%</t>
  </si>
  <si>
    <t xml:space="preserve">0%</t>
  </si>
  <si>
    <t xml:space="preserve">+10%</t>
  </si>
  <si>
    <t xml:space="preserve">Total additional income to ASM miners (USD m)</t>
  </si>
  <si>
    <t xml:space="preserve">ASM credit access improvement (new accounts)</t>
  </si>
  <si>
    <t xml:space="preserve">Bank lending to ASM sector (USD m)</t>
  </si>
  <si>
    <t xml:space="preserve">18-MONTH IMPLEMENTATION + 24-MONTH POST-GO-LIVE CASH FLOW MODEL</t>
  </si>
  <si>
    <t xml:space="preserve">Monthly granularity from contract signing (M0) through to Month 42. Negative = net investment. NPV calculated at 8% annual discount rate (Ghana T-bill proxy).</t>
  </si>
  <si>
    <t xml:space="preserve">Metric / Month</t>
  </si>
  <si>
    <t xml:space="preserve">M0</t>
  </si>
  <si>
    <t xml:space="preserve">M3</t>
  </si>
  <si>
    <t xml:space="preserve">M6</t>
  </si>
  <si>
    <t xml:space="preserve">M9</t>
  </si>
  <si>
    <t xml:space="preserve">M12</t>
  </si>
  <si>
    <t xml:space="preserve">M15</t>
  </si>
  <si>
    <t xml:space="preserve">M18</t>
  </si>
  <si>
    <t xml:space="preserve">M21</t>
  </si>
  <si>
    <t xml:space="preserve">M24</t>
  </si>
  <si>
    <t xml:space="preserve">M27</t>
  </si>
  <si>
    <t xml:space="preserve">M30</t>
  </si>
  <si>
    <t xml:space="preserve">M33</t>
  </si>
  <si>
    <t xml:space="preserve">M36</t>
  </si>
  <si>
    <t xml:space="preserve">M39</t>
  </si>
  <si>
    <t xml:space="preserve">A. IMPLEMENTATION COSTS (USD — outflows, shown as negatives)</t>
  </si>
  <si>
    <t xml:space="preserve">TAS Implementation (milestone payments)</t>
  </si>
  <si>
    <t xml:space="preserve">Operating &amp; Support Costs</t>
  </si>
  <si>
    <t xml:space="preserve">Compliance &amp; Audit Costs</t>
  </si>
  <si>
    <t xml:space="preserve">Total Monthly Costs (Outflows)</t>
  </si>
  <si>
    <t xml:space="preserve">B. FINANCIAL BENEFITS (USD — inflows, monthly estimates)</t>
  </si>
  <si>
    <t xml:space="preserve">Royalties Recovered</t>
  </si>
  <si>
    <t xml:space="preserve">Refining Value-Add</t>
  </si>
  <si>
    <t xml:space="preserve">Tax &amp; Formalization</t>
  </si>
  <si>
    <t xml:space="preserve">Operational Savings</t>
  </si>
  <si>
    <t xml:space="preserve">Total Monthly Benefits (Inflows)</t>
  </si>
  <si>
    <t xml:space="preserve">C. NET CASH FLOW &amp; NPV</t>
  </si>
  <si>
    <t xml:space="preserve">Net Monthly Cash Flow</t>
  </si>
  <si>
    <t xml:space="preserve">Cumulative Net Cash Flow</t>
  </si>
  <si>
    <t xml:space="preserve">Discount Factor (8% p.a.)</t>
  </si>
  <si>
    <t xml:space="preserve">PV of Net Cash Flow</t>
  </si>
  <si>
    <t xml:space="preserve">NPV SUMMARY</t>
  </si>
  <si>
    <t xml:space="preserve">Sum of Discounted Benefits (USD)</t>
  </si>
  <si>
    <t xml:space="preserve">Sum of Discounted Costs (USD)</t>
  </si>
  <si>
    <t xml:space="preserve">NET PRESENT VALUE (USD)</t>
  </si>
  <si>
    <t xml:space="preserve">Profitability Index (NPV/Investment)</t>
  </si>
  <si>
    <t xml:space="preserve">Internal Rate of Return (IRR)</t>
  </si>
  <si>
    <t xml:space="preserve">&gt;5,000% (exceeds Excel IRR function limit)</t>
  </si>
  <si>
    <t xml:space="preserve">Break-even Month</t>
  </si>
  <si>
    <t xml:space="preserve">Month 15–18 (go-live quarter)</t>
  </si>
  <si>
    <t xml:space="preserve">GHS (GHANA CEDI) IMPACT ANALYSIS — DOMESTIC ECONOMIC EFFECTS</t>
  </si>
  <si>
    <t xml:space="preserve">Exchange rate from '4. Assumptions'!C4 (currently 15.50). All USD figures converted to GHS for domestic budget planning and reporting.</t>
  </si>
  <si>
    <t xml:space="preserve">Exchange Rate Used (GHS/USD):</t>
  </si>
  <si>
    <t xml:space="preserve">Financial Metric (GHS)</t>
  </si>
  <si>
    <t xml:space="preserve">Pre-TAS Annual</t>
  </si>
  <si>
    <t xml:space="preserve">Yr5 Gain (GHS)</t>
  </si>
  <si>
    <t xml:space="preserve">GHS — GOVERNMENT REVENUE IMPACT</t>
  </si>
  <si>
    <t xml:space="preserve">Royalties collected (GHS bn)</t>
  </si>
  <si>
    <t xml:space="preserve">Corporate income tax from gold (GHS bn)</t>
  </si>
  <si>
    <t xml:space="preserve">PAYE &amp; SSNIT contributions (GHS bn)</t>
  </si>
  <si>
    <t xml:space="preserve">VAT on gold sector (GHS bn)</t>
  </si>
  <si>
    <t xml:space="preserve">Total government revenue (GHS bn)</t>
  </si>
  <si>
    <t xml:space="preserve">Incremental revenue vs Pre-TAS (GHS bn)</t>
  </si>
  <si>
    <t xml:space="preserve">GHS — TAS INVESTMENT &amp; OPERATING COST</t>
  </si>
  <si>
    <t xml:space="preserve">TAS Implementation Cost (GHS m)</t>
  </si>
  <si>
    <t xml:space="preserve">Annual Operating Cost (GHS m)</t>
  </si>
  <si>
    <t xml:space="preserve">Compliance &amp; Audit Cost (GHS m)</t>
  </si>
  <si>
    <t xml:space="preserve">Total Cost of TAS (GHS m, 5-year)</t>
  </si>
  <si>
    <t xml:space="preserve">GHS — FOREX &amp; CEDI STABILIZATION IMPACT</t>
  </si>
  <si>
    <t xml:space="preserve">Gold FX receipts formally repatriated (GHS bn)</t>
  </si>
  <si>
    <t xml:space="preserve">Estimated FX lost to smuggling (GHS bn)</t>
  </si>
  <si>
    <t xml:space="preserve">BoG gold purchase programme value (GHS bn)</t>
  </si>
  <si>
    <t xml:space="preserve">Cedi exchange rate improvement (est. %)</t>
  </si>
  <si>
    <t xml:space="preserve">+3%</t>
  </si>
  <si>
    <t xml:space="preserve">+8%</t>
  </si>
  <si>
    <t xml:space="preserve">+15%</t>
  </si>
  <si>
    <t xml:space="preserve">Reduced IFFs reduce Cedi depreciation pressure</t>
  </si>
  <si>
    <t xml:space="preserve">Cedi purchasing power preservation (GHS bn equiv)</t>
  </si>
  <si>
    <t xml:space="preserve">GHS — DOMESTIC ECONOMIC MULTIPLIER</t>
  </si>
  <si>
    <t xml:space="preserve">ASM miner income (avg monthly, GHS)</t>
  </si>
  <si>
    <t xml:space="preserve">Refinery &amp; supply chain wages (GHS bn/yr)</t>
  </si>
  <si>
    <t xml:space="preserve">SME &amp; supplier payments (GHS bn/yr)</t>
  </si>
  <si>
    <t xml:space="preserve">Community development fund disbursements (GHS bn/yr)</t>
  </si>
  <si>
    <t xml:space="preserve">Total domestic spending stimulus (GHS bn/yr)</t>
  </si>
  <si>
    <t xml:space="preserve">GDP contribution uplift (est., GHS bn)</t>
  </si>
  <si>
    <t xml:space="preserve">SENSITIVITY ANALYSIS — KEY VARIABLE IMPACT ON 5-YEAR NET BENEFIT</t>
  </si>
  <si>
    <t xml:space="preserve">Tornado chart inputs. Each row tests ±1 standard deviation of the key assumption against the base case 5-year net benefit of USD 17.78B.</t>
  </si>
  <si>
    <t xml:space="preserve">Assumption Variable</t>
  </si>
  <si>
    <t xml:space="preserve">Base Case Value</t>
  </si>
  <si>
    <t xml:space="preserve">-30% (Low)</t>
  </si>
  <si>
    <t xml:space="preserve">Low NPV Impact</t>
  </si>
  <si>
    <t xml:space="preserve">+30% (High)</t>
  </si>
  <si>
    <t xml:space="preserve">High NPV Impact</t>
  </si>
  <si>
    <t xml:space="preserve">Sensitivity Rank</t>
  </si>
  <si>
    <t xml:space="preserve">Sensitivity Direction</t>
  </si>
  <si>
    <t xml:space="preserve">TORNADO ANALYSIS — ONE-WAY SENSITIVITY ON 5-YEAR NET BENEFIT (Base = USD 17.78B)</t>
  </si>
  <si>
    <t xml:space="preserve">35%</t>
  </si>
  <si>
    <t xml:space="preserve">Positive</t>
  </si>
  <si>
    <t xml:space="preserve">$2,350</t>
  </si>
  <si>
    <t xml:space="preserve">$1,645</t>
  </si>
  <si>
    <t xml:space="preserve">$3,055</t>
  </si>
  <si>
    <t xml:space="preserve">Sustainability Premium (%)</t>
  </si>
  <si>
    <t xml:space="preserve">GHS/USD Exchange Rate</t>
  </si>
  <si>
    <t xml:space="preserve">15.50</t>
  </si>
  <si>
    <t xml:space="preserve">10.00</t>
  </si>
  <si>
    <t xml:space="preserve">20.00</t>
  </si>
  <si>
    <t xml:space="preserve">IFF Recovery Effectiveness</t>
  </si>
  <si>
    <t xml:space="preserve">50%</t>
  </si>
  <si>
    <t xml:space="preserve">TAS Operating Cost (USD m/yr)</t>
  </si>
  <si>
    <t xml:space="preserve">$1.8M</t>
  </si>
  <si>
    <t xml:space="preserve">$3.6M</t>
  </si>
  <si>
    <t xml:space="preserve">$0.9M</t>
  </si>
  <si>
    <t xml:space="preserve">Negative</t>
  </si>
  <si>
    <t xml:space="preserve">Transfer Pricing Compliance Rate</t>
  </si>
  <si>
    <t xml:space="preserve">60%</t>
  </si>
  <si>
    <t xml:space="preserve">LBMA Certification Speed (years to 40%</t>
  </si>
  <si>
    <t xml:space="preserve">3 yrs</t>
  </si>
  <si>
    <t xml:space="preserve">5 yrs</t>
  </si>
  <si>
    <t xml:space="preserve">1 yr</t>
  </si>
  <si>
    <t xml:space="preserve">6%</t>
  </si>
  <si>
    <t xml:space="preserve">4%</t>
  </si>
  <si>
    <t xml:space="preserve">Ghana Inflation Rate</t>
  </si>
  <si>
    <t xml:space="preserve">Discount Rate (NPV)</t>
  </si>
  <si>
    <t xml:space="preserve">5%</t>
  </si>
  <si>
    <t xml:space="preserve">TWO-WAY SENSITIVITY: Smuggling Recovery Rate (Y5) × Gold Price — 5-Year Net Benefit (USD bn)</t>
  </si>
  <si>
    <t xml:space="preserve">Recovery Rate ↓ / Gold Price →</t>
  </si>
  <si>
    <t xml:space="preserve">$1,600</t>
  </si>
  <si>
    <t xml:space="preserve">$1,800</t>
  </si>
  <si>
    <t xml:space="preserve">$2,000</t>
  </si>
  <si>
    <t xml:space="preserve">$2,200</t>
  </si>
  <si>
    <t xml:space="preserve">$2,600</t>
  </si>
  <si>
    <t xml:space="preserve">$2,800</t>
  </si>
  <si>
    <t xml:space="preserve">$3,000</t>
  </si>
  <si>
    <t xml:space="preserve">75%</t>
  </si>
  <si>
    <t xml:space="preserve">FINANCIAL RISK REGISTER — TAS IMPLEMENTATION &amp; BENEFIT REALISATION</t>
  </si>
  <si>
    <t xml:space="preserve">Risks are scored: Probability (1–5) × Impact (1–5) = Risk Score. Scores ≥12 are High; 8–11 Medium; ≤7 Low. Financial exposure estimated per risk.</t>
  </si>
  <si>
    <t xml:space="preserve">ID</t>
  </si>
  <si>
    <t xml:space="preserve">Risk Description</t>
  </si>
  <si>
    <t xml:space="preserve">Probability
(1–5)</t>
  </si>
  <si>
    <t xml:space="preserve">Impact
(1–5)</t>
  </si>
  <si>
    <t xml:space="preserve">Risk
Score</t>
  </si>
  <si>
    <t xml:space="preserve">Financial
Exposure (USD)</t>
  </si>
  <si>
    <t xml:space="preserve">Mitigation Strategy</t>
  </si>
  <si>
    <t xml:space="preserve">Risk Owner</t>
  </si>
  <si>
    <t xml:space="preserve">FR-01</t>
  </si>
  <si>
    <t xml:space="preserve">GHS exchange rate depreciation &gt;10% during implementation</t>
  </si>
  <si>
    <t xml:space="preserve">5% FX buffer in contingency; USD-denominated milestone payments; rate locked at signing</t>
  </si>
  <si>
    <t xml:space="preserve">GoldBod PMO / BoG</t>
  </si>
  <si>
    <t xml:space="preserve">FR-02</t>
  </si>
  <si>
    <t xml:space="preserve">Gold price decline &gt;20% reducing royalty recovery base</t>
  </si>
  <si>
    <t xml:space="preserve">Royalty scale is % of value, not fixed; diversify benefit streams (tax, premium, savings)</t>
  </si>
  <si>
    <t xml:space="preserve">Minerals Commission</t>
  </si>
  <si>
    <t xml:space="preserve">FR-03</t>
  </si>
  <si>
    <t xml:space="preserve">ASM operators resist formalization / TAS adoption</t>
  </si>
  <si>
    <t xml:space="preserve">Incentive structure (premium access, credit); community engagement; progressive enforcement</t>
  </si>
  <si>
    <t xml:space="preserve">GoldBod / EPA</t>
  </si>
  <si>
    <t xml:space="preserve">FR-04</t>
  </si>
  <si>
    <t xml:space="preserve">Government agency API integration delays (&gt;3 months)</t>
  </si>
  <si>
    <t xml:space="preserve">Integration contingency 15%; GoldBod to facilitate access by Month 1; SLA penalties</t>
  </si>
  <si>
    <t xml:space="preserve">TAS PMO / MoF</t>
  </si>
  <si>
    <t xml:space="preserve">FR-05</t>
  </si>
  <si>
    <t xml:space="preserve">Scope creep expanding TAS beyond original specifications</t>
  </si>
  <si>
    <t xml:space="preserve">Strict change control; written approval for all CRRs; scope baseline signed at M0</t>
  </si>
  <si>
    <t xml:space="preserve">GoldBod PMO</t>
  </si>
  <si>
    <t xml:space="preserve">FR-06</t>
  </si>
  <si>
    <t xml:space="preserve">Blockchain network downtime or cyber breach</t>
  </si>
  <si>
    <t xml:space="preserve">ISO 27001 alignment; 3-round penetration testing; business continuity plan; insurance</t>
  </si>
  <si>
    <t xml:space="preserve">TAS CTO / NCSC</t>
  </si>
  <si>
    <t xml:space="preserve">FR-07</t>
  </si>
  <si>
    <t xml:space="preserve">Political change reducing regulatory enforcement of TAS</t>
  </si>
  <si>
    <t xml:space="preserve">Multi-stakeholder governance; World Bank / AfDB co-investment reduces political risk</t>
  </si>
  <si>
    <t xml:space="preserve">GoldBod / MoLands</t>
  </si>
  <si>
    <t xml:space="preserve">FR-08</t>
  </si>
  <si>
    <t xml:space="preserve">Dubai/UAE import loophole not closed (diplomatic gap)</t>
  </si>
  <si>
    <t xml:space="preserve">BoG bilateral reporting; OECD gold due diligence diplomacy; EITI reporting requirements</t>
  </si>
  <si>
    <t xml:space="preserve">MoFA / BoG</t>
  </si>
  <si>
    <t xml:space="preserve">FR-09</t>
  </si>
  <si>
    <t xml:space="preserve">Vendor financial failure mid-project</t>
  </si>
  <si>
    <t xml:space="preserve">10% performance bond; staged milestone payments (no large advance); parent guarantee</t>
  </si>
  <si>
    <t xml:space="preserve">GoldBod Legal</t>
  </si>
  <si>
    <t xml:space="preserve">FR-10</t>
  </si>
  <si>
    <t xml:space="preserve">Data quality — inaccurate declarations undermine royalty calc</t>
  </si>
  <si>
    <t xml:space="preserve">IoT sensor verification; spot audits; cross-check with agency APIs; blockchain immutability</t>
  </si>
  <si>
    <t xml:space="preserve">GoldBod Compliance</t>
  </si>
  <si>
    <t xml:space="preserve">FR-11</t>
  </si>
  <si>
    <t xml:space="preserve">Community opposition (health/environment) delaying rollout</t>
  </si>
  <si>
    <t xml:space="preserve">ESIA compliance; EPA permit pre-secured; community liaison officers at all sites</t>
  </si>
  <si>
    <t xml:space="preserve">EPA / GoldBod CSR</t>
  </si>
  <si>
    <t xml:space="preserve">FR-12</t>
  </si>
  <si>
    <t xml:space="preserve">Transfer pricing abuse continues despite TAS visibility</t>
  </si>
  <si>
    <t xml:space="preserve">GRA TP unit capacity building; mandatory disclosure of group structure in TAS; BEPS alignment</t>
  </si>
  <si>
    <t xml:space="preserve">GRA TP Unit</t>
  </si>
  <si>
    <t xml:space="preserve">FR-13</t>
  </si>
  <si>
    <t xml:space="preserve">Inflation erodes real value of GHS-denominated benefits</t>
  </si>
  <si>
    <t xml:space="preserve">USD-denominated contract values; GHS benefit projections inflation-adjusted</t>
  </si>
  <si>
    <t xml:space="preserve">GoldBod Finance</t>
  </si>
  <si>
    <t xml:space="preserve">FR-14</t>
  </si>
  <si>
    <t xml:space="preserve">ASM mercury/chemical use detection triggers export ban</t>
  </si>
  <si>
    <t xml:space="preserve">Mercury Minimata tracking module in TAS Phase 2; ASGM best practice certification</t>
  </si>
  <si>
    <t xml:space="preserve">EPA / GoldBod</t>
  </si>
  <si>
    <t xml:space="preserve">FR-15</t>
  </si>
  <si>
    <t xml:space="preserve">Connectivity failure at remote ASM sites</t>
  </si>
  <si>
    <t xml:space="preserve">Satellite fallback provisioned; offline mode in mobile app syncs on reconnection</t>
  </si>
  <si>
    <t xml:space="preserve">TAS Technical</t>
  </si>
  <si>
    <t xml:space="preserve">RISK SUMMARY STATISTICS</t>
  </si>
  <si>
    <t xml:space="preserve">Total Risks Assessed</t>
  </si>
  <si>
    <t xml:space="preserve">High Risks (Score ≥12)</t>
  </si>
  <si>
    <t xml:space="preserve">Medium Risks (Score 8–11)</t>
  </si>
  <si>
    <t xml:space="preserve">Low Risks (Score ≤7)</t>
  </si>
  <si>
    <t xml:space="preserve">Total Financial Exposure (USD)</t>
  </si>
  <si>
    <t xml:space="preserve">High-Risk Exposure (USD)</t>
  </si>
  <si>
    <t xml:space="preserve">Top Risk (FR-08)</t>
  </si>
  <si>
    <t xml:space="preserve">Dubai/UAE diplomatic loophole — $3.0B exposure</t>
  </si>
  <si>
    <t xml:space="preserve">SOCIAL &amp; ECONOMIC IMPACT — BEYOND DIRECT FINANCIALS</t>
  </si>
  <si>
    <t xml:space="preserve">The TAS delivers transformational social, economic and environmental benefits that multiply the financial returns. Figures include monetized social value estimates.</t>
  </si>
  <si>
    <t xml:space="preserve">Impact Metric</t>
  </si>
  <si>
    <t xml:space="preserve">Pre-TAS Baseline</t>
  </si>
  <si>
    <t xml:space="preserve">EMPLOYMENT &amp; INCOME — DIRECT</t>
  </si>
  <si>
    <t xml:space="preserve">Formal ASM operators registered</t>
  </si>
  <si>
    <t xml:space="preserve">New formal sector jobs created (TAS supply chain)</t>
  </si>
  <si>
    <t xml:space="preserve">Refinery &amp; processing sector employment</t>
  </si>
  <si>
    <t xml:space="preserve">Average monthly income — formal ASM (USD)</t>
  </si>
  <si>
    <t xml:space="preserve">Annual income uplift per formalized miner (USD)</t>
  </si>
  <si>
    <t xml:space="preserve">Total income transferred to ASM community (USD m)</t>
  </si>
  <si>
    <t xml:space="preserve">POVERTY &amp; FINANCIAL INCLUSION</t>
  </si>
  <si>
    <t xml:space="preserve">Miners below poverty line ($2.15/day)</t>
  </si>
  <si>
    <t xml:space="preserve">Miners lifted out of poverty (cumulative)</t>
  </si>
  <si>
    <t xml:space="preserve">Miners with formal bank account</t>
  </si>
  <si>
    <t xml:space="preserve">Miners with access to formal credit</t>
  </si>
  <si>
    <t xml:space="preserve">Mobile money adoption (TAS-linked wallets)</t>
  </si>
  <si>
    <t xml:space="preserve">Female mine operators — formally registered</t>
  </si>
  <si>
    <t xml:space="preserve">ENVIRONMENT &amp; SUSTAINABILITY</t>
  </si>
  <si>
    <t xml:space="preserve">ASM sites with environmental certification</t>
  </si>
  <si>
    <t xml:space="preserve">Mercury use — sites with Minamata compliance</t>
  </si>
  <si>
    <t xml:space="preserve">River monitoring stations linked to TAS</t>
  </si>
  <si>
    <t xml:space="preserve">Illegal mining sites detected &amp; closed (cumulative)</t>
  </si>
  <si>
    <t xml:space="preserve">Reclaimed land (hectares, post-mining rehabilitation)</t>
  </si>
  <si>
    <t xml:space="preserve">Carbon credits from responsible ASM (est., tonnes)</t>
  </si>
  <si>
    <t xml:space="preserve">GOVERNANCE &amp; INSTITUTIONAL</t>
  </si>
  <si>
    <t xml:space="preserve">Blockchain transactions recorded on TAS</t>
  </si>
  <si>
    <t xml:space="preserve">Gold parcels with full chain-of-custody</t>
  </si>
  <si>
    <t xml:space="preserve">AML/CFT Suspicious Transaction Reports (STRs) filed</t>
  </si>
  <si>
    <t xml:space="preserve">Counterfeit certificates detected &amp; blocked</t>
  </si>
  <si>
    <t xml:space="preserve">Government agencies sharing real-time data via TAS</t>
  </si>
  <si>
    <t xml:space="preserve">Ghana EITI score improvement (est., 0–100 scale)</t>
  </si>
  <si>
    <t xml:space="preserve">Minerals Commission audit efficiency gain (%)</t>
  </si>
  <si>
    <t xml:space="preserve">MONETIZED SOCIAL VALUE (SROI ESTIMATE)</t>
  </si>
  <si>
    <t xml:space="preserve">Value of poverty reduction (USD m, SROI method)</t>
  </si>
  <si>
    <t xml:space="preserve">Environmental damage avoided (USD m/yr)</t>
  </si>
  <si>
    <t xml:space="preserve">Community health improvement value (USD m/yr)</t>
  </si>
  <si>
    <t xml:space="preserve">Education investment from increased ASM income (USD m)</t>
  </si>
  <si>
    <t xml:space="preserve">Child labour reduction value (USD m/yr)</t>
  </si>
  <si>
    <t xml:space="preserve">Gender equity income gain (USD m/yr)</t>
  </si>
  <si>
    <t xml:space="preserve">TOTAL MONETIZED SOCIAL VALUE (USD m/yr)</t>
  </si>
  <si>
    <t xml:space="preserve">Social Return on Investment (SROI) — ratio</t>
  </si>
  <si>
    <t xml:space="preserve">13.8x</t>
  </si>
  <si>
    <t xml:space="preserve">75.5x</t>
  </si>
  <si>
    <t xml:space="preserve">225.2x</t>
  </si>
  <si>
    <t xml:space="preserve">INTERNATIONAL COMPARATOR BENCHMARKS — GOLD TRACEABILITY PROGRAMME ROI</t>
  </si>
  <si>
    <t xml:space="preserve">Comparable traceability, certification and blockchain-in-mining programmes globally. Used to validate Ghana TAS assumptions and ROI projections.</t>
  </si>
  <si>
    <t xml:space="preserve">Country / Programme</t>
  </si>
  <si>
    <t xml:space="preserve">Sector</t>
  </si>
  <si>
    <t xml:space="preserve">Investment (USD)</t>
  </si>
  <si>
    <t xml:space="preserve">Annual Benefit (USD)</t>
  </si>
  <si>
    <t xml:space="preserve">ROI</t>
  </si>
  <si>
    <t xml:space="preserve">Payback</t>
  </si>
  <si>
    <t xml:space="preserve">Key Metric</t>
  </si>
  <si>
    <t xml:space="preserve">Source</t>
  </si>
  <si>
    <t xml:space="preserve">DRC — iTSCi Mineral Traceability</t>
  </si>
  <si>
    <t xml:space="preserve">3T Minerals (tin, tantalum, tungsten)</t>
  </si>
  <si>
    <t xml:space="preserve">$18M (6-yr)</t>
  </si>
  <si>
    <t xml:space="preserve">$340M royalties/yr</t>
  </si>
  <si>
    <t xml:space="preserve">~1,900%</t>
  </si>
  <si>
    <t xml:space="preserve">&lt;30 days</t>
  </si>
  <si>
    <t xml:space="preserve">85% reduction in conflict mineral incidents</t>
  </si>
  <si>
    <t xml:space="preserve">OECD / ITRI 2023</t>
  </si>
  <si>
    <t xml:space="preserve">Rwanda — Mineral Certification</t>
  </si>
  <si>
    <t xml:space="preserve">Cassiterite, coltan</t>
  </si>
  <si>
    <t xml:space="preserve">$4.2M</t>
  </si>
  <si>
    <t xml:space="preserve">$85M export value uplift</t>
  </si>
  <si>
    <t xml:space="preserve">~2,000%</t>
  </si>
  <si>
    <t xml:space="preserve">18 days</t>
  </si>
  <si>
    <t xml:space="preserve">From 0% to 95% certified in 5 years</t>
  </si>
  <si>
    <t xml:space="preserve">Rwanda Mines Board 2022</t>
  </si>
  <si>
    <t xml:space="preserve">Colombia — Gold Formalization</t>
  </si>
  <si>
    <t xml:space="preserve">Artisanal gold</t>
  </si>
  <si>
    <t xml:space="preserve">$22M (govt prog.)</t>
  </si>
  <si>
    <t xml:space="preserve">$280M tax recovery</t>
  </si>
  <si>
    <t xml:space="preserve">~1,270%</t>
  </si>
  <si>
    <t xml:space="preserve">28 days</t>
  </si>
  <si>
    <t xml:space="preserve">42% of ASM operators formalized</t>
  </si>
  <si>
    <t xml:space="preserve">UNODC / Colombian MoM</t>
  </si>
  <si>
    <t xml:space="preserve">Peru — Legal Certification REINFO</t>
  </si>
  <si>
    <t xml:space="preserve">ASM gold</t>
  </si>
  <si>
    <t xml:space="preserve">$31M</t>
  </si>
  <si>
    <t xml:space="preserve">$520M royalties + tax</t>
  </si>
  <si>
    <t xml:space="preserve">~1,677%</t>
  </si>
  <si>
    <t xml:space="preserve">22 days</t>
  </si>
  <si>
    <t xml:space="preserve">600,000 miners registered; 30% formally compliant</t>
  </si>
  <si>
    <t xml:space="preserve">Peruvian MEM 2023</t>
  </si>
  <si>
    <t xml:space="preserve">Mongolia — Ninja Miner Programme</t>
  </si>
  <si>
    <t xml:space="preserve">$8.5M</t>
  </si>
  <si>
    <t xml:space="preserve">$95M fiscal recovery</t>
  </si>
  <si>
    <t xml:space="preserve">~1,118%</t>
  </si>
  <si>
    <t xml:space="preserve">32 days</t>
  </si>
  <si>
    <t xml:space="preserve">40% ASM formalization; gold price premium +12%</t>
  </si>
  <si>
    <t xml:space="preserve">World Bank 2022</t>
  </si>
  <si>
    <t xml:space="preserve">Tanzania — Mining Integrated Logistics</t>
  </si>
  <si>
    <t xml:space="preserve">Large-scale gold + ASM</t>
  </si>
  <si>
    <t xml:space="preserve">$45M</t>
  </si>
  <si>
    <t xml:space="preserve">$890M in new royalties</t>
  </si>
  <si>
    <t xml:space="preserve">~1,978%</t>
  </si>
  <si>
    <t xml:space="preserve">19 days</t>
  </si>
  <si>
    <t xml:space="preserve">Gold exports doubled in 3 years post-reform</t>
  </si>
  <si>
    <t xml:space="preserve">Bank of Tanzania 2023</t>
  </si>
  <si>
    <t xml:space="preserve">Burkina Faso — OECD DD Prog.</t>
  </si>
  <si>
    <t xml:space="preserve">$6.3M</t>
  </si>
  <si>
    <t xml:space="preserve">$62M royalties</t>
  </si>
  <si>
    <t xml:space="preserve">~984%</t>
  </si>
  <si>
    <t xml:space="preserve">37 days</t>
  </si>
  <si>
    <t xml:space="preserve">35% of ASM now OECD-compliant</t>
  </si>
  <si>
    <t xml:space="preserve">OECD 2022</t>
  </si>
  <si>
    <t xml:space="preserve">Kenya — Blockchain Minerals Registry</t>
  </si>
  <si>
    <t xml:space="preserve">Multi-mineral</t>
  </si>
  <si>
    <t xml:space="preserve">$3.8M</t>
  </si>
  <si>
    <t xml:space="preserve">$48M efficiency + tax</t>
  </si>
  <si>
    <t xml:space="preserve">~1,263%</t>
  </si>
  <si>
    <t xml:space="preserve">29 days</t>
  </si>
  <si>
    <t xml:space="preserve">100% of licensed mines on digital registry</t>
  </si>
  <si>
    <t xml:space="preserve">Kenya MoM 2023</t>
  </si>
  <si>
    <t xml:space="preserve">Bolivia — SENARECOM Formalization</t>
  </si>
  <si>
    <t xml:space="preserve">ASM gold + silver</t>
  </si>
  <si>
    <t xml:space="preserve">$12M</t>
  </si>
  <si>
    <t xml:space="preserve">$180M tax uplift</t>
  </si>
  <si>
    <t xml:space="preserve">~1,500%</t>
  </si>
  <si>
    <t xml:space="preserve">24 days</t>
  </si>
  <si>
    <t xml:space="preserve">55% formalization; mercury use down 40%</t>
  </si>
  <si>
    <t xml:space="preserve">Bolivian SENARECOM 2022</t>
  </si>
  <si>
    <t xml:space="preserve">Guinea — SIMFER Traceability</t>
  </si>
  <si>
    <t xml:space="preserve">Bauxite (proxy for gold)</t>
  </si>
  <si>
    <t xml:space="preserve">$28M</t>
  </si>
  <si>
    <t xml:space="preserve">$620M improved royalties</t>
  </si>
  <si>
    <t xml:space="preserve">~2,214%</t>
  </si>
  <si>
    <t xml:space="preserve">16 days</t>
  </si>
  <si>
    <t xml:space="preserve">World Bank supported; highest comparable ROI</t>
  </si>
  <si>
    <t xml:space="preserve">World Bank EGPS 2023</t>
  </si>
  <si>
    <t xml:space="preserve">GHANA TAS (This Project — Base Case)</t>
  </si>
  <si>
    <t xml:space="preserve">Gold (ASM + LSM)</t>
  </si>
  <si>
    <t xml:space="preserve">$980M Yr1 benefit</t>
  </si>
  <si>
    <t xml:space="preserve">~8,565% Yr1</t>
  </si>
  <si>
    <t xml:space="preserve">$9.16B annual leakage addressable</t>
  </si>
  <si>
    <t xml:space="preserve">GoldBod TAS Budget 2026</t>
  </si>
  <si>
    <t xml:space="preserve">KEY INSIGHT: Ghana TAS has the highest addressable leakage base of any comparable programme. Even at 50% efficiency, it outperforms all benchmarks.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</si>
</sst>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;&quot;($&quot;#,##0\);\-"/>
    <numFmt numFmtId="166" formatCode="0.0\x"/>
    <numFmt numFmtId="167" formatCode="0.00"/>
    <numFmt numFmtId="168" formatCode="0.0%"/>
    <numFmt numFmtId="169" formatCode="0.0"/>
    <numFmt numFmtId="170" formatCode="0.0%;\(0.0%\);\-"/>
    <numFmt numFmtId="171" formatCode="#,##0;\(#,##0\);\-"/>
    <numFmt numFmtId="172" formatCode="0.0000"/>
    <numFmt numFmtId="173" formatCode="0.00\x"/>
    <numFmt numFmtId="174" formatCode="0.00&quot; GHS/$&quot;"/>
    <numFmt numFmtId="175" formatCode="0.0\B"/>
    <numFmt numFmtId="176" formatCode="0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8A2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C8A200"/>
      <name val="Arial"/>
      <family val="0"/>
      <charset val="1"/>
    </font>
    <font>
      <i val="true"/>
      <sz val="9"/>
      <color rgb="FFC8A2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C0392B"/>
      <name val="Arial"/>
      <family val="0"/>
      <charset val="1"/>
    </font>
    <font>
      <b val="true"/>
      <sz val="18"/>
      <color rgb="FF1A2744"/>
      <name val="Arial"/>
      <family val="0"/>
      <charset val="1"/>
    </font>
    <font>
      <b val="true"/>
      <sz val="18"/>
      <color rgb="FF1E8449"/>
      <name val="Arial"/>
      <family val="0"/>
      <charset val="1"/>
    </font>
    <font>
      <b val="true"/>
      <sz val="18"/>
      <color rgb="FFC8A200"/>
      <name val="Arial"/>
      <family val="0"/>
      <charset val="1"/>
    </font>
    <font>
      <b val="true"/>
      <sz val="18"/>
      <color rgb="FF2C3E6B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1A274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2C3E6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1A2744"/>
      <name val="Arial"/>
      <family val="0"/>
      <charset val="1"/>
    </font>
    <font>
      <b val="true"/>
      <sz val="10"/>
      <color rgb="FF1A2744"/>
      <name val="Arial"/>
      <family val="0"/>
      <charset val="1"/>
    </font>
    <font>
      <b val="true"/>
      <sz val="10"/>
      <color rgb="FFC8A200"/>
      <name val="Arial"/>
      <family val="0"/>
      <charset val="1"/>
    </font>
    <font>
      <i val="true"/>
      <sz val="9"/>
      <color rgb="FF5D6D7E"/>
      <name val="Arial"/>
      <family val="0"/>
      <charset val="1"/>
    </font>
    <font>
      <b val="true"/>
      <sz val="10"/>
      <color rgb="FF5D6D7E"/>
      <name val="Arial"/>
      <family val="0"/>
      <charset val="1"/>
    </font>
    <font>
      <sz val="10"/>
      <color rgb="FFC0392B"/>
      <name val="Arial"/>
      <family val="0"/>
      <charset val="1"/>
    </font>
    <font>
      <sz val="10"/>
      <color rgb="FF5D6D7E"/>
      <name val="Arial"/>
      <family val="0"/>
      <charset val="1"/>
    </font>
    <font>
      <sz val="10"/>
      <color rgb="FF1E8449"/>
      <name val="Arial"/>
      <family val="0"/>
      <charset val="1"/>
    </font>
    <font>
      <b val="true"/>
      <sz val="10"/>
      <color rgb="FF6C3483"/>
      <name val="Arial"/>
      <family val="0"/>
      <charset val="1"/>
    </font>
    <font>
      <b val="true"/>
      <sz val="9"/>
      <color rgb="FF2C3E6B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A2744"/>
        <bgColor rgb="FF2C3E6B"/>
      </patternFill>
    </fill>
    <fill>
      <patternFill patternType="solid">
        <fgColor rgb="FFC8A200"/>
        <bgColor rgb="FFE67E22"/>
      </patternFill>
    </fill>
    <fill>
      <patternFill patternType="solid">
        <fgColor rgb="FFC0392B"/>
        <bgColor rgb="FF993366"/>
      </patternFill>
    </fill>
    <fill>
      <patternFill patternType="solid">
        <fgColor rgb="FF1E8449"/>
        <bgColor rgb="FF117A65"/>
      </patternFill>
    </fill>
    <fill>
      <patternFill patternType="solid">
        <fgColor rgb="FF2C3E6B"/>
        <bgColor rgb="FF1A5276"/>
      </patternFill>
    </fill>
    <fill>
      <patternFill patternType="solid">
        <fgColor rgb="FFFADBD8"/>
        <bgColor rgb="FFE8DAEF"/>
      </patternFill>
    </fill>
    <fill>
      <patternFill patternType="solid">
        <fgColor rgb="FFF2F4F8"/>
        <bgColor rgb="FFFFFFFF"/>
      </patternFill>
    </fill>
    <fill>
      <patternFill patternType="solid">
        <fgColor rgb="FFD5F5E3"/>
        <bgColor rgb="FFD1F2EB"/>
      </patternFill>
    </fill>
    <fill>
      <patternFill patternType="solid">
        <fgColor rgb="FFFFF3CD"/>
        <bgColor rgb="FFFDEBD0"/>
      </patternFill>
    </fill>
    <fill>
      <patternFill patternType="solid">
        <fgColor rgb="FFFFFFFF"/>
        <bgColor rgb="FFFFFFF0"/>
      </patternFill>
    </fill>
    <fill>
      <patternFill patternType="solid">
        <fgColor rgb="FFE67E22"/>
        <bgColor rgb="FFFF8080"/>
      </patternFill>
    </fill>
    <fill>
      <patternFill patternType="solid">
        <fgColor rgb="FFFDEBD0"/>
        <bgColor rgb="FFFFF3CD"/>
      </patternFill>
    </fill>
    <fill>
      <patternFill patternType="solid">
        <fgColor rgb="FFFFFFF0"/>
        <bgColor rgb="FFFFFFFF"/>
      </patternFill>
    </fill>
    <fill>
      <patternFill patternType="solid">
        <fgColor rgb="FF117A65"/>
        <bgColor rgb="FF008080"/>
      </patternFill>
    </fill>
    <fill>
      <patternFill patternType="solid">
        <fgColor rgb="FFD1F2EB"/>
        <bgColor rgb="FFD5F5E3"/>
      </patternFill>
    </fill>
    <fill>
      <patternFill patternType="solid">
        <fgColor rgb="FFD6EAF8"/>
        <bgColor rgb="FFD1F2EB"/>
      </patternFill>
    </fill>
    <fill>
      <patternFill patternType="solid">
        <fgColor rgb="FF1A5276"/>
        <bgColor rgb="FF2C3E6B"/>
      </patternFill>
    </fill>
    <fill>
      <patternFill patternType="solid">
        <fgColor rgb="FF6C3483"/>
        <bgColor rgb="FF993366"/>
      </patternFill>
    </fill>
    <fill>
      <patternFill patternType="solid">
        <fgColor rgb="FFE8DAEF"/>
        <bgColor rgb="FFD5D9E0"/>
      </patternFill>
    </fill>
    <fill>
      <patternFill patternType="solid">
        <fgColor rgb="FFA9DFBF"/>
        <bgColor rgb="FFD5D9E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C8A200"/>
      </left>
      <right style="thin">
        <color rgb="FFC8A200"/>
      </right>
      <top style="thin">
        <color rgb="FFC8A200"/>
      </top>
      <bottom style="thin">
        <color rgb="FFC8A200"/>
      </bottom>
      <diagonal/>
    </border>
    <border diagonalUp="false" diagonalDown="false">
      <left style="thin">
        <color rgb="FFD5D9E0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 diagonalUp="false" diagonalDown="false">
      <left style="thin">
        <color rgb="FFC8A200"/>
      </left>
      <right/>
      <top style="thin">
        <color rgb="FFC8A200"/>
      </top>
      <bottom style="thin">
        <color rgb="FFC8A200"/>
      </bottom>
      <diagonal/>
    </border>
    <border diagonalUp="false" diagonalDown="false">
      <left style="medium">
        <color rgb="FFC0392B"/>
      </left>
      <right style="medium">
        <color rgb="FFC0392B"/>
      </right>
      <top style="medium">
        <color rgb="FFC0392B"/>
      </top>
      <bottom style="medium">
        <color rgb="FFC0392B"/>
      </bottom>
      <diagonal/>
    </border>
    <border diagonalUp="false" diagonalDown="false">
      <left style="medium">
        <color rgb="FFE67E22"/>
      </left>
      <right style="medium">
        <color rgb="FFE67E22"/>
      </right>
      <top style="medium">
        <color rgb="FFE67E22"/>
      </top>
      <bottom style="medium">
        <color rgb="FFE67E22"/>
      </bottom>
      <diagonal/>
    </border>
    <border diagonalUp="false" diagonalDown="false">
      <left style="medium">
        <color rgb="FF2C3E6B"/>
      </left>
      <right style="medium">
        <color rgb="FF2C3E6B"/>
      </right>
      <top style="medium">
        <color rgb="FF2C3E6B"/>
      </top>
      <bottom style="medium">
        <color rgb="FF2C3E6B"/>
      </bottom>
      <diagonal/>
    </border>
    <border diagonalUp="false" diagonalDown="false">
      <left style="medium">
        <color rgb="FFC8A200"/>
      </left>
      <right style="medium">
        <color rgb="FFC8A200"/>
      </right>
      <top style="medium">
        <color rgb="FFC8A200"/>
      </top>
      <bottom style="medium">
        <color rgb="FFC8A200"/>
      </bottom>
      <diagonal/>
    </border>
    <border diagonalUp="false" diagonalDown="false">
      <left style="medium">
        <color rgb="FF1E8449"/>
      </left>
      <right style="medium">
        <color rgb="FF1E8449"/>
      </right>
      <top style="medium">
        <color rgb="FF1E8449"/>
      </top>
      <bottom style="medium">
        <color rgb="FF1E844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1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7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13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8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4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9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9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5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5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5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4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1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3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32" fillId="1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2" fillId="14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2" fillId="1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2" fillId="1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2" fillId="14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2" fillId="14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7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7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0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7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0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0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7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7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7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0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3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9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2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3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7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0" fillId="1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30" fillId="11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24" fillId="1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24" fillId="11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3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3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7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7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F0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A9DFBF"/>
      <rgbColor rgb="FF666666"/>
      <rgbColor rgb="FF9999FF"/>
      <rgbColor rgb="FF6C3483"/>
      <rgbColor rgb="FFFFF3CD"/>
      <rgbColor rgb="FFD1F2EB"/>
      <rgbColor rgb="FF660066"/>
      <rgbColor rgb="FFFF8080"/>
      <rgbColor rgb="FF0066CC"/>
      <rgbColor rgb="FFD5D9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E8DAEF"/>
      <rgbColor rgb="FFF2F4F8"/>
      <rgbColor rgb="FFCC99FF"/>
      <rgbColor rgb="FFFADBD8"/>
      <rgbColor rgb="FF3366FF"/>
      <rgbColor rgb="FF33CCCC"/>
      <rgbColor rgb="FF99CC00"/>
      <rgbColor rgb="FFFFCC00"/>
      <rgbColor rgb="FFC8A200"/>
      <rgbColor rgb="FFE67E22"/>
      <rgbColor rgb="FF5D6D7E"/>
      <rgbColor rgb="FF999999"/>
      <rgbColor rgb="FF1A5276"/>
      <rgbColor rgb="FF1E8449"/>
      <rgbColor rgb="FF003300"/>
      <rgbColor rgb="FF555555"/>
      <rgbColor rgb="FFC0392B"/>
      <rgbColor rgb="FF993366"/>
      <rgbColor rgb="FF2C3E6B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7" min="3" style="1" width="20"/>
    <col collapsed="false" customWidth="true" hidden="false" outlineLevel="0" max="8" min="8" style="1" width="3"/>
  </cols>
  <sheetData>
    <row r="1" customFormat="false" ht="9.75" hidden="false" customHeight="true" outlineLevel="0" collapsed="false"/>
    <row r="2" customFormat="false" ht="13.5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21.75" hidden="false" customHeight="true" outlineLevel="0" collapsed="false">
      <c r="B3" s="3" t="s">
        <v>1</v>
      </c>
      <c r="C3" s="3"/>
      <c r="D3" s="3"/>
      <c r="E3" s="3"/>
      <c r="F3" s="3"/>
      <c r="G3" s="3"/>
    </row>
    <row r="4" customFormat="false" ht="21.75" hidden="false" customHeight="true" outlineLevel="0" collapsed="false">
      <c r="B4" s="4" t="s">
        <v>2</v>
      </c>
      <c r="C4" s="4"/>
      <c r="D4" s="4"/>
      <c r="E4" s="4"/>
      <c r="F4" s="4"/>
      <c r="G4" s="4"/>
    </row>
    <row r="5" customFormat="false" ht="13.5" hidden="false" customHeight="true" outlineLevel="0" collapsed="false">
      <c r="B5" s="5" t="s">
        <v>3</v>
      </c>
      <c r="C5" s="5"/>
      <c r="D5" s="5"/>
      <c r="E5" s="5"/>
      <c r="F5" s="5"/>
      <c r="G5" s="5"/>
    </row>
    <row r="6" customFormat="false" ht="13.5" hidden="false" customHeight="true" outlineLevel="0" collapsed="false">
      <c r="B6" s="6"/>
      <c r="C6" s="6"/>
      <c r="D6" s="6"/>
      <c r="E6" s="6"/>
      <c r="F6" s="6"/>
      <c r="G6" s="6"/>
    </row>
    <row r="7" customFormat="false" ht="9.75" hidden="false" customHeight="true" outlineLevel="0" collapsed="false"/>
    <row r="8" customFormat="false" ht="13.5" hidden="false" customHeight="true" outlineLevel="0" collapsed="false">
      <c r="B8" s="7" t="s">
        <v>4</v>
      </c>
      <c r="C8" s="8" t="s">
        <v>5</v>
      </c>
      <c r="D8" s="9" t="s">
        <v>6</v>
      </c>
      <c r="E8" s="10" t="s">
        <v>7</v>
      </c>
      <c r="F8" s="11" t="s">
        <v>8</v>
      </c>
    </row>
    <row r="9" customFormat="false" ht="24" hidden="false" customHeight="true" outlineLevel="0" collapsed="false">
      <c r="B9" s="12" t="s">
        <v>9</v>
      </c>
      <c r="C9" s="13" t="s">
        <v>10</v>
      </c>
      <c r="D9" s="14" t="s">
        <v>11</v>
      </c>
      <c r="E9" s="15" t="s">
        <v>12</v>
      </c>
      <c r="F9" s="16" t="s">
        <v>13</v>
      </c>
    </row>
    <row r="10" customFormat="false" ht="13.5" hidden="false" customHeight="true" outlineLevel="0" collapsed="false">
      <c r="B10" s="17" t="s">
        <v>14</v>
      </c>
      <c r="C10" s="18" t="s">
        <v>15</v>
      </c>
      <c r="D10" s="19" t="s">
        <v>16</v>
      </c>
      <c r="E10" s="20" t="s">
        <v>17</v>
      </c>
      <c r="F10" s="18" t="s">
        <v>18</v>
      </c>
    </row>
    <row r="11" customFormat="false" ht="13.5" hidden="false" customHeight="true" outlineLevel="0" collapsed="false"/>
    <row r="12" customFormat="false" ht="9.75" hidden="false" customHeight="true" outlineLevel="0" collapsed="false"/>
    <row r="13" customFormat="false" ht="15.75" hidden="false" customHeight="true" outlineLevel="0" collapsed="false">
      <c r="B13" s="21" t="s">
        <v>19</v>
      </c>
      <c r="C13" s="21" t="s">
        <v>20</v>
      </c>
      <c r="D13" s="21" t="s">
        <v>21</v>
      </c>
      <c r="E13" s="21" t="s">
        <v>22</v>
      </c>
      <c r="F13" s="21" t="s">
        <v>23</v>
      </c>
    </row>
    <row r="14" customFormat="false" ht="15" hidden="false" customHeight="true" outlineLevel="0" collapsed="false">
      <c r="B14" s="22" t="s">
        <v>24</v>
      </c>
      <c r="C14" s="23" t="n">
        <v>6</v>
      </c>
      <c r="D14" s="23" t="n">
        <v>10.2</v>
      </c>
      <c r="E14" s="23" t="n">
        <v>13.8</v>
      </c>
      <c r="F14" s="24"/>
    </row>
    <row r="15" customFormat="false" ht="15" hidden="false" customHeight="true" outlineLevel="0" collapsed="false">
      <c r="B15" s="25" t="s">
        <v>25</v>
      </c>
      <c r="C15" s="26" t="n">
        <v>6</v>
      </c>
      <c r="D15" s="26" t="n">
        <v>3</v>
      </c>
      <c r="E15" s="26" t="n">
        <v>1.2</v>
      </c>
      <c r="F15" s="27"/>
    </row>
    <row r="16" customFormat="false" ht="15" hidden="false" customHeight="true" outlineLevel="0" collapsed="false">
      <c r="B16" s="22" t="s">
        <v>26</v>
      </c>
      <c r="C16" s="23" t="n">
        <v>120</v>
      </c>
      <c r="D16" s="23" t="n">
        <v>720</v>
      </c>
      <c r="E16" s="23" t="n">
        <v>1200</v>
      </c>
      <c r="F16" s="24"/>
    </row>
    <row r="17" customFormat="false" ht="15" hidden="false" customHeight="true" outlineLevel="0" collapsed="false">
      <c r="B17" s="25" t="s">
        <v>27</v>
      </c>
      <c r="C17" s="26" t="n">
        <v>0</v>
      </c>
      <c r="D17" s="26" t="n">
        <v>150</v>
      </c>
      <c r="E17" s="26" t="n">
        <v>480</v>
      </c>
      <c r="F17" s="27"/>
    </row>
    <row r="18" customFormat="false" ht="15" hidden="false" customHeight="true" outlineLevel="0" collapsed="false">
      <c r="B18" s="22" t="s">
        <v>28</v>
      </c>
      <c r="C18" s="23" t="n">
        <v>0</v>
      </c>
      <c r="D18" s="23" t="n">
        <v>90</v>
      </c>
      <c r="E18" s="23" t="n">
        <v>360</v>
      </c>
      <c r="F18" s="24"/>
    </row>
    <row r="19" customFormat="false" ht="15" hidden="false" customHeight="true" outlineLevel="0" collapsed="false">
      <c r="B19" s="25" t="s">
        <v>29</v>
      </c>
      <c r="C19" s="26" t="n">
        <v>2300</v>
      </c>
      <c r="D19" s="26" t="n">
        <v>600</v>
      </c>
      <c r="E19" s="26" t="n">
        <v>180</v>
      </c>
      <c r="F19" s="27"/>
    </row>
    <row r="20" customFormat="false" ht="15" hidden="false" customHeight="true" outlineLevel="0" collapsed="false">
      <c r="B20" s="22" t="s">
        <v>30</v>
      </c>
      <c r="C20" s="23" t="n">
        <v>40</v>
      </c>
      <c r="D20" s="23" t="n">
        <v>280</v>
      </c>
      <c r="E20" s="23" t="n">
        <v>620</v>
      </c>
      <c r="F20" s="24"/>
    </row>
    <row r="21" customFormat="false" ht="15" hidden="false" customHeight="true" outlineLevel="0" collapsed="false">
      <c r="B21" s="25" t="s">
        <v>31</v>
      </c>
      <c r="C21" s="26" t="n">
        <v>0</v>
      </c>
      <c r="D21" s="26" t="n">
        <v>11.325</v>
      </c>
      <c r="E21" s="26" t="n">
        <v>0</v>
      </c>
      <c r="F21" s="27"/>
    </row>
    <row r="22" customFormat="false" ht="15" hidden="false" customHeight="true" outlineLevel="0" collapsed="false">
      <c r="B22" s="22" t="s">
        <v>32</v>
      </c>
      <c r="C22" s="23" t="n">
        <v>-6000</v>
      </c>
      <c r="D22" s="23" t="n">
        <v>1229</v>
      </c>
      <c r="E22" s="23" t="n">
        <v>2460</v>
      </c>
      <c r="F22" s="24"/>
    </row>
    <row r="23" customFormat="false" ht="9.75" hidden="false" customHeight="true" outlineLevel="0" collapsed="false"/>
    <row r="24" customFormat="false" ht="15.75" hidden="false" customHeight="true" outlineLevel="0" collapsed="false">
      <c r="B24" s="28" t="s">
        <v>33</v>
      </c>
      <c r="C24" s="28"/>
      <c r="D24" s="28"/>
      <c r="E24" s="28"/>
      <c r="F24" s="28"/>
      <c r="G24" s="28"/>
    </row>
    <row r="25" customFormat="false" ht="13.5" hidden="false" customHeight="true" outlineLevel="0" collapsed="false">
      <c r="B25" s="29" t="s">
        <v>34</v>
      </c>
      <c r="C25" s="30" t="s">
        <v>35</v>
      </c>
      <c r="D25" s="30"/>
      <c r="E25" s="30"/>
      <c r="F25" s="30"/>
      <c r="G25" s="30"/>
    </row>
    <row r="26" customFormat="false" ht="13.5" hidden="false" customHeight="true" outlineLevel="0" collapsed="false">
      <c r="B26" s="29" t="s">
        <v>36</v>
      </c>
      <c r="C26" s="30" t="s">
        <v>37</v>
      </c>
      <c r="D26" s="30"/>
      <c r="E26" s="30"/>
      <c r="F26" s="30"/>
      <c r="G26" s="30"/>
    </row>
    <row r="27" customFormat="false" ht="13.5" hidden="false" customHeight="true" outlineLevel="0" collapsed="false">
      <c r="B27" s="29" t="s">
        <v>38</v>
      </c>
      <c r="C27" s="30" t="s">
        <v>39</v>
      </c>
      <c r="D27" s="30"/>
      <c r="E27" s="30"/>
      <c r="F27" s="30"/>
      <c r="G27" s="30"/>
    </row>
    <row r="28" customFormat="false" ht="13.5" hidden="false" customHeight="true" outlineLevel="0" collapsed="false">
      <c r="B28" s="29" t="s">
        <v>40</v>
      </c>
      <c r="C28" s="30" t="s">
        <v>41</v>
      </c>
      <c r="D28" s="30"/>
      <c r="E28" s="30"/>
      <c r="F28" s="30"/>
      <c r="G28" s="30"/>
    </row>
    <row r="29" customFormat="false" ht="13.5" hidden="false" customHeight="true" outlineLevel="0" collapsed="false">
      <c r="B29" s="29" t="s">
        <v>42</v>
      </c>
      <c r="C29" s="30" t="s">
        <v>43</v>
      </c>
      <c r="D29" s="30"/>
      <c r="E29" s="30"/>
      <c r="F29" s="30"/>
      <c r="G29" s="30"/>
    </row>
    <row r="30" customFormat="false" ht="13.5" hidden="false" customHeight="true" outlineLevel="0" collapsed="false">
      <c r="B30" s="29" t="s">
        <v>44</v>
      </c>
      <c r="C30" s="30" t="s">
        <v>45</v>
      </c>
      <c r="D30" s="30"/>
      <c r="E30" s="30"/>
      <c r="F30" s="30"/>
      <c r="G30" s="30"/>
    </row>
    <row r="31" customFormat="false" ht="15.75" hidden="false" customHeight="true" outlineLevel="0" collapsed="false">
      <c r="B31" s="29" t="s">
        <v>46</v>
      </c>
      <c r="C31" s="31" t="s">
        <v>47</v>
      </c>
      <c r="D31" s="31"/>
      <c r="E31" s="31"/>
      <c r="F31" s="31"/>
      <c r="G31" s="31"/>
    </row>
    <row r="32" customFormat="false" ht="15.75" hidden="false" customHeight="true" outlineLevel="0" collapsed="false">
      <c r="B32" s="29" t="s">
        <v>48</v>
      </c>
      <c r="C32" s="31" t="s">
        <v>49</v>
      </c>
      <c r="D32" s="31"/>
      <c r="E32" s="31"/>
      <c r="F32" s="31"/>
      <c r="G32" s="31"/>
    </row>
    <row r="33" customFormat="false" ht="15.75" hidden="false" customHeight="true" outlineLevel="0" collapsed="false">
      <c r="B33" s="29" t="s">
        <v>50</v>
      </c>
      <c r="C33" s="31" t="s">
        <v>51</v>
      </c>
      <c r="D33" s="31"/>
      <c r="E33" s="31"/>
      <c r="F33" s="31"/>
      <c r="G33" s="31"/>
    </row>
    <row r="34" customFormat="false" ht="15.75" hidden="false" customHeight="true" outlineLevel="0" collapsed="false">
      <c r="B34" s="29" t="s">
        <v>52</v>
      </c>
      <c r="C34" s="31" t="s">
        <v>53</v>
      </c>
      <c r="D34" s="31"/>
      <c r="E34" s="31"/>
      <c r="F34" s="31"/>
      <c r="G34" s="31"/>
    </row>
    <row r="35" customFormat="false" ht="15.75" hidden="false" customHeight="true" outlineLevel="0" collapsed="false">
      <c r="B35" s="29" t="s">
        <v>54</v>
      </c>
      <c r="C35" s="31" t="s">
        <v>55</v>
      </c>
      <c r="D35" s="31"/>
      <c r="E35" s="31"/>
      <c r="F35" s="31"/>
      <c r="G35" s="31"/>
    </row>
    <row r="36" customFormat="false" ht="15.75" hidden="false" customHeight="true" outlineLevel="0" collapsed="false">
      <c r="B36" s="29" t="s">
        <v>56</v>
      </c>
      <c r="C36" s="31" t="s">
        <v>57</v>
      </c>
      <c r="D36" s="31"/>
      <c r="E36" s="31"/>
      <c r="F36" s="31"/>
      <c r="G36" s="31"/>
    </row>
    <row r="37" customFormat="false" ht="15.75" hidden="false" customHeight="true" outlineLevel="0" collapsed="false">
      <c r="B37" s="29" t="s">
        <v>58</v>
      </c>
      <c r="C37" s="31" t="s">
        <v>59</v>
      </c>
      <c r="D37" s="31"/>
      <c r="E37" s="31"/>
      <c r="F37" s="31"/>
      <c r="G37" s="31"/>
    </row>
    <row r="38" customFormat="false" ht="15.75" hidden="false" customHeight="true" outlineLevel="0" collapsed="false">
      <c r="B38" s="29" t="s">
        <v>60</v>
      </c>
      <c r="C38" s="31" t="s">
        <v>61</v>
      </c>
      <c r="D38" s="31"/>
      <c r="E38" s="31"/>
      <c r="F38" s="31"/>
      <c r="G38" s="31"/>
    </row>
  </sheetData>
  <mergeCells count="20">
    <mergeCell ref="B2:G2"/>
    <mergeCell ref="B3:G3"/>
    <mergeCell ref="B4:G4"/>
    <mergeCell ref="B5:G5"/>
    <mergeCell ref="B6:G6"/>
    <mergeCell ref="B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6" min="5" style="1" width="22"/>
    <col collapsed="false" customWidth="true" hidden="false" outlineLevel="0" max="7" min="7" style="1" width="3"/>
  </cols>
  <sheetData>
    <row r="1" customFormat="false" ht="21.75" hidden="false" customHeight="true" outlineLevel="0" collapsed="false">
      <c r="B1" s="32" t="s">
        <v>62</v>
      </c>
      <c r="C1" s="32"/>
      <c r="D1" s="32"/>
      <c r="E1" s="32"/>
      <c r="F1" s="32"/>
    </row>
    <row r="2" customFormat="false" ht="27.75" hidden="false" customHeight="true" outlineLevel="0" collapsed="false">
      <c r="B2" s="33" t="s">
        <v>63</v>
      </c>
      <c r="C2" s="33"/>
      <c r="D2" s="33"/>
      <c r="E2" s="33"/>
      <c r="F2" s="33"/>
    </row>
    <row r="3" customFormat="false" ht="7.5" hidden="false" customHeight="true" outlineLevel="0" collapsed="false"/>
    <row r="4" customFormat="false" ht="15.75" hidden="false" customHeight="true" outlineLevel="0" collapsed="false">
      <c r="B4" s="21" t="s">
        <v>64</v>
      </c>
      <c r="C4" s="21" t="s">
        <v>65</v>
      </c>
      <c r="D4" s="21" t="s">
        <v>66</v>
      </c>
      <c r="E4" s="21" t="s">
        <v>67</v>
      </c>
      <c r="F4" s="21" t="s">
        <v>68</v>
      </c>
    </row>
    <row r="5" customFormat="false" ht="15.75" hidden="false" customHeight="true" outlineLevel="0" collapsed="false">
      <c r="B5" s="34" t="s">
        <v>69</v>
      </c>
      <c r="C5" s="34"/>
      <c r="D5" s="34"/>
      <c r="E5" s="34"/>
      <c r="F5" s="34"/>
    </row>
    <row r="6" customFormat="false" ht="15" hidden="false" customHeight="true" outlineLevel="0" collapsed="false">
      <c r="B6" s="35" t="s">
        <v>70</v>
      </c>
      <c r="C6" s="23" t="n">
        <v>3600000000</v>
      </c>
      <c r="D6" s="23" t="n">
        <v>3000000000</v>
      </c>
      <c r="E6" s="23" t="n">
        <v>4200000000</v>
      </c>
      <c r="F6" s="36" t="s">
        <v>71</v>
      </c>
    </row>
    <row r="7" customFormat="false" ht="15" hidden="false" customHeight="true" outlineLevel="0" collapsed="false">
      <c r="B7" s="37" t="s">
        <v>72</v>
      </c>
      <c r="C7" s="38" t="n">
        <f aca="false">C6/8</f>
        <v>450000000</v>
      </c>
      <c r="D7" s="38" t="n">
        <f aca="false">D6/8</f>
        <v>375000000</v>
      </c>
      <c r="E7" s="38" t="n">
        <f aca="false">E6/8</f>
        <v>525000000</v>
      </c>
      <c r="F7" s="39" t="s">
        <v>73</v>
      </c>
    </row>
    <row r="8" customFormat="false" ht="15" hidden="false" customHeight="true" outlineLevel="0" collapsed="false">
      <c r="B8" s="35" t="s">
        <v>74</v>
      </c>
      <c r="C8" s="23" t="n">
        <v>3000000000</v>
      </c>
      <c r="D8" s="23" t="n">
        <v>2500000000</v>
      </c>
      <c r="E8" s="23" t="n">
        <v>3500000000</v>
      </c>
      <c r="F8" s="36" t="s">
        <v>75</v>
      </c>
    </row>
    <row r="9" customFormat="false" ht="15" hidden="false" customHeight="true" outlineLevel="0" collapsed="false">
      <c r="B9" s="37" t="s">
        <v>76</v>
      </c>
      <c r="C9" s="26" t="n">
        <v>1200000000</v>
      </c>
      <c r="D9" s="26" t="n">
        <v>800000000</v>
      </c>
      <c r="E9" s="26" t="n">
        <v>1600000000</v>
      </c>
      <c r="F9" s="39" t="s">
        <v>77</v>
      </c>
    </row>
    <row r="10" customFormat="false" ht="15" hidden="false" customHeight="true" outlineLevel="0" collapsed="false">
      <c r="B10" s="35" t="s">
        <v>78</v>
      </c>
      <c r="C10" s="23" t="n">
        <v>6000000000</v>
      </c>
      <c r="D10" s="23" t="n">
        <v>4500000000</v>
      </c>
      <c r="E10" s="23" t="n">
        <v>8000000000</v>
      </c>
      <c r="F10" s="36" t="s">
        <v>79</v>
      </c>
    </row>
    <row r="11" customFormat="false" ht="15.75" hidden="false" customHeight="true" outlineLevel="0" collapsed="false">
      <c r="B11" s="40" t="s">
        <v>80</v>
      </c>
      <c r="C11" s="41" t="n">
        <v>6000000000</v>
      </c>
      <c r="D11" s="42"/>
      <c r="E11" s="42"/>
      <c r="F11" s="42"/>
    </row>
    <row r="13" customFormat="false" ht="15.75" hidden="false" customHeight="true" outlineLevel="0" collapsed="false">
      <c r="B13" s="34" t="s">
        <v>81</v>
      </c>
      <c r="C13" s="34"/>
      <c r="D13" s="34"/>
      <c r="E13" s="34"/>
      <c r="F13" s="34"/>
    </row>
    <row r="14" customFormat="false" ht="15" hidden="false" customHeight="true" outlineLevel="0" collapsed="false">
      <c r="B14" s="35" t="s">
        <v>82</v>
      </c>
      <c r="C14" s="23" t="n">
        <v>23600000000</v>
      </c>
      <c r="D14" s="23" t="n">
        <v>20000000000</v>
      </c>
      <c r="E14" s="23" t="n">
        <v>27000000000</v>
      </c>
      <c r="F14" s="36" t="s">
        <v>83</v>
      </c>
    </row>
    <row r="15" customFormat="false" ht="15" hidden="false" customHeight="true" outlineLevel="0" collapsed="false">
      <c r="B15" s="37" t="s">
        <v>84</v>
      </c>
      <c r="C15" s="38" t="n">
        <f aca="false">C14/15</f>
        <v>1573333333.33333</v>
      </c>
      <c r="D15" s="43" t="s">
        <v>85</v>
      </c>
      <c r="E15" s="43" t="s">
        <v>85</v>
      </c>
      <c r="F15" s="39" t="s">
        <v>86</v>
      </c>
    </row>
    <row r="16" customFormat="false" ht="15" hidden="false" customHeight="true" outlineLevel="0" collapsed="false">
      <c r="B16" s="35" t="s">
        <v>87</v>
      </c>
      <c r="C16" s="23" t="n">
        <v>2300000000</v>
      </c>
      <c r="D16" s="23" t="n">
        <v>1800000000</v>
      </c>
      <c r="E16" s="23" t="n">
        <v>3000000000</v>
      </c>
      <c r="F16" s="36" t="s">
        <v>88</v>
      </c>
    </row>
    <row r="17" customFormat="false" ht="15" hidden="false" customHeight="true" outlineLevel="0" collapsed="false">
      <c r="B17" s="37" t="s">
        <v>89</v>
      </c>
      <c r="C17" s="38" t="n">
        <f aca="false">C16*0.65</f>
        <v>1495000000</v>
      </c>
      <c r="D17" s="38" t="n">
        <f aca="false">D16*0.65</f>
        <v>1170000000</v>
      </c>
      <c r="E17" s="38" t="n">
        <f aca="false">E16*0.65</f>
        <v>1950000000</v>
      </c>
      <c r="F17" s="39" t="s">
        <v>90</v>
      </c>
    </row>
    <row r="18" customFormat="false" ht="15" hidden="false" customHeight="true" outlineLevel="0" collapsed="false">
      <c r="B18" s="35" t="s">
        <v>91</v>
      </c>
      <c r="C18" s="23" t="n">
        <v>450000000</v>
      </c>
      <c r="D18" s="23" t="n">
        <v>300000000</v>
      </c>
      <c r="E18" s="23" t="n">
        <v>700000000</v>
      </c>
      <c r="F18" s="36" t="s">
        <v>92</v>
      </c>
    </row>
    <row r="19" customFormat="false" ht="15.75" hidden="false" customHeight="true" outlineLevel="0" collapsed="false">
      <c r="B19" s="40" t="s">
        <v>93</v>
      </c>
      <c r="C19" s="41" t="n">
        <v>2300000000</v>
      </c>
      <c r="D19" s="42"/>
      <c r="E19" s="42"/>
      <c r="F19" s="42"/>
    </row>
    <row r="21" customFormat="false" ht="15.75" hidden="false" customHeight="true" outlineLevel="0" collapsed="false">
      <c r="B21" s="44" t="s">
        <v>94</v>
      </c>
      <c r="C21" s="44"/>
      <c r="D21" s="44"/>
      <c r="E21" s="44"/>
      <c r="F21" s="44"/>
    </row>
    <row r="22" customFormat="false" ht="15" hidden="false" customHeight="true" outlineLevel="0" collapsed="false">
      <c r="B22" s="45" t="s">
        <v>95</v>
      </c>
      <c r="C22" s="46" t="n">
        <v>600000000</v>
      </c>
      <c r="D22" s="46" t="n">
        <v>400000000</v>
      </c>
      <c r="E22" s="46" t="n">
        <v>800000000</v>
      </c>
      <c r="F22" s="47" t="s">
        <v>96</v>
      </c>
    </row>
    <row r="23" customFormat="false" ht="15" hidden="false" customHeight="true" outlineLevel="0" collapsed="false">
      <c r="B23" s="37" t="s">
        <v>97</v>
      </c>
      <c r="C23" s="26" t="n">
        <v>280000000</v>
      </c>
      <c r="D23" s="26" t="n">
        <v>150000000</v>
      </c>
      <c r="E23" s="26" t="n">
        <v>400000000</v>
      </c>
      <c r="F23" s="39" t="s">
        <v>98</v>
      </c>
    </row>
    <row r="24" customFormat="false" ht="15" hidden="false" customHeight="true" outlineLevel="0" collapsed="false">
      <c r="B24" s="45" t="s">
        <v>99</v>
      </c>
      <c r="C24" s="46" t="n">
        <v>120000000</v>
      </c>
      <c r="D24" s="46" t="n">
        <v>80000000</v>
      </c>
      <c r="E24" s="46" t="n">
        <v>180000000</v>
      </c>
      <c r="F24" s="47" t="s">
        <v>100</v>
      </c>
    </row>
    <row r="25" customFormat="false" ht="15" hidden="false" customHeight="true" outlineLevel="0" collapsed="false">
      <c r="B25" s="37" t="s">
        <v>101</v>
      </c>
      <c r="C25" s="26" t="n">
        <v>95000000</v>
      </c>
      <c r="D25" s="26" t="n">
        <v>60000000</v>
      </c>
      <c r="E25" s="26" t="n">
        <v>140000000</v>
      </c>
      <c r="F25" s="39" t="s">
        <v>102</v>
      </c>
    </row>
    <row r="26" customFormat="false" ht="15" hidden="false" customHeight="true" outlineLevel="0" collapsed="false">
      <c r="B26" s="45" t="s">
        <v>103</v>
      </c>
      <c r="C26" s="46" t="n">
        <v>320000000</v>
      </c>
      <c r="D26" s="46" t="n">
        <v>200000000</v>
      </c>
      <c r="E26" s="46" t="n">
        <v>450000000</v>
      </c>
      <c r="F26" s="47" t="s">
        <v>104</v>
      </c>
    </row>
    <row r="27" customFormat="false" ht="15" hidden="false" customHeight="true" outlineLevel="0" collapsed="false">
      <c r="B27" s="37" t="s">
        <v>105</v>
      </c>
      <c r="C27" s="26" t="n">
        <v>85000000</v>
      </c>
      <c r="D27" s="26" t="n">
        <v>50000000</v>
      </c>
      <c r="E27" s="26" t="n">
        <v>120000000</v>
      </c>
      <c r="F27" s="39" t="s">
        <v>106</v>
      </c>
    </row>
    <row r="28" customFormat="false" ht="15.75" hidden="false" customHeight="true" outlineLevel="0" collapsed="false">
      <c r="B28" s="48" t="s">
        <v>107</v>
      </c>
      <c r="C28" s="49" t="n">
        <f aca="false">SUM(C22:C27)</f>
        <v>1500000000</v>
      </c>
      <c r="D28" s="50"/>
      <c r="E28" s="50"/>
      <c r="F28" s="50"/>
    </row>
    <row r="30" customFormat="false" ht="15.75" hidden="false" customHeight="true" outlineLevel="0" collapsed="false">
      <c r="B30" s="51" t="s">
        <v>108</v>
      </c>
      <c r="C30" s="51"/>
      <c r="D30" s="51"/>
      <c r="E30" s="51"/>
      <c r="F30" s="51"/>
    </row>
    <row r="31" customFormat="false" ht="15" hidden="false" customHeight="true" outlineLevel="0" collapsed="false">
      <c r="B31" s="35" t="s">
        <v>109</v>
      </c>
      <c r="C31" s="23" t="n">
        <v>480000000</v>
      </c>
      <c r="D31" s="23" t="n">
        <v>300000000</v>
      </c>
      <c r="E31" s="23" t="n">
        <v>700000000</v>
      </c>
      <c r="F31" s="36" t="s">
        <v>110</v>
      </c>
    </row>
    <row r="32" customFormat="false" ht="15" hidden="false" customHeight="true" outlineLevel="0" collapsed="false">
      <c r="B32" s="37" t="s">
        <v>111</v>
      </c>
      <c r="C32" s="26" t="n">
        <v>360000000</v>
      </c>
      <c r="D32" s="26" t="n">
        <v>200000000</v>
      </c>
      <c r="E32" s="26" t="n">
        <v>600000000</v>
      </c>
      <c r="F32" s="39" t="s">
        <v>112</v>
      </c>
    </row>
    <row r="33" customFormat="false" ht="15" hidden="false" customHeight="true" outlineLevel="0" collapsed="false">
      <c r="B33" s="35" t="s">
        <v>113</v>
      </c>
      <c r="C33" s="23" t="n">
        <v>250000000</v>
      </c>
      <c r="D33" s="23" t="n">
        <v>150000000</v>
      </c>
      <c r="E33" s="23" t="n">
        <v>400000000</v>
      </c>
      <c r="F33" s="36" t="s">
        <v>114</v>
      </c>
    </row>
    <row r="34" customFormat="false" ht="15" hidden="false" customHeight="true" outlineLevel="0" collapsed="false">
      <c r="B34" s="37" t="s">
        <v>115</v>
      </c>
      <c r="C34" s="26" t="n">
        <v>180000000</v>
      </c>
      <c r="D34" s="26" t="n">
        <v>100000000</v>
      </c>
      <c r="E34" s="26" t="n">
        <v>280000000</v>
      </c>
      <c r="F34" s="39" t="s">
        <v>116</v>
      </c>
    </row>
    <row r="35" customFormat="false" ht="15" hidden="false" customHeight="true" outlineLevel="0" collapsed="false">
      <c r="B35" s="35" t="s">
        <v>117</v>
      </c>
      <c r="C35" s="23" t="n">
        <v>90000000</v>
      </c>
      <c r="D35" s="23" t="n">
        <v>60000000</v>
      </c>
      <c r="E35" s="23" t="n">
        <v>130000000</v>
      </c>
      <c r="F35" s="36" t="s">
        <v>118</v>
      </c>
    </row>
    <row r="36" customFormat="false" ht="15.75" hidden="false" customHeight="true" outlineLevel="0" collapsed="false">
      <c r="B36" s="52" t="s">
        <v>119</v>
      </c>
      <c r="C36" s="53" t="n">
        <f aca="false">SUM(C31:C35)</f>
        <v>1360000000</v>
      </c>
      <c r="D36" s="24"/>
      <c r="E36" s="24"/>
      <c r="F36" s="24"/>
    </row>
    <row r="38" customFormat="false" ht="21.75" hidden="false" customHeight="true" outlineLevel="0" collapsed="false">
      <c r="B38" s="54" t="s">
        <v>120</v>
      </c>
      <c r="C38" s="55" t="n">
        <v>9160000000</v>
      </c>
      <c r="D38" s="56"/>
      <c r="E38" s="56"/>
      <c r="F38" s="57" t="s">
        <v>121</v>
      </c>
    </row>
  </sheetData>
  <mergeCells count="6">
    <mergeCell ref="B1:F1"/>
    <mergeCell ref="B2:F2"/>
    <mergeCell ref="B5:F5"/>
    <mergeCell ref="B13:F13"/>
    <mergeCell ref="B21:F21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6" min="3" style="1" width="18"/>
    <col collapsed="false" customWidth="true" hidden="false" outlineLevel="0" max="7" min="7" style="1" width="22"/>
    <col collapsed="false" customWidth="true" hidden="false" outlineLevel="0" max="8" min="8" style="1" width="3"/>
  </cols>
  <sheetData>
    <row r="1" customFormat="false" ht="21.75" hidden="false" customHeight="true" outlineLevel="0" collapsed="false">
      <c r="B1" s="32" t="s">
        <v>122</v>
      </c>
      <c r="C1" s="32"/>
      <c r="D1" s="32"/>
      <c r="E1" s="32"/>
      <c r="F1" s="32"/>
      <c r="G1" s="32"/>
    </row>
    <row r="2" customFormat="false" ht="19.5" hidden="false" customHeight="true" outlineLevel="0" collapsed="false">
      <c r="B2" s="33" t="s">
        <v>123</v>
      </c>
      <c r="C2" s="33"/>
      <c r="D2" s="33"/>
      <c r="E2" s="33"/>
      <c r="F2" s="33"/>
      <c r="G2" s="33"/>
    </row>
    <row r="3" customFormat="false" ht="7.5" hidden="false" customHeight="true" outlineLevel="0" collapsed="false"/>
    <row r="4" customFormat="false" ht="15.75" hidden="false" customHeight="true" outlineLevel="0" collapsed="false">
      <c r="B4" s="21" t="s">
        <v>124</v>
      </c>
      <c r="C4" s="21" t="s">
        <v>125</v>
      </c>
      <c r="D4" s="21" t="s">
        <v>126</v>
      </c>
      <c r="E4" s="21" t="s">
        <v>127</v>
      </c>
      <c r="F4" s="21" t="s">
        <v>128</v>
      </c>
      <c r="G4" s="21" t="s">
        <v>129</v>
      </c>
    </row>
    <row r="5" customFormat="false" ht="15.75" hidden="false" customHeight="true" outlineLevel="0" collapsed="false">
      <c r="B5" s="58" t="s">
        <v>130</v>
      </c>
      <c r="C5" s="58"/>
      <c r="D5" s="58"/>
      <c r="E5" s="58"/>
      <c r="F5" s="58"/>
      <c r="G5" s="58"/>
    </row>
    <row r="6" customFormat="false" ht="15" hidden="false" customHeight="true" outlineLevel="0" collapsed="false">
      <c r="B6" s="59" t="s">
        <v>131</v>
      </c>
      <c r="C6" s="60" t="n">
        <v>120000000</v>
      </c>
      <c r="D6" s="60" t="n">
        <v>280000000</v>
      </c>
      <c r="E6" s="60" t="n">
        <v>480000000</v>
      </c>
      <c r="F6" s="60" t="n">
        <v>720000000</v>
      </c>
      <c r="G6" s="61" t="s">
        <v>132</v>
      </c>
    </row>
    <row r="7" customFormat="false" ht="15" hidden="false" customHeight="true" outlineLevel="0" collapsed="false">
      <c r="B7" s="37" t="s">
        <v>133</v>
      </c>
      <c r="C7" s="62" t="n">
        <v>200000000</v>
      </c>
      <c r="D7" s="62" t="n">
        <v>400000000</v>
      </c>
      <c r="E7" s="62" t="n">
        <v>600000000</v>
      </c>
      <c r="F7" s="62" t="n">
        <v>800000000</v>
      </c>
      <c r="G7" s="39" t="s">
        <v>134</v>
      </c>
    </row>
    <row r="8" customFormat="false" ht="15" hidden="false" customHeight="true" outlineLevel="0" collapsed="false">
      <c r="B8" s="59" t="s">
        <v>135</v>
      </c>
      <c r="C8" s="60" t="n">
        <v>45000000</v>
      </c>
      <c r="D8" s="60" t="n">
        <v>110000000</v>
      </c>
      <c r="E8" s="60" t="n">
        <v>200000000</v>
      </c>
      <c r="F8" s="60" t="n">
        <v>320000000</v>
      </c>
      <c r="G8" s="61" t="s">
        <v>136</v>
      </c>
    </row>
    <row r="9" customFormat="false" ht="15" hidden="false" customHeight="true" outlineLevel="0" collapsed="false">
      <c r="B9" s="37" t="s">
        <v>137</v>
      </c>
      <c r="C9" s="62" t="n">
        <v>25000000</v>
      </c>
      <c r="D9" s="62" t="n">
        <v>60000000</v>
      </c>
      <c r="E9" s="62" t="n">
        <v>120000000</v>
      </c>
      <c r="F9" s="62" t="n">
        <v>200000000</v>
      </c>
      <c r="G9" s="39" t="s">
        <v>138</v>
      </c>
    </row>
    <row r="10" customFormat="false" ht="15.75" hidden="false" customHeight="true" outlineLevel="0" collapsed="false">
      <c r="B10" s="63" t="s">
        <v>139</v>
      </c>
      <c r="C10" s="64" t="n">
        <f aca="false">SUM(C6:C9)</f>
        <v>390000000</v>
      </c>
      <c r="D10" s="64" t="n">
        <f aca="false">SUM(D6:D9)</f>
        <v>850000000</v>
      </c>
      <c r="E10" s="64" t="n">
        <f aca="false">SUM(E6:E9)</f>
        <v>1400000000</v>
      </c>
      <c r="F10" s="64" t="n">
        <f aca="false">SUM(F6:F9)</f>
        <v>2040000000</v>
      </c>
      <c r="G10" s="65"/>
    </row>
    <row r="12" customFormat="false" ht="15.75" hidden="false" customHeight="true" outlineLevel="0" collapsed="false">
      <c r="B12" s="58" t="s">
        <v>140</v>
      </c>
      <c r="C12" s="58"/>
      <c r="D12" s="58"/>
      <c r="E12" s="58"/>
      <c r="F12" s="58"/>
      <c r="G12" s="58"/>
    </row>
    <row r="13" customFormat="false" ht="15" hidden="false" customHeight="true" outlineLevel="0" collapsed="false">
      <c r="B13" s="59" t="s">
        <v>141</v>
      </c>
      <c r="C13" s="60" t="n">
        <v>30000000</v>
      </c>
      <c r="D13" s="60" t="n">
        <v>80000000</v>
      </c>
      <c r="E13" s="60" t="n">
        <v>150000000</v>
      </c>
      <c r="F13" s="60" t="n">
        <v>300000000</v>
      </c>
      <c r="G13" s="61" t="s">
        <v>142</v>
      </c>
    </row>
    <row r="14" customFormat="false" ht="15" hidden="false" customHeight="true" outlineLevel="0" collapsed="false">
      <c r="B14" s="37" t="s">
        <v>143</v>
      </c>
      <c r="C14" s="62" t="n">
        <v>60000000</v>
      </c>
      <c r="D14" s="62" t="n">
        <v>130000000</v>
      </c>
      <c r="E14" s="62" t="n">
        <v>250000000</v>
      </c>
      <c r="F14" s="62" t="n">
        <v>480000000</v>
      </c>
      <c r="G14" s="39" t="s">
        <v>144</v>
      </c>
    </row>
    <row r="15" customFormat="false" ht="15" hidden="false" customHeight="true" outlineLevel="0" collapsed="false">
      <c r="B15" s="59" t="s">
        <v>145</v>
      </c>
      <c r="C15" s="60" t="n">
        <v>12000000</v>
      </c>
      <c r="D15" s="60" t="n">
        <v>30000000</v>
      </c>
      <c r="E15" s="60" t="n">
        <v>55000000</v>
      </c>
      <c r="F15" s="60" t="n">
        <v>90000000</v>
      </c>
      <c r="G15" s="61" t="s">
        <v>146</v>
      </c>
    </row>
    <row r="16" customFormat="false" ht="15" hidden="false" customHeight="true" outlineLevel="0" collapsed="false">
      <c r="B16" s="37" t="s">
        <v>147</v>
      </c>
      <c r="C16" s="62" t="n">
        <v>20000000</v>
      </c>
      <c r="D16" s="62" t="n">
        <v>50000000</v>
      </c>
      <c r="E16" s="62" t="n">
        <v>80000000</v>
      </c>
      <c r="F16" s="62" t="n">
        <v>120000000</v>
      </c>
      <c r="G16" s="39" t="s">
        <v>148</v>
      </c>
    </row>
    <row r="17" customFormat="false" ht="15.75" hidden="false" customHeight="true" outlineLevel="0" collapsed="false">
      <c r="B17" s="63" t="s">
        <v>149</v>
      </c>
      <c r="C17" s="64" t="n">
        <f aca="false">SUM(C13:C16)</f>
        <v>122000000</v>
      </c>
      <c r="D17" s="64" t="n">
        <f aca="false">SUM(D13:D16)</f>
        <v>290000000</v>
      </c>
      <c r="E17" s="64" t="n">
        <f aca="false">SUM(E13:E16)</f>
        <v>535000000</v>
      </c>
      <c r="F17" s="64" t="n">
        <f aca="false">SUM(F13:F16)</f>
        <v>990000000</v>
      </c>
      <c r="G17" s="65"/>
    </row>
    <row r="19" customFormat="false" ht="15.75" hidden="false" customHeight="true" outlineLevel="0" collapsed="false">
      <c r="B19" s="58" t="s">
        <v>150</v>
      </c>
      <c r="C19" s="58"/>
      <c r="D19" s="58"/>
      <c r="E19" s="58"/>
      <c r="F19" s="58"/>
      <c r="G19" s="58"/>
    </row>
    <row r="20" customFormat="false" ht="15" hidden="false" customHeight="true" outlineLevel="0" collapsed="false">
      <c r="B20" s="59" t="s">
        <v>151</v>
      </c>
      <c r="C20" s="60" t="n">
        <v>45000000</v>
      </c>
      <c r="D20" s="60" t="n">
        <v>130000000</v>
      </c>
      <c r="E20" s="60" t="n">
        <v>250000000</v>
      </c>
      <c r="F20" s="60" t="n">
        <v>480000000</v>
      </c>
      <c r="G20" s="61" t="s">
        <v>152</v>
      </c>
    </row>
    <row r="21" customFormat="false" ht="15" hidden="false" customHeight="true" outlineLevel="0" collapsed="false">
      <c r="B21" s="37" t="s">
        <v>153</v>
      </c>
      <c r="C21" s="62" t="n">
        <v>20000000</v>
      </c>
      <c r="D21" s="62" t="n">
        <v>55000000</v>
      </c>
      <c r="E21" s="62" t="n">
        <v>110000000</v>
      </c>
      <c r="F21" s="62" t="n">
        <v>220000000</v>
      </c>
      <c r="G21" s="39" t="s">
        <v>154</v>
      </c>
    </row>
    <row r="22" customFormat="false" ht="15" hidden="false" customHeight="true" outlineLevel="0" collapsed="false">
      <c r="B22" s="59" t="s">
        <v>155</v>
      </c>
      <c r="C22" s="60" t="n">
        <v>15000000</v>
      </c>
      <c r="D22" s="60" t="n">
        <v>40000000</v>
      </c>
      <c r="E22" s="60" t="n">
        <v>80000000</v>
      </c>
      <c r="F22" s="60" t="n">
        <v>160000000</v>
      </c>
      <c r="G22" s="61" t="s">
        <v>156</v>
      </c>
    </row>
    <row r="23" customFormat="false" ht="15" hidden="false" customHeight="true" outlineLevel="0" collapsed="false">
      <c r="B23" s="37" t="s">
        <v>157</v>
      </c>
      <c r="C23" s="62" t="n">
        <v>10000000</v>
      </c>
      <c r="D23" s="62" t="n">
        <v>30000000</v>
      </c>
      <c r="E23" s="62" t="n">
        <v>60000000</v>
      </c>
      <c r="F23" s="62" t="n">
        <v>100000000</v>
      </c>
      <c r="G23" s="39" t="s">
        <v>158</v>
      </c>
    </row>
    <row r="24" customFormat="false" ht="15.75" hidden="false" customHeight="true" outlineLevel="0" collapsed="false">
      <c r="B24" s="63" t="s">
        <v>159</v>
      </c>
      <c r="C24" s="64" t="n">
        <f aca="false">SUM(C20:C23)</f>
        <v>90000000</v>
      </c>
      <c r="D24" s="64" t="n">
        <f aca="false">SUM(D20:D23)</f>
        <v>255000000</v>
      </c>
      <c r="E24" s="64" t="n">
        <f aca="false">SUM(E20:E23)</f>
        <v>500000000</v>
      </c>
      <c r="F24" s="64" t="n">
        <f aca="false">SUM(F20:F23)</f>
        <v>960000000</v>
      </c>
      <c r="G24" s="65"/>
    </row>
    <row r="26" customFormat="false" ht="15.75" hidden="false" customHeight="true" outlineLevel="0" collapsed="false">
      <c r="B26" s="58" t="s">
        <v>160</v>
      </c>
      <c r="C26" s="58"/>
      <c r="D26" s="58"/>
      <c r="E26" s="58"/>
      <c r="F26" s="58"/>
      <c r="G26" s="58"/>
    </row>
    <row r="27" customFormat="false" ht="15" hidden="false" customHeight="true" outlineLevel="0" collapsed="false">
      <c r="B27" s="59" t="s">
        <v>161</v>
      </c>
      <c r="C27" s="60" t="n">
        <v>55000000</v>
      </c>
      <c r="D27" s="60" t="n">
        <v>150000000</v>
      </c>
      <c r="E27" s="60" t="n">
        <v>280000000</v>
      </c>
      <c r="F27" s="60" t="n">
        <v>500000000</v>
      </c>
      <c r="G27" s="61" t="s">
        <v>162</v>
      </c>
    </row>
    <row r="28" customFormat="false" ht="15" hidden="false" customHeight="true" outlineLevel="0" collapsed="false">
      <c r="B28" s="37" t="s">
        <v>163</v>
      </c>
      <c r="C28" s="62" t="n">
        <v>18000000</v>
      </c>
      <c r="D28" s="62" t="n">
        <v>50000000</v>
      </c>
      <c r="E28" s="62" t="n">
        <v>95000000</v>
      </c>
      <c r="F28" s="62" t="n">
        <v>180000000</v>
      </c>
      <c r="G28" s="39" t="s">
        <v>164</v>
      </c>
    </row>
    <row r="29" customFormat="false" ht="15" hidden="false" customHeight="true" outlineLevel="0" collapsed="false">
      <c r="B29" s="59" t="s">
        <v>165</v>
      </c>
      <c r="C29" s="60" t="n">
        <v>22000000</v>
      </c>
      <c r="D29" s="60" t="n">
        <v>60000000</v>
      </c>
      <c r="E29" s="60" t="n">
        <v>110000000</v>
      </c>
      <c r="F29" s="60" t="n">
        <v>200000000</v>
      </c>
      <c r="G29" s="61" t="s">
        <v>166</v>
      </c>
    </row>
    <row r="30" customFormat="false" ht="15" hidden="false" customHeight="true" outlineLevel="0" collapsed="false">
      <c r="B30" s="37" t="s">
        <v>167</v>
      </c>
      <c r="C30" s="62" t="n">
        <v>80000000</v>
      </c>
      <c r="D30" s="62" t="n">
        <v>160000000</v>
      </c>
      <c r="E30" s="62" t="n">
        <v>280000000</v>
      </c>
      <c r="F30" s="62" t="n">
        <v>420000000</v>
      </c>
      <c r="G30" s="39" t="s">
        <v>168</v>
      </c>
    </row>
    <row r="31" customFormat="false" ht="15" hidden="false" customHeight="true" outlineLevel="0" collapsed="false">
      <c r="B31" s="59" t="s">
        <v>169</v>
      </c>
      <c r="C31" s="60" t="n">
        <v>8000000</v>
      </c>
      <c r="D31" s="60" t="n">
        <v>20000000</v>
      </c>
      <c r="E31" s="60" t="n">
        <v>35000000</v>
      </c>
      <c r="F31" s="60" t="n">
        <v>55000000</v>
      </c>
      <c r="G31" s="61" t="s">
        <v>170</v>
      </c>
    </row>
    <row r="32" customFormat="false" ht="15.75" hidden="false" customHeight="true" outlineLevel="0" collapsed="false">
      <c r="B32" s="63" t="s">
        <v>171</v>
      </c>
      <c r="C32" s="64" t="n">
        <f aca="false">SUM(C27:C31)</f>
        <v>183000000</v>
      </c>
      <c r="D32" s="64" t="n">
        <f aca="false">SUM(D27:D31)</f>
        <v>440000000</v>
      </c>
      <c r="E32" s="64" t="n">
        <f aca="false">SUM(E27:E31)</f>
        <v>800000000</v>
      </c>
      <c r="F32" s="64" t="n">
        <f aca="false">SUM(F27:F31)</f>
        <v>1355000000</v>
      </c>
      <c r="G32" s="65"/>
    </row>
    <row r="34" customFormat="false" ht="15.75" hidden="false" customHeight="true" outlineLevel="0" collapsed="false">
      <c r="B34" s="58" t="s">
        <v>172</v>
      </c>
      <c r="C34" s="58"/>
      <c r="D34" s="58"/>
      <c r="E34" s="58"/>
      <c r="F34" s="58"/>
      <c r="G34" s="58"/>
    </row>
    <row r="35" customFormat="false" ht="15" hidden="false" customHeight="true" outlineLevel="0" collapsed="false">
      <c r="B35" s="59" t="s">
        <v>173</v>
      </c>
      <c r="C35" s="60" t="n">
        <v>30000000</v>
      </c>
      <c r="D35" s="60" t="n">
        <v>60000000</v>
      </c>
      <c r="E35" s="60" t="n">
        <v>100000000</v>
      </c>
      <c r="F35" s="60" t="n">
        <v>150000000</v>
      </c>
      <c r="G35" s="61" t="s">
        <v>174</v>
      </c>
    </row>
    <row r="36" customFormat="false" ht="15" hidden="false" customHeight="true" outlineLevel="0" collapsed="false">
      <c r="B36" s="37" t="s">
        <v>175</v>
      </c>
      <c r="C36" s="62" t="n">
        <v>45000000</v>
      </c>
      <c r="D36" s="62" t="n">
        <v>90000000</v>
      </c>
      <c r="E36" s="62" t="n">
        <v>150000000</v>
      </c>
      <c r="F36" s="62" t="n">
        <v>240000000</v>
      </c>
      <c r="G36" s="39" t="s">
        <v>176</v>
      </c>
    </row>
    <row r="37" customFormat="false" ht="15" hidden="false" customHeight="true" outlineLevel="0" collapsed="false">
      <c r="B37" s="59" t="s">
        <v>177</v>
      </c>
      <c r="C37" s="60" t="n">
        <v>15000000</v>
      </c>
      <c r="D37" s="60" t="n">
        <v>35000000</v>
      </c>
      <c r="E37" s="60" t="n">
        <v>60000000</v>
      </c>
      <c r="F37" s="60" t="n">
        <v>95000000</v>
      </c>
      <c r="G37" s="61" t="s">
        <v>178</v>
      </c>
    </row>
    <row r="38" customFormat="false" ht="15" hidden="false" customHeight="true" outlineLevel="0" collapsed="false">
      <c r="B38" s="37" t="s">
        <v>179</v>
      </c>
      <c r="C38" s="62" t="n">
        <v>25000000</v>
      </c>
      <c r="D38" s="62" t="n">
        <v>55000000</v>
      </c>
      <c r="E38" s="62" t="n">
        <v>90000000</v>
      </c>
      <c r="F38" s="62" t="n">
        <v>130000000</v>
      </c>
      <c r="G38" s="39" t="s">
        <v>180</v>
      </c>
    </row>
    <row r="39" customFormat="false" ht="15" hidden="false" customHeight="true" outlineLevel="0" collapsed="false">
      <c r="B39" s="59" t="s">
        <v>181</v>
      </c>
      <c r="C39" s="60" t="n">
        <v>80000000</v>
      </c>
      <c r="D39" s="60" t="n">
        <v>180000000</v>
      </c>
      <c r="E39" s="60" t="n">
        <v>300000000</v>
      </c>
      <c r="F39" s="60" t="n">
        <v>450000000</v>
      </c>
      <c r="G39" s="61" t="s">
        <v>182</v>
      </c>
    </row>
    <row r="40" customFormat="false" ht="15.75" hidden="false" customHeight="true" outlineLevel="0" collapsed="false">
      <c r="B40" s="63" t="s">
        <v>183</v>
      </c>
      <c r="C40" s="64" t="n">
        <f aca="false">SUM(C35:C39)</f>
        <v>195000000</v>
      </c>
      <c r="D40" s="64" t="n">
        <f aca="false">SUM(D35:D39)</f>
        <v>420000000</v>
      </c>
      <c r="E40" s="64" t="n">
        <f aca="false">SUM(E35:E39)</f>
        <v>700000000</v>
      </c>
      <c r="F40" s="64" t="n">
        <f aca="false">SUM(F35:F39)</f>
        <v>1065000000</v>
      </c>
      <c r="G40" s="65"/>
    </row>
    <row r="42" customFormat="false" ht="21.75" hidden="false" customHeight="true" outlineLevel="0" collapsed="false">
      <c r="B42" s="66" t="s">
        <v>184</v>
      </c>
      <c r="C42" s="67" t="n">
        <v>975000000</v>
      </c>
      <c r="D42" s="67" t="n">
        <v>1948000000</v>
      </c>
      <c r="E42" s="67" t="n">
        <v>3523000000</v>
      </c>
      <c r="F42" s="67" t="n">
        <v>5463000000</v>
      </c>
      <c r="G42" s="68" t="s">
        <v>185</v>
      </c>
    </row>
  </sheetData>
  <mergeCells count="7">
    <mergeCell ref="B1:G1"/>
    <mergeCell ref="B2:G2"/>
    <mergeCell ref="B5:G5"/>
    <mergeCell ref="B12:G12"/>
    <mergeCell ref="B19:G19"/>
    <mergeCell ref="B26:G26"/>
    <mergeCell ref="B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8" min="3" style="1" width="18"/>
    <col collapsed="false" customWidth="true" hidden="false" outlineLevel="0" max="9" min="9" style="1" width="3"/>
  </cols>
  <sheetData>
    <row r="1" customFormat="false" ht="21.75" hidden="false" customHeight="true" outlineLevel="0" collapsed="false">
      <c r="B1" s="32" t="s">
        <v>186</v>
      </c>
      <c r="C1" s="32"/>
      <c r="D1" s="32"/>
      <c r="E1" s="32"/>
      <c r="F1" s="32"/>
      <c r="G1" s="32"/>
      <c r="H1" s="32"/>
    </row>
    <row r="2" customFormat="false" ht="18" hidden="false" customHeight="true" outlineLevel="0" collapsed="false">
      <c r="B2" s="33" t="s">
        <v>187</v>
      </c>
      <c r="C2" s="33"/>
      <c r="D2" s="33"/>
      <c r="E2" s="33"/>
      <c r="F2" s="33"/>
      <c r="G2" s="33"/>
      <c r="H2" s="33"/>
    </row>
    <row r="3" customFormat="false" ht="7.5" hidden="false" customHeight="true" outlineLevel="0" collapsed="false"/>
    <row r="4" customFormat="false" ht="15.75" hidden="false" customHeight="true" outlineLevel="0" collapsed="false">
      <c r="B4" s="69" t="s">
        <v>188</v>
      </c>
      <c r="C4" s="21" t="s">
        <v>189</v>
      </c>
      <c r="D4" s="21" t="s">
        <v>190</v>
      </c>
      <c r="E4" s="21" t="s">
        <v>191</v>
      </c>
      <c r="F4" s="21" t="s">
        <v>192</v>
      </c>
      <c r="G4" s="21" t="s">
        <v>193</v>
      </c>
      <c r="H4" s="21" t="s">
        <v>194</v>
      </c>
    </row>
    <row r="5" customFormat="false" ht="15.75" hidden="false" customHeight="true" outlineLevel="0" collapsed="false">
      <c r="B5" s="51" t="s">
        <v>195</v>
      </c>
      <c r="C5" s="51"/>
      <c r="D5" s="51"/>
      <c r="E5" s="51"/>
      <c r="F5" s="51"/>
      <c r="G5" s="51"/>
      <c r="H5" s="51"/>
    </row>
    <row r="6" customFormat="false" ht="15" hidden="false" customHeight="true" outlineLevel="0" collapsed="false">
      <c r="B6" s="37" t="s">
        <v>196</v>
      </c>
      <c r="C6" s="70" t="s">
        <v>85</v>
      </c>
      <c r="D6" s="26" t="n">
        <v>390000000</v>
      </c>
      <c r="E6" s="26" t="n">
        <v>850000000</v>
      </c>
      <c r="F6" s="26" t="n">
        <v>1400000000</v>
      </c>
      <c r="G6" s="26" t="n">
        <v>1800000000</v>
      </c>
      <c r="H6" s="26" t="n">
        <v>2040000000</v>
      </c>
    </row>
    <row r="7" customFormat="false" ht="15" hidden="false" customHeight="true" outlineLevel="0" collapsed="false">
      <c r="B7" s="37" t="s">
        <v>197</v>
      </c>
      <c r="C7" s="70" t="s">
        <v>85</v>
      </c>
      <c r="D7" s="26" t="n">
        <v>122000000</v>
      </c>
      <c r="E7" s="26" t="n">
        <v>290000000</v>
      </c>
      <c r="F7" s="26" t="n">
        <v>535000000</v>
      </c>
      <c r="G7" s="26" t="n">
        <v>720000000</v>
      </c>
      <c r="H7" s="26" t="n">
        <v>990000000</v>
      </c>
    </row>
    <row r="8" customFormat="false" ht="15" hidden="false" customHeight="true" outlineLevel="0" collapsed="false">
      <c r="B8" s="37" t="s">
        <v>198</v>
      </c>
      <c r="C8" s="70" t="s">
        <v>85</v>
      </c>
      <c r="D8" s="26" t="n">
        <v>90000000</v>
      </c>
      <c r="E8" s="26" t="n">
        <v>230000000</v>
      </c>
      <c r="F8" s="26" t="n">
        <v>450000000</v>
      </c>
      <c r="G8" s="26" t="n">
        <v>680000000</v>
      </c>
      <c r="H8" s="26" t="n">
        <v>960000000</v>
      </c>
    </row>
    <row r="9" customFormat="false" ht="15" hidden="false" customHeight="true" outlineLevel="0" collapsed="false">
      <c r="B9" s="37" t="s">
        <v>199</v>
      </c>
      <c r="C9" s="70" t="s">
        <v>85</v>
      </c>
      <c r="D9" s="26" t="n">
        <v>183000000</v>
      </c>
      <c r="E9" s="26" t="n">
        <v>440000000</v>
      </c>
      <c r="F9" s="26" t="n">
        <v>770000000</v>
      </c>
      <c r="G9" s="26" t="n">
        <v>1100000000</v>
      </c>
      <c r="H9" s="26" t="n">
        <v>1355000000</v>
      </c>
    </row>
    <row r="10" customFormat="false" ht="15" hidden="false" customHeight="true" outlineLevel="0" collapsed="false">
      <c r="B10" s="37" t="s">
        <v>200</v>
      </c>
      <c r="C10" s="70" t="s">
        <v>85</v>
      </c>
      <c r="D10" s="26" t="n">
        <v>195000000</v>
      </c>
      <c r="E10" s="26" t="n">
        <v>420000000</v>
      </c>
      <c r="F10" s="26" t="n">
        <v>700000000</v>
      </c>
      <c r="G10" s="26" t="n">
        <v>900000000</v>
      </c>
      <c r="H10" s="26" t="n">
        <v>1065000000</v>
      </c>
    </row>
    <row r="11" customFormat="false" ht="18" hidden="false" customHeight="true" outlineLevel="0" collapsed="false">
      <c r="B11" s="66" t="s">
        <v>201</v>
      </c>
      <c r="C11" s="71" t="s">
        <v>85</v>
      </c>
      <c r="D11" s="71" t="n">
        <v>980000000</v>
      </c>
      <c r="E11" s="71" t="n">
        <v>2230000000</v>
      </c>
      <c r="F11" s="71" t="n">
        <v>3855000000</v>
      </c>
      <c r="G11" s="71" t="n">
        <v>5200000000</v>
      </c>
      <c r="H11" s="71" t="n">
        <v>6410000000</v>
      </c>
    </row>
    <row r="13" customFormat="false" ht="15.75" hidden="false" customHeight="true" outlineLevel="0" collapsed="false">
      <c r="B13" s="51" t="s">
        <v>202</v>
      </c>
      <c r="C13" s="51"/>
      <c r="D13" s="51"/>
      <c r="E13" s="51"/>
      <c r="F13" s="51"/>
      <c r="G13" s="51"/>
      <c r="H13" s="51"/>
    </row>
    <row r="14" customFormat="false" ht="15" hidden="false" customHeight="true" outlineLevel="0" collapsed="false">
      <c r="B14" s="37" t="s">
        <v>203</v>
      </c>
      <c r="C14" s="70" t="s">
        <v>85</v>
      </c>
      <c r="D14" s="26" t="n">
        <v>11325000</v>
      </c>
      <c r="E14" s="70" t="s">
        <v>85</v>
      </c>
      <c r="F14" s="70" t="s">
        <v>85</v>
      </c>
      <c r="G14" s="70" t="s">
        <v>85</v>
      </c>
      <c r="H14" s="70" t="s">
        <v>85</v>
      </c>
    </row>
    <row r="15" customFormat="false" ht="15" hidden="false" customHeight="true" outlineLevel="0" collapsed="false">
      <c r="B15" s="37" t="s">
        <v>204</v>
      </c>
      <c r="C15" s="70" t="s">
        <v>85</v>
      </c>
      <c r="D15" s="70" t="s">
        <v>85</v>
      </c>
      <c r="E15" s="26" t="n">
        <v>1800000</v>
      </c>
      <c r="F15" s="26" t="n">
        <v>1800000</v>
      </c>
      <c r="G15" s="26" t="n">
        <v>1800000</v>
      </c>
      <c r="H15" s="26" t="n">
        <v>1800000</v>
      </c>
    </row>
    <row r="16" customFormat="false" ht="15" hidden="false" customHeight="true" outlineLevel="0" collapsed="false">
      <c r="B16" s="37" t="s">
        <v>205</v>
      </c>
      <c r="C16" s="70" t="s">
        <v>85</v>
      </c>
      <c r="D16" s="26" t="n">
        <v>500000</v>
      </c>
      <c r="E16" s="26" t="n">
        <v>500000</v>
      </c>
      <c r="F16" s="26" t="n">
        <v>500000</v>
      </c>
      <c r="G16" s="26" t="n">
        <v>500000</v>
      </c>
      <c r="H16" s="26" t="n">
        <v>500000</v>
      </c>
    </row>
    <row r="17" customFormat="false" ht="18" hidden="false" customHeight="true" outlineLevel="0" collapsed="false">
      <c r="B17" s="54" t="s">
        <v>206</v>
      </c>
      <c r="C17" s="72" t="s">
        <v>85</v>
      </c>
      <c r="D17" s="72" t="n">
        <v>11825000</v>
      </c>
      <c r="E17" s="72" t="n">
        <v>2300000</v>
      </c>
      <c r="F17" s="72" t="n">
        <v>2300000</v>
      </c>
      <c r="G17" s="72" t="n">
        <v>2300000</v>
      </c>
      <c r="H17" s="72" t="n">
        <v>2300000</v>
      </c>
    </row>
    <row r="19" customFormat="false" ht="15.75" hidden="false" customHeight="true" outlineLevel="0" collapsed="false">
      <c r="B19" s="51" t="s">
        <v>207</v>
      </c>
      <c r="C19" s="51"/>
      <c r="D19" s="51"/>
      <c r="E19" s="51"/>
      <c r="F19" s="51"/>
      <c r="G19" s="51"/>
      <c r="H19" s="51"/>
    </row>
    <row r="20" customFormat="false" ht="15" hidden="false" customHeight="true" outlineLevel="0" collapsed="false">
      <c r="B20" s="73" t="s">
        <v>208</v>
      </c>
      <c r="C20" s="70" t="s">
        <v>85</v>
      </c>
      <c r="D20" s="74" t="n">
        <f aca="false">D12-D18</f>
        <v>0</v>
      </c>
      <c r="E20" s="74" t="n">
        <f aca="false">E12-E18</f>
        <v>0</v>
      </c>
      <c r="F20" s="74" t="n">
        <f aca="false">F12-F18</f>
        <v>0</v>
      </c>
      <c r="G20" s="74" t="n">
        <f aca="false">G12-G18</f>
        <v>0</v>
      </c>
      <c r="H20" s="74" t="n">
        <f aca="false">H12-H18</f>
        <v>0</v>
      </c>
    </row>
    <row r="21" customFormat="false" ht="15" hidden="false" customHeight="true" outlineLevel="0" collapsed="false">
      <c r="B21" s="37" t="s">
        <v>209</v>
      </c>
      <c r="C21" s="70" t="s">
        <v>85</v>
      </c>
      <c r="D21" s="38" t="n">
        <f aca="false">D20</f>
        <v>0</v>
      </c>
      <c r="E21" s="38" t="n">
        <f aca="false">D21+E20</f>
        <v>0</v>
      </c>
      <c r="F21" s="38" t="n">
        <f aca="false">E21+F20</f>
        <v>0</v>
      </c>
      <c r="G21" s="38" t="n">
        <f aca="false">F21+G20</f>
        <v>0</v>
      </c>
      <c r="H21" s="38" t="n">
        <f aca="false">G21+H20</f>
        <v>0</v>
      </c>
    </row>
    <row r="22" customFormat="false" ht="15" hidden="false" customHeight="true" outlineLevel="0" collapsed="false">
      <c r="B22" s="37" t="s">
        <v>210</v>
      </c>
      <c r="C22" s="75" t="s">
        <v>85</v>
      </c>
      <c r="D22" s="76" t="s">
        <v>211</v>
      </c>
      <c r="E22" s="77" t="n">
        <f aca="false">D12/11325000</f>
        <v>0</v>
      </c>
      <c r="F22" s="77" t="n">
        <f aca="false">E12/11325000</f>
        <v>0</v>
      </c>
      <c r="G22" s="77" t="n">
        <f aca="false">F12/11325000</f>
        <v>0</v>
      </c>
      <c r="H22" s="77" t="n">
        <f aca="false">G12/11325000</f>
        <v>0</v>
      </c>
    </row>
    <row r="23" customFormat="false" ht="21.75" hidden="false" customHeight="true" outlineLevel="0" collapsed="false">
      <c r="B23" s="78" t="s">
        <v>8</v>
      </c>
      <c r="C23" s="79" t="s">
        <v>85</v>
      </c>
      <c r="D23" s="80" t="s">
        <v>212</v>
      </c>
      <c r="E23" s="79" t="s">
        <v>85</v>
      </c>
      <c r="F23" s="79" t="s">
        <v>85</v>
      </c>
      <c r="G23" s="79" t="s">
        <v>85</v>
      </c>
      <c r="H23" s="79" t="s">
        <v>85</v>
      </c>
    </row>
    <row r="26" customFormat="false" ht="18" hidden="false" customHeight="true" outlineLevel="0" collapsed="false">
      <c r="B26" s="81" t="s">
        <v>213</v>
      </c>
      <c r="C26" s="81"/>
      <c r="D26" s="81"/>
      <c r="E26" s="81"/>
      <c r="F26" s="81"/>
      <c r="G26" s="81"/>
      <c r="H26" s="81"/>
    </row>
    <row r="27" customFormat="false" ht="15.75" hidden="false" customHeight="true" outlineLevel="0" collapsed="false">
      <c r="B27" s="82" t="s">
        <v>214</v>
      </c>
      <c r="C27" s="83" t="n">
        <v>19675000000</v>
      </c>
      <c r="D27" s="84"/>
      <c r="E27" s="84"/>
      <c r="F27" s="84"/>
      <c r="G27" s="84"/>
      <c r="H27" s="84"/>
    </row>
    <row r="28" customFormat="false" ht="15.75" hidden="false" customHeight="true" outlineLevel="0" collapsed="false">
      <c r="B28" s="85" t="s">
        <v>215</v>
      </c>
      <c r="C28" s="86" t="n">
        <v>21025000</v>
      </c>
      <c r="D28" s="27"/>
      <c r="E28" s="27"/>
      <c r="F28" s="27"/>
      <c r="G28" s="27"/>
      <c r="H28" s="27"/>
    </row>
    <row r="29" customFormat="false" ht="15.75" hidden="false" customHeight="true" outlineLevel="0" collapsed="false">
      <c r="B29" s="82" t="s">
        <v>216</v>
      </c>
      <c r="C29" s="83" t="n">
        <v>19653975000</v>
      </c>
      <c r="D29" s="84"/>
      <c r="E29" s="84"/>
      <c r="F29" s="84"/>
      <c r="G29" s="84"/>
      <c r="H29" s="84"/>
    </row>
    <row r="30" customFormat="false" ht="15.75" hidden="false" customHeight="true" outlineLevel="0" collapsed="false">
      <c r="B30" s="85" t="s">
        <v>217</v>
      </c>
      <c r="C30" s="87" t="s">
        <v>218</v>
      </c>
      <c r="D30" s="27"/>
      <c r="E30" s="27"/>
      <c r="F30" s="27"/>
      <c r="G30" s="27"/>
      <c r="H30" s="27"/>
    </row>
    <row r="31" customFormat="false" ht="15.75" hidden="false" customHeight="true" outlineLevel="0" collapsed="false">
      <c r="B31" s="82" t="s">
        <v>8</v>
      </c>
      <c r="C31" s="88" t="s">
        <v>219</v>
      </c>
      <c r="D31" s="84"/>
      <c r="E31" s="84"/>
      <c r="F31" s="84"/>
      <c r="G31" s="84"/>
      <c r="H31" s="84"/>
    </row>
    <row r="32" customFormat="false" ht="15.75" hidden="false" customHeight="true" outlineLevel="0" collapsed="false">
      <c r="B32" s="85" t="s">
        <v>220</v>
      </c>
      <c r="C32" s="87" t="s">
        <v>221</v>
      </c>
      <c r="D32" s="27"/>
      <c r="E32" s="27"/>
      <c r="F32" s="27"/>
      <c r="G32" s="27"/>
      <c r="H32" s="27"/>
    </row>
  </sheetData>
  <mergeCells count="6">
    <mergeCell ref="B1:H1"/>
    <mergeCell ref="B2:H2"/>
    <mergeCell ref="B5:H5"/>
    <mergeCell ref="B13:H13"/>
    <mergeCell ref="B19:H19"/>
    <mergeCell ref="B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20"/>
    <col collapsed="false" customWidth="true" hidden="false" outlineLevel="0" max="4" min="4" style="1" width="28"/>
    <col collapsed="false" customWidth="true" hidden="false" outlineLevel="0" max="5" min="5" style="1" width="3"/>
  </cols>
  <sheetData>
    <row r="1" customFormat="false" ht="21.75" hidden="false" customHeight="true" outlineLevel="0" collapsed="false">
      <c r="B1" s="32" t="s">
        <v>222</v>
      </c>
      <c r="C1" s="32"/>
      <c r="D1" s="32"/>
    </row>
    <row r="2" customFormat="false" ht="15.75" hidden="false" customHeight="true" outlineLevel="0" collapsed="false">
      <c r="B2" s="89" t="s">
        <v>223</v>
      </c>
      <c r="C2" s="89"/>
      <c r="D2" s="89"/>
    </row>
    <row r="3" customFormat="false" ht="7.5" hidden="false" customHeight="true" outlineLevel="0" collapsed="false"/>
    <row r="4" customFormat="false" ht="15.75" hidden="false" customHeight="true" outlineLevel="0" collapsed="false">
      <c r="B4" s="51" t="s">
        <v>224</v>
      </c>
      <c r="C4" s="51"/>
      <c r="D4" s="51"/>
    </row>
    <row r="5" customFormat="false" ht="15.75" hidden="false" customHeight="true" outlineLevel="0" collapsed="false">
      <c r="B5" s="90" t="s">
        <v>225</v>
      </c>
      <c r="C5" s="91" t="n">
        <v>15.5</v>
      </c>
      <c r="D5" s="92" t="s">
        <v>226</v>
      </c>
    </row>
    <row r="6" customFormat="false" ht="15.75" hidden="false" customHeight="true" outlineLevel="0" collapsed="false">
      <c r="B6" s="37" t="s">
        <v>227</v>
      </c>
      <c r="C6" s="93" t="n">
        <v>0.2</v>
      </c>
      <c r="D6" s="39" t="s">
        <v>228</v>
      </c>
    </row>
    <row r="7" customFormat="false" ht="15.75" hidden="false" customHeight="true" outlineLevel="0" collapsed="false">
      <c r="B7" s="90" t="s">
        <v>229</v>
      </c>
      <c r="C7" s="94" t="n">
        <v>2350</v>
      </c>
      <c r="D7" s="92" t="s">
        <v>230</v>
      </c>
    </row>
    <row r="8" customFormat="false" ht="15.75" hidden="false" customHeight="true" outlineLevel="0" collapsed="false">
      <c r="B8" s="37" t="s">
        <v>231</v>
      </c>
      <c r="C8" s="93" t="n">
        <v>0.03</v>
      </c>
      <c r="D8" s="39" t="s">
        <v>232</v>
      </c>
    </row>
    <row r="9" customFormat="false" ht="15.75" hidden="false" customHeight="true" outlineLevel="0" collapsed="false">
      <c r="B9" s="90" t="s">
        <v>233</v>
      </c>
      <c r="C9" s="95" t="n">
        <v>0.08</v>
      </c>
      <c r="D9" s="92" t="s">
        <v>234</v>
      </c>
    </row>
    <row r="11" customFormat="false" ht="15.75" hidden="false" customHeight="true" outlineLevel="0" collapsed="false">
      <c r="B11" s="51" t="s">
        <v>235</v>
      </c>
      <c r="C11" s="51"/>
      <c r="D11" s="51"/>
    </row>
    <row r="12" customFormat="false" ht="15.75" hidden="false" customHeight="true" outlineLevel="0" collapsed="false">
      <c r="B12" s="90" t="s">
        <v>236</v>
      </c>
      <c r="C12" s="91" t="n">
        <v>60</v>
      </c>
      <c r="D12" s="92" t="s">
        <v>237</v>
      </c>
    </row>
    <row r="13" customFormat="false" ht="15.75" hidden="false" customHeight="true" outlineLevel="0" collapsed="false">
      <c r="B13" s="37" t="s">
        <v>238</v>
      </c>
      <c r="C13" s="96" t="n">
        <v>60</v>
      </c>
      <c r="D13" s="39" t="s">
        <v>239</v>
      </c>
    </row>
    <row r="14" customFormat="false" ht="15.75" hidden="false" customHeight="true" outlineLevel="0" collapsed="false">
      <c r="B14" s="90" t="s">
        <v>240</v>
      </c>
      <c r="C14" s="94" t="n">
        <v>75600</v>
      </c>
      <c r="D14" s="92" t="s">
        <v>241</v>
      </c>
    </row>
    <row r="15" customFormat="false" ht="15.75" hidden="false" customHeight="true" outlineLevel="0" collapsed="false">
      <c r="B15" s="37" t="s">
        <v>242</v>
      </c>
      <c r="C15" s="97" t="n">
        <v>2300000000</v>
      </c>
      <c r="D15" s="39" t="s">
        <v>243</v>
      </c>
    </row>
    <row r="16" customFormat="false" ht="15.75" hidden="false" customHeight="true" outlineLevel="0" collapsed="false">
      <c r="B16" s="90" t="s">
        <v>244</v>
      </c>
      <c r="C16" s="95" t="n">
        <v>0.06</v>
      </c>
      <c r="D16" s="92" t="s">
        <v>245</v>
      </c>
    </row>
    <row r="18" customFormat="false" ht="15.75" hidden="false" customHeight="true" outlineLevel="0" collapsed="false">
      <c r="B18" s="51" t="s">
        <v>246</v>
      </c>
      <c r="C18" s="51"/>
      <c r="D18" s="51"/>
    </row>
    <row r="19" customFormat="false" ht="15.75" hidden="false" customHeight="true" outlineLevel="0" collapsed="false">
      <c r="B19" s="90" t="s">
        <v>247</v>
      </c>
      <c r="C19" s="95" t="n">
        <v>0.1</v>
      </c>
      <c r="D19" s="92" t="s">
        <v>248</v>
      </c>
    </row>
    <row r="20" customFormat="false" ht="15.75" hidden="false" customHeight="true" outlineLevel="0" collapsed="false">
      <c r="B20" s="37" t="s">
        <v>249</v>
      </c>
      <c r="C20" s="93" t="n">
        <v>0.22</v>
      </c>
      <c r="D20" s="39" t="s">
        <v>250</v>
      </c>
    </row>
    <row r="21" customFormat="false" ht="15.75" hidden="false" customHeight="true" outlineLevel="0" collapsed="false">
      <c r="B21" s="90" t="s">
        <v>251</v>
      </c>
      <c r="C21" s="95" t="n">
        <v>0.38</v>
      </c>
      <c r="D21" s="92" t="s">
        <v>252</v>
      </c>
    </row>
    <row r="22" customFormat="false" ht="15.75" hidden="false" customHeight="true" outlineLevel="0" collapsed="false">
      <c r="B22" s="37" t="s">
        <v>253</v>
      </c>
      <c r="C22" s="93" t="n">
        <v>0.52</v>
      </c>
      <c r="D22" s="39" t="s">
        <v>254</v>
      </c>
    </row>
    <row r="23" customFormat="false" ht="15.75" hidden="false" customHeight="true" outlineLevel="0" collapsed="false">
      <c r="B23" s="90" t="s">
        <v>255</v>
      </c>
      <c r="C23" s="95" t="n">
        <v>0.65</v>
      </c>
      <c r="D23" s="92" t="s">
        <v>256</v>
      </c>
    </row>
    <row r="25" customFormat="false" ht="15.75" hidden="false" customHeight="true" outlineLevel="0" collapsed="false">
      <c r="B25" s="51" t="s">
        <v>257</v>
      </c>
      <c r="C25" s="51"/>
      <c r="D25" s="51"/>
    </row>
    <row r="26" customFormat="false" ht="15.75" hidden="false" customHeight="true" outlineLevel="0" collapsed="false">
      <c r="B26" s="90" t="s">
        <v>258</v>
      </c>
      <c r="C26" s="95" t="n">
        <v>0.0075</v>
      </c>
      <c r="D26" s="92" t="s">
        <v>259</v>
      </c>
    </row>
    <row r="27" customFormat="false" ht="15.75" hidden="false" customHeight="true" outlineLevel="0" collapsed="false">
      <c r="B27" s="37" t="s">
        <v>260</v>
      </c>
      <c r="C27" s="93" t="n">
        <v>0.18</v>
      </c>
      <c r="D27" s="39" t="s">
        <v>261</v>
      </c>
    </row>
    <row r="28" customFormat="false" ht="15.75" hidden="false" customHeight="true" outlineLevel="0" collapsed="false">
      <c r="B28" s="90" t="s">
        <v>262</v>
      </c>
      <c r="C28" s="95" t="n">
        <v>0.08</v>
      </c>
      <c r="D28" s="92" t="s">
        <v>263</v>
      </c>
    </row>
    <row r="29" customFormat="false" ht="15.75" hidden="false" customHeight="true" outlineLevel="0" collapsed="false">
      <c r="B29" s="37" t="s">
        <v>264</v>
      </c>
      <c r="C29" s="93" t="n">
        <v>0.55</v>
      </c>
      <c r="D29" s="39" t="s">
        <v>265</v>
      </c>
    </row>
    <row r="30" customFormat="false" ht="15.75" hidden="false" customHeight="true" outlineLevel="0" collapsed="false">
      <c r="B30" s="90" t="s">
        <v>266</v>
      </c>
      <c r="C30" s="95" t="n">
        <v>0.05</v>
      </c>
      <c r="D30" s="92" t="s">
        <v>267</v>
      </c>
    </row>
    <row r="32" customFormat="false" ht="15.75" hidden="false" customHeight="true" outlineLevel="0" collapsed="false">
      <c r="B32" s="51" t="s">
        <v>268</v>
      </c>
      <c r="C32" s="51"/>
      <c r="D32" s="51"/>
    </row>
    <row r="33" customFormat="false" ht="15.75" hidden="false" customHeight="true" outlineLevel="0" collapsed="false">
      <c r="B33" s="90" t="s">
        <v>269</v>
      </c>
      <c r="C33" s="94" t="n">
        <v>11325000</v>
      </c>
      <c r="D33" s="92" t="s">
        <v>270</v>
      </c>
    </row>
    <row r="34" customFormat="false" ht="15.75" hidden="false" customHeight="true" outlineLevel="0" collapsed="false">
      <c r="B34" s="37" t="s">
        <v>271</v>
      </c>
      <c r="C34" s="97" t="n">
        <v>1800000</v>
      </c>
      <c r="D34" s="39" t="s">
        <v>272</v>
      </c>
    </row>
    <row r="35" customFormat="false" ht="15.75" hidden="false" customHeight="true" outlineLevel="0" collapsed="false">
      <c r="B35" s="90" t="s">
        <v>273</v>
      </c>
      <c r="C35" s="94" t="n">
        <v>500000</v>
      </c>
      <c r="D35" s="92" t="s">
        <v>274</v>
      </c>
    </row>
    <row r="36" customFormat="false" ht="15.75" hidden="false" customHeight="true" outlineLevel="0" collapsed="false">
      <c r="B36" s="37" t="s">
        <v>275</v>
      </c>
      <c r="C36" s="97" t="n">
        <v>1229250</v>
      </c>
      <c r="D36" s="39" t="s">
        <v>276</v>
      </c>
    </row>
  </sheetData>
  <mergeCells count="7">
    <mergeCell ref="B1:D1"/>
    <mergeCell ref="B2:D2"/>
    <mergeCell ref="B4:D4"/>
    <mergeCell ref="B11:D11"/>
    <mergeCell ref="B18:D18"/>
    <mergeCell ref="B25:D25"/>
    <mergeCell ref="B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5" min="3" style="1" width="20"/>
    <col collapsed="false" customWidth="true" hidden="false" outlineLevel="0" max="6" min="6" style="1" width="3"/>
  </cols>
  <sheetData>
    <row r="1" customFormat="false" ht="21.75" hidden="false" customHeight="true" outlineLevel="0" collapsed="false">
      <c r="B1" s="32" t="s">
        <v>277</v>
      </c>
      <c r="C1" s="32"/>
      <c r="D1" s="32"/>
      <c r="E1" s="32"/>
    </row>
    <row r="2" customFormat="false" ht="21.75" hidden="false" customHeight="true" outlineLevel="0" collapsed="false">
      <c r="B2" s="33" t="s">
        <v>278</v>
      </c>
      <c r="C2" s="33"/>
      <c r="D2" s="33"/>
      <c r="E2" s="33"/>
    </row>
    <row r="3" customFormat="false" ht="7.5" hidden="false" customHeight="true" outlineLevel="0" collapsed="false"/>
    <row r="4" customFormat="false" ht="15.75" hidden="false" customHeight="true" outlineLevel="0" collapsed="false">
      <c r="B4" s="21" t="s">
        <v>188</v>
      </c>
      <c r="C4" s="98" t="s">
        <v>279</v>
      </c>
      <c r="D4" s="69" t="s">
        <v>280</v>
      </c>
      <c r="E4" s="99" t="s">
        <v>281</v>
      </c>
    </row>
    <row r="5" customFormat="false" ht="15.75" hidden="false" customHeight="true" outlineLevel="0" collapsed="false">
      <c r="B5" s="51" t="s">
        <v>282</v>
      </c>
      <c r="C5" s="51"/>
      <c r="D5" s="51"/>
      <c r="E5" s="51"/>
    </row>
    <row r="6" customFormat="false" ht="15" hidden="false" customHeight="true" outlineLevel="0" collapsed="false">
      <c r="B6" s="37" t="s">
        <v>283</v>
      </c>
      <c r="C6" s="100" t="s">
        <v>284</v>
      </c>
      <c r="D6" s="101" t="s">
        <v>285</v>
      </c>
      <c r="E6" s="102" t="s">
        <v>286</v>
      </c>
    </row>
    <row r="7" customFormat="false" ht="15" hidden="false" customHeight="true" outlineLevel="0" collapsed="false">
      <c r="B7" s="35" t="s">
        <v>287</v>
      </c>
      <c r="C7" s="100" t="s">
        <v>288</v>
      </c>
      <c r="D7" s="101" t="s">
        <v>285</v>
      </c>
      <c r="E7" s="102" t="s">
        <v>289</v>
      </c>
    </row>
    <row r="8" customFormat="false" ht="15" hidden="false" customHeight="true" outlineLevel="0" collapsed="false">
      <c r="B8" s="37" t="s">
        <v>290</v>
      </c>
      <c r="C8" s="100" t="s">
        <v>291</v>
      </c>
      <c r="D8" s="101" t="s">
        <v>292</v>
      </c>
      <c r="E8" s="102" t="s">
        <v>293</v>
      </c>
    </row>
    <row r="9" customFormat="false" ht="15" hidden="false" customHeight="true" outlineLevel="0" collapsed="false">
      <c r="B9" s="35" t="s">
        <v>294</v>
      </c>
      <c r="C9" s="100" t="s">
        <v>295</v>
      </c>
      <c r="D9" s="101" t="s">
        <v>296</v>
      </c>
      <c r="E9" s="102" t="s">
        <v>297</v>
      </c>
    </row>
    <row r="10" customFormat="false" ht="7.5" hidden="false" customHeight="true" outlineLevel="0" collapsed="false"/>
    <row r="11" customFormat="false" ht="15.75" hidden="false" customHeight="true" outlineLevel="0" collapsed="false">
      <c r="B11" s="51" t="s">
        <v>298</v>
      </c>
      <c r="C11" s="51"/>
      <c r="D11" s="51"/>
      <c r="E11" s="51"/>
    </row>
    <row r="12" customFormat="false" ht="15" hidden="false" customHeight="true" outlineLevel="0" collapsed="false">
      <c r="B12" s="37" t="s">
        <v>299</v>
      </c>
      <c r="C12" s="100" t="s">
        <v>300</v>
      </c>
      <c r="D12" s="101" t="s">
        <v>301</v>
      </c>
      <c r="E12" s="102" t="s">
        <v>302</v>
      </c>
    </row>
    <row r="13" customFormat="false" ht="15" hidden="false" customHeight="true" outlineLevel="0" collapsed="false">
      <c r="B13" s="35" t="s">
        <v>303</v>
      </c>
      <c r="C13" s="100" t="s">
        <v>304</v>
      </c>
      <c r="D13" s="101" t="s">
        <v>305</v>
      </c>
      <c r="E13" s="102" t="s">
        <v>306</v>
      </c>
    </row>
    <row r="14" customFormat="false" ht="15" hidden="false" customHeight="true" outlineLevel="0" collapsed="false">
      <c r="B14" s="37" t="s">
        <v>307</v>
      </c>
      <c r="C14" s="100" t="s">
        <v>308</v>
      </c>
      <c r="D14" s="101" t="s">
        <v>309</v>
      </c>
      <c r="E14" s="102" t="s">
        <v>310</v>
      </c>
    </row>
    <row r="15" customFormat="false" ht="15" hidden="false" customHeight="true" outlineLevel="0" collapsed="false">
      <c r="B15" s="35" t="s">
        <v>311</v>
      </c>
      <c r="C15" s="100" t="s">
        <v>312</v>
      </c>
      <c r="D15" s="101" t="s">
        <v>313</v>
      </c>
      <c r="E15" s="102" t="s">
        <v>314</v>
      </c>
    </row>
    <row r="16" customFormat="false" ht="15" hidden="false" customHeight="true" outlineLevel="0" collapsed="false">
      <c r="B16" s="37" t="s">
        <v>315</v>
      </c>
      <c r="C16" s="100" t="s">
        <v>316</v>
      </c>
      <c r="D16" s="101" t="s">
        <v>317</v>
      </c>
      <c r="E16" s="102" t="s">
        <v>318</v>
      </c>
    </row>
    <row r="17" customFormat="false" ht="15" hidden="false" customHeight="true" outlineLevel="0" collapsed="false">
      <c r="B17" s="103" t="s">
        <v>319</v>
      </c>
      <c r="C17" s="104" t="s">
        <v>320</v>
      </c>
      <c r="D17" s="104" t="s">
        <v>321</v>
      </c>
      <c r="E17" s="104" t="s">
        <v>322</v>
      </c>
    </row>
    <row r="18" customFormat="false" ht="15" hidden="false" customHeight="true" outlineLevel="0" collapsed="false">
      <c r="B18" s="37" t="s">
        <v>323</v>
      </c>
      <c r="C18" s="100" t="s">
        <v>324</v>
      </c>
      <c r="D18" s="101" t="s">
        <v>324</v>
      </c>
      <c r="E18" s="102" t="s">
        <v>324</v>
      </c>
    </row>
    <row r="19" customFormat="false" ht="15" hidden="false" customHeight="true" outlineLevel="0" collapsed="false">
      <c r="B19" s="103" t="s">
        <v>325</v>
      </c>
      <c r="C19" s="104" t="s">
        <v>326</v>
      </c>
      <c r="D19" s="104" t="s">
        <v>327</v>
      </c>
      <c r="E19" s="104" t="s">
        <v>328</v>
      </c>
    </row>
    <row r="20" customFormat="false" ht="7.5" hidden="false" customHeight="true" outlineLevel="0" collapsed="false"/>
    <row r="21" customFormat="false" ht="15.75" hidden="false" customHeight="true" outlineLevel="0" collapsed="false">
      <c r="B21" s="51" t="s">
        <v>329</v>
      </c>
      <c r="C21" s="51"/>
      <c r="D21" s="51"/>
      <c r="E21" s="51"/>
    </row>
    <row r="22" customFormat="false" ht="15" hidden="false" customHeight="true" outlineLevel="0" collapsed="false">
      <c r="B22" s="103" t="s">
        <v>217</v>
      </c>
      <c r="C22" s="104" t="s">
        <v>330</v>
      </c>
      <c r="D22" s="104" t="s">
        <v>331</v>
      </c>
      <c r="E22" s="104" t="s">
        <v>332</v>
      </c>
    </row>
    <row r="23" customFormat="false" ht="15" hidden="false" customHeight="true" outlineLevel="0" collapsed="false">
      <c r="B23" s="35" t="s">
        <v>333</v>
      </c>
      <c r="C23" s="100" t="s">
        <v>334</v>
      </c>
      <c r="D23" s="101" t="s">
        <v>335</v>
      </c>
      <c r="E23" s="102" t="s">
        <v>336</v>
      </c>
    </row>
    <row r="24" customFormat="false" ht="15" hidden="false" customHeight="true" outlineLevel="0" collapsed="false">
      <c r="B24" s="37" t="s">
        <v>8</v>
      </c>
      <c r="C24" s="100" t="s">
        <v>337</v>
      </c>
      <c r="D24" s="101" t="s">
        <v>219</v>
      </c>
      <c r="E24" s="102" t="s">
        <v>338</v>
      </c>
    </row>
    <row r="25" customFormat="false" ht="15" hidden="false" customHeight="true" outlineLevel="0" collapsed="false">
      <c r="B25" s="35" t="s">
        <v>339</v>
      </c>
      <c r="C25" s="100" t="s">
        <v>340</v>
      </c>
      <c r="D25" s="101" t="s">
        <v>340</v>
      </c>
      <c r="E25" s="102" t="s">
        <v>340</v>
      </c>
    </row>
    <row r="26" customFormat="false" ht="15" hidden="false" customHeight="true" outlineLevel="0" collapsed="false">
      <c r="B26" s="37" t="s">
        <v>341</v>
      </c>
      <c r="C26" s="100" t="s">
        <v>342</v>
      </c>
      <c r="D26" s="101" t="s">
        <v>343</v>
      </c>
      <c r="E26" s="102" t="s">
        <v>344</v>
      </c>
    </row>
    <row r="27" customFormat="false" ht="15" hidden="false" customHeight="true" outlineLevel="0" collapsed="false">
      <c r="B27" s="35" t="s">
        <v>345</v>
      </c>
      <c r="C27" s="100" t="s">
        <v>346</v>
      </c>
      <c r="D27" s="101" t="s">
        <v>347</v>
      </c>
      <c r="E27" s="102" t="s">
        <v>348</v>
      </c>
    </row>
  </sheetData>
  <mergeCells count="5">
    <mergeCell ref="B1:E1"/>
    <mergeCell ref="B2:E2"/>
    <mergeCell ref="B5:E5"/>
    <mergeCell ref="B11:E11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6" min="3" style="1" width="20"/>
    <col collapsed="false" customWidth="true" hidden="false" outlineLevel="0" max="7" min="7" style="1" width="3"/>
  </cols>
  <sheetData>
    <row r="1" customFormat="false" ht="21.75" hidden="false" customHeight="true" outlineLevel="0" collapsed="false">
      <c r="B1" s="32" t="s">
        <v>349</v>
      </c>
      <c r="C1" s="32"/>
      <c r="D1" s="32"/>
      <c r="E1" s="32"/>
      <c r="F1" s="32"/>
      <c r="G1" s="32"/>
      <c r="H1" s="32"/>
    </row>
    <row r="2" customFormat="false" ht="19.5" hidden="false" customHeight="true" outlineLevel="0" collapsed="false">
      <c r="B2" s="105" t="s">
        <v>350</v>
      </c>
      <c r="C2" s="105"/>
      <c r="D2" s="105"/>
      <c r="E2" s="105"/>
      <c r="F2" s="105"/>
      <c r="G2" s="105"/>
      <c r="H2" s="105"/>
    </row>
    <row r="3" customFormat="false" ht="7.5" hidden="false" customHeight="true" outlineLevel="0" collapsed="false"/>
    <row r="4" customFormat="false" ht="15.75" hidden="false" customHeight="true" outlineLevel="0" collapsed="false">
      <c r="B4" s="21" t="s">
        <v>351</v>
      </c>
      <c r="C4" s="21" t="s">
        <v>352</v>
      </c>
      <c r="D4" s="21" t="s">
        <v>353</v>
      </c>
      <c r="E4" s="21" t="s">
        <v>354</v>
      </c>
      <c r="F4" s="21" t="s">
        <v>355</v>
      </c>
    </row>
    <row r="5" customFormat="false" ht="15.75" hidden="false" customHeight="true" outlineLevel="0" collapsed="false">
      <c r="B5" s="51" t="s">
        <v>356</v>
      </c>
      <c r="C5" s="51"/>
      <c r="D5" s="51"/>
      <c r="E5" s="51"/>
      <c r="F5" s="51"/>
    </row>
    <row r="6" customFormat="false" ht="15" hidden="false" customHeight="true" outlineLevel="0" collapsed="false">
      <c r="B6" s="35" t="s">
        <v>357</v>
      </c>
      <c r="C6" s="106" t="n">
        <v>130.5</v>
      </c>
      <c r="D6" s="106" t="n">
        <v>128.1</v>
      </c>
      <c r="E6" s="106" t="n">
        <v>125.3</v>
      </c>
      <c r="F6" s="106" t="n">
        <v>130</v>
      </c>
      <c r="G6" s="1" t="s">
        <v>358</v>
      </c>
    </row>
    <row r="7" customFormat="false" ht="15" hidden="false" customHeight="true" outlineLevel="0" collapsed="false">
      <c r="B7" s="37" t="s">
        <v>359</v>
      </c>
      <c r="C7" s="107" t="n">
        <v>95.2</v>
      </c>
      <c r="D7" s="107" t="n">
        <v>93.4</v>
      </c>
      <c r="E7" s="107" t="n">
        <v>91.6</v>
      </c>
      <c r="F7" s="107" t="n">
        <v>94</v>
      </c>
      <c r="G7" s="1" t="s">
        <v>360</v>
      </c>
    </row>
    <row r="8" customFormat="false" ht="15" hidden="false" customHeight="true" outlineLevel="0" collapsed="false">
      <c r="B8" s="35" t="s">
        <v>361</v>
      </c>
      <c r="C8" s="106" t="n">
        <v>35.3</v>
      </c>
      <c r="D8" s="106" t="n">
        <v>34.7</v>
      </c>
      <c r="E8" s="106" t="n">
        <v>33.7</v>
      </c>
      <c r="F8" s="106" t="n">
        <v>36</v>
      </c>
      <c r="G8" s="1" t="s">
        <v>362</v>
      </c>
    </row>
    <row r="9" customFormat="false" ht="15" hidden="false" customHeight="true" outlineLevel="0" collapsed="false">
      <c r="B9" s="37" t="s">
        <v>363</v>
      </c>
      <c r="C9" s="107" t="n">
        <v>8.5</v>
      </c>
      <c r="D9" s="107" t="n">
        <v>9.1</v>
      </c>
      <c r="E9" s="107" t="n">
        <v>9.8</v>
      </c>
      <c r="F9" s="107" t="n">
        <v>11</v>
      </c>
      <c r="G9" s="1" t="s">
        <v>364</v>
      </c>
    </row>
    <row r="10" customFormat="false" ht="15" hidden="false" customHeight="true" outlineLevel="0" collapsed="false">
      <c r="B10" s="35" t="s">
        <v>365</v>
      </c>
      <c r="C10" s="106" t="n">
        <v>26.8</v>
      </c>
      <c r="D10" s="106" t="n">
        <v>25.6</v>
      </c>
      <c r="E10" s="106" t="n">
        <v>23.9</v>
      </c>
      <c r="F10" s="106" t="n">
        <v>25</v>
      </c>
      <c r="G10" s="1" t="s">
        <v>366</v>
      </c>
    </row>
    <row r="11" customFormat="false" ht="15" hidden="false" customHeight="true" outlineLevel="0" collapsed="false">
      <c r="B11" s="37" t="s">
        <v>367</v>
      </c>
      <c r="C11" s="107" t="n">
        <v>5.6</v>
      </c>
      <c r="D11" s="107" t="n">
        <v>5.9</v>
      </c>
      <c r="E11" s="107" t="n">
        <v>6.1</v>
      </c>
      <c r="F11" s="107" t="n">
        <v>6.4</v>
      </c>
      <c r="G11" s="1" t="s">
        <v>368</v>
      </c>
    </row>
    <row r="12" customFormat="false" ht="15" hidden="false" customHeight="true" outlineLevel="0" collapsed="false">
      <c r="B12" s="35" t="s">
        <v>369</v>
      </c>
      <c r="C12" s="108" t="s">
        <v>370</v>
      </c>
      <c r="D12" s="108" t="s">
        <v>371</v>
      </c>
      <c r="E12" s="108" t="s">
        <v>372</v>
      </c>
      <c r="F12" s="108" t="s">
        <v>373</v>
      </c>
      <c r="G12" s="1" t="s">
        <v>374</v>
      </c>
    </row>
    <row r="13" customFormat="false" ht="15" hidden="false" customHeight="true" outlineLevel="0" collapsed="false">
      <c r="B13" s="37" t="s">
        <v>375</v>
      </c>
      <c r="C13" s="109" t="s">
        <v>376</v>
      </c>
      <c r="D13" s="109" t="s">
        <v>377</v>
      </c>
      <c r="E13" s="109" t="s">
        <v>376</v>
      </c>
      <c r="F13" s="109" t="s">
        <v>377</v>
      </c>
      <c r="G13" s="1" t="s">
        <v>378</v>
      </c>
    </row>
    <row r="15" customFormat="false" ht="15.75" hidden="false" customHeight="true" outlineLevel="0" collapsed="false">
      <c r="B15" s="51" t="s">
        <v>379</v>
      </c>
      <c r="C15" s="51"/>
      <c r="D15" s="51"/>
      <c r="E15" s="51"/>
      <c r="F15" s="51"/>
    </row>
    <row r="16" customFormat="false" ht="15" hidden="false" customHeight="true" outlineLevel="0" collapsed="false">
      <c r="B16" s="35" t="s">
        <v>380</v>
      </c>
      <c r="C16" s="106" t="n">
        <v>380</v>
      </c>
      <c r="D16" s="106" t="n">
        <v>420</v>
      </c>
      <c r="E16" s="106" t="n">
        <v>445</v>
      </c>
      <c r="F16" s="106" t="n">
        <v>480</v>
      </c>
      <c r="G16" s="1" t="s">
        <v>381</v>
      </c>
    </row>
    <row r="17" customFormat="false" ht="15" hidden="false" customHeight="true" outlineLevel="0" collapsed="false">
      <c r="B17" s="37" t="s">
        <v>382</v>
      </c>
      <c r="C17" s="107" t="n">
        <v>38</v>
      </c>
      <c r="D17" s="107" t="n">
        <v>46</v>
      </c>
      <c r="E17" s="107" t="n">
        <v>52</v>
      </c>
      <c r="F17" s="107" t="n">
        <v>60</v>
      </c>
      <c r="G17" s="1" t="s">
        <v>383</v>
      </c>
    </row>
    <row r="18" customFormat="false" ht="15" hidden="false" customHeight="true" outlineLevel="0" collapsed="false">
      <c r="B18" s="35" t="s">
        <v>384</v>
      </c>
      <c r="C18" s="108" t="s">
        <v>385</v>
      </c>
      <c r="D18" s="108" t="s">
        <v>285</v>
      </c>
      <c r="E18" s="108" t="s">
        <v>386</v>
      </c>
      <c r="F18" s="108" t="s">
        <v>297</v>
      </c>
      <c r="G18" s="1" t="s">
        <v>387</v>
      </c>
    </row>
    <row r="19" customFormat="false" ht="15" hidden="false" customHeight="true" outlineLevel="0" collapsed="false">
      <c r="B19" s="37" t="s">
        <v>388</v>
      </c>
      <c r="C19" s="107" t="n">
        <v>280</v>
      </c>
      <c r="D19" s="107" t="n">
        <v>310</v>
      </c>
      <c r="E19" s="107" t="n">
        <v>340</v>
      </c>
      <c r="F19" s="107" t="n">
        <v>370</v>
      </c>
      <c r="G19" s="1" t="s">
        <v>389</v>
      </c>
    </row>
    <row r="20" customFormat="false" ht="15" hidden="false" customHeight="true" outlineLevel="0" collapsed="false">
      <c r="B20" s="35" t="s">
        <v>390</v>
      </c>
      <c r="C20" s="106" t="n">
        <v>45</v>
      </c>
      <c r="D20" s="106" t="n">
        <v>55</v>
      </c>
      <c r="E20" s="106" t="n">
        <v>62</v>
      </c>
      <c r="F20" s="106" t="n">
        <v>80</v>
      </c>
      <c r="G20" s="1" t="s">
        <v>391</v>
      </c>
    </row>
    <row r="21" customFormat="false" ht="15" hidden="false" customHeight="true" outlineLevel="0" collapsed="false">
      <c r="B21" s="37" t="s">
        <v>392</v>
      </c>
      <c r="C21" s="107" t="n">
        <v>743</v>
      </c>
      <c r="D21" s="107" t="n">
        <v>831</v>
      </c>
      <c r="E21" s="107" t="n">
        <v>899</v>
      </c>
      <c r="F21" s="107" t="n">
        <v>990</v>
      </c>
      <c r="G21" s="1" t="s">
        <v>393</v>
      </c>
    </row>
    <row r="22" customFormat="false" ht="15" hidden="false" customHeight="true" outlineLevel="0" collapsed="false">
      <c r="B22" s="35" t="s">
        <v>394</v>
      </c>
      <c r="C22" s="23" t="n">
        <v>2100</v>
      </c>
      <c r="D22" s="23" t="n">
        <v>2250</v>
      </c>
      <c r="E22" s="23" t="n">
        <v>2380</v>
      </c>
      <c r="F22" s="23" t="n">
        <v>2600</v>
      </c>
      <c r="G22" s="1" t="s">
        <v>395</v>
      </c>
    </row>
    <row r="23" customFormat="false" ht="15" hidden="false" customHeight="true" outlineLevel="0" collapsed="false">
      <c r="B23" s="37" t="s">
        <v>396</v>
      </c>
      <c r="C23" s="26" t="n">
        <v>1357</v>
      </c>
      <c r="D23" s="26" t="n">
        <v>1419</v>
      </c>
      <c r="E23" s="26" t="n">
        <v>1481</v>
      </c>
      <c r="F23" s="26" t="n">
        <v>1610</v>
      </c>
      <c r="G23" s="1" t="s">
        <v>397</v>
      </c>
    </row>
    <row r="25" customFormat="false" ht="15.75" hidden="false" customHeight="true" outlineLevel="0" collapsed="false">
      <c r="B25" s="51" t="s">
        <v>398</v>
      </c>
      <c r="C25" s="51"/>
      <c r="D25" s="51"/>
      <c r="E25" s="51"/>
      <c r="F25" s="51"/>
    </row>
    <row r="26" customFormat="false" ht="15" hidden="false" customHeight="true" outlineLevel="0" collapsed="false">
      <c r="B26" s="35" t="s">
        <v>399</v>
      </c>
      <c r="C26" s="106" t="n">
        <v>8.2</v>
      </c>
      <c r="D26" s="106" t="n">
        <v>10.5</v>
      </c>
      <c r="E26" s="106" t="n">
        <v>14.3</v>
      </c>
      <c r="F26" s="106" t="n">
        <v>18</v>
      </c>
      <c r="G26" s="1" t="s">
        <v>400</v>
      </c>
    </row>
    <row r="27" customFormat="false" ht="15" hidden="false" customHeight="true" outlineLevel="0" collapsed="false">
      <c r="B27" s="37" t="s">
        <v>401</v>
      </c>
      <c r="C27" s="107" t="n">
        <v>490</v>
      </c>
      <c r="D27" s="107" t="n">
        <v>645</v>
      </c>
      <c r="E27" s="107" t="n">
        <v>870</v>
      </c>
      <c r="F27" s="26" t="n">
        <v>1100</v>
      </c>
      <c r="G27" s="1" t="s">
        <v>402</v>
      </c>
    </row>
    <row r="28" customFormat="false" ht="15" hidden="false" customHeight="true" outlineLevel="0" collapsed="false">
      <c r="B28" s="35" t="s">
        <v>403</v>
      </c>
      <c r="C28" s="106" t="n">
        <v>8.7</v>
      </c>
      <c r="D28" s="106" t="n">
        <v>11.2</v>
      </c>
      <c r="E28" s="106" t="n">
        <v>14.9</v>
      </c>
      <c r="F28" s="106" t="n">
        <v>19</v>
      </c>
      <c r="G28" s="1" t="s">
        <v>404</v>
      </c>
    </row>
    <row r="29" customFormat="false" ht="15" hidden="false" customHeight="true" outlineLevel="0" collapsed="false">
      <c r="B29" s="37" t="s">
        <v>405</v>
      </c>
      <c r="C29" s="107" t="n">
        <v>6</v>
      </c>
      <c r="D29" s="107" t="n">
        <v>10.5</v>
      </c>
      <c r="E29" s="107" t="n">
        <v>12.3</v>
      </c>
      <c r="F29" s="107" t="n">
        <v>14.8</v>
      </c>
      <c r="G29" s="1" t="s">
        <v>406</v>
      </c>
    </row>
    <row r="30" customFormat="false" ht="15" hidden="false" customHeight="true" outlineLevel="0" collapsed="false">
      <c r="B30" s="35" t="s">
        <v>407</v>
      </c>
      <c r="C30" s="106" t="n">
        <v>4.9</v>
      </c>
      <c r="D30" s="106" t="n">
        <v>5.2</v>
      </c>
      <c r="E30" s="106" t="n">
        <v>5.4</v>
      </c>
      <c r="F30" s="106" t="n">
        <v>5.8</v>
      </c>
      <c r="G30" s="1" t="s">
        <v>408</v>
      </c>
    </row>
    <row r="31" customFormat="false" ht="15" hidden="false" customHeight="true" outlineLevel="0" collapsed="false">
      <c r="B31" s="37" t="s">
        <v>409</v>
      </c>
      <c r="C31" s="107" t="n">
        <v>2.1</v>
      </c>
      <c r="D31" s="107" t="n">
        <v>2.4</v>
      </c>
      <c r="E31" s="107" t="n">
        <v>2.6</v>
      </c>
      <c r="F31" s="107" t="n">
        <v>2.8</v>
      </c>
      <c r="G31" s="1" t="s">
        <v>410</v>
      </c>
    </row>
    <row r="33" customFormat="false" ht="15.75" hidden="false" customHeight="true" outlineLevel="0" collapsed="false">
      <c r="B33" s="51" t="s">
        <v>411</v>
      </c>
      <c r="C33" s="51"/>
      <c r="D33" s="51"/>
      <c r="E33" s="51"/>
      <c r="F33" s="51"/>
    </row>
    <row r="34" customFormat="false" ht="15" hidden="false" customHeight="true" outlineLevel="0" collapsed="false">
      <c r="B34" s="35" t="s">
        <v>412</v>
      </c>
      <c r="C34" s="23" t="n">
        <v>1799</v>
      </c>
      <c r="D34" s="23" t="n">
        <v>1800</v>
      </c>
      <c r="E34" s="23" t="n">
        <v>1941</v>
      </c>
      <c r="F34" s="23" t="n">
        <v>2200</v>
      </c>
      <c r="G34" s="1" t="s">
        <v>413</v>
      </c>
    </row>
    <row r="35" customFormat="false" ht="15" hidden="false" customHeight="true" outlineLevel="0" collapsed="false">
      <c r="B35" s="37" t="s">
        <v>414</v>
      </c>
      <c r="C35" s="109" t="s">
        <v>415</v>
      </c>
      <c r="D35" s="109" t="s">
        <v>295</v>
      </c>
      <c r="E35" s="109" t="s">
        <v>416</v>
      </c>
      <c r="F35" s="109" t="s">
        <v>417</v>
      </c>
      <c r="G35" s="1" t="s">
        <v>418</v>
      </c>
    </row>
    <row r="36" customFormat="false" ht="15" hidden="false" customHeight="true" outlineLevel="0" collapsed="false">
      <c r="B36" s="35" t="s">
        <v>419</v>
      </c>
      <c r="C36" s="106" t="n">
        <v>28</v>
      </c>
      <c r="D36" s="106" t="n">
        <v>36</v>
      </c>
      <c r="E36" s="106" t="n">
        <v>48</v>
      </c>
      <c r="F36" s="106" t="n">
        <v>62</v>
      </c>
      <c r="G36" s="1" t="s">
        <v>420</v>
      </c>
    </row>
    <row r="37" customFormat="false" ht="15" hidden="false" customHeight="true" outlineLevel="0" collapsed="false">
      <c r="B37" s="37" t="s">
        <v>421</v>
      </c>
      <c r="C37" s="107" t="n">
        <v>450</v>
      </c>
      <c r="D37" s="107" t="n">
        <v>441</v>
      </c>
      <c r="E37" s="107" t="n">
        <v>450</v>
      </c>
      <c r="F37" s="107" t="n">
        <v>460</v>
      </c>
      <c r="G37" s="1" t="s">
        <v>422</v>
      </c>
    </row>
    <row r="38" customFormat="false" ht="15" hidden="false" customHeight="true" outlineLevel="0" collapsed="false">
      <c r="B38" s="35" t="s">
        <v>423</v>
      </c>
      <c r="C38" s="108" t="s">
        <v>295</v>
      </c>
      <c r="D38" s="108" t="s">
        <v>416</v>
      </c>
      <c r="E38" s="108" t="s">
        <v>424</v>
      </c>
      <c r="F38" s="108" t="s">
        <v>284</v>
      </c>
      <c r="G38" s="1" t="s">
        <v>425</v>
      </c>
    </row>
    <row r="39" customFormat="false" ht="15" hidden="false" customHeight="true" outlineLevel="0" collapsed="false">
      <c r="B39" s="37" t="s">
        <v>426</v>
      </c>
      <c r="C39" s="109" t="s">
        <v>427</v>
      </c>
      <c r="D39" s="109" t="s">
        <v>428</v>
      </c>
      <c r="E39" s="109" t="s">
        <v>429</v>
      </c>
      <c r="F39" s="109" t="s">
        <v>430</v>
      </c>
      <c r="G39" s="1" t="s">
        <v>431</v>
      </c>
    </row>
  </sheetData>
  <mergeCells count="6">
    <mergeCell ref="B1:H1"/>
    <mergeCell ref="B2:H2"/>
    <mergeCell ref="B5:F5"/>
    <mergeCell ref="B15:F15"/>
    <mergeCell ref="B25:F25"/>
    <mergeCell ref="B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7" min="3" style="1" width="20"/>
    <col collapsed="false" customWidth="true" hidden="false" outlineLevel="0" max="8" min="8" style="1" width="3"/>
  </cols>
  <sheetData>
    <row r="1" customFormat="false" ht="21.75" hidden="false" customHeight="true" outlineLevel="0" collapsed="false">
      <c r="B1" s="32" t="s">
        <v>432</v>
      </c>
      <c r="C1" s="32"/>
      <c r="D1" s="32"/>
      <c r="E1" s="32"/>
      <c r="F1" s="32"/>
      <c r="G1" s="32"/>
      <c r="H1" s="32"/>
    </row>
    <row r="2" customFormat="false" ht="19.5" hidden="false" customHeight="true" outlineLevel="0" collapsed="false">
      <c r="B2" s="105" t="s">
        <v>433</v>
      </c>
      <c r="C2" s="105"/>
      <c r="D2" s="105"/>
      <c r="E2" s="105"/>
      <c r="F2" s="105"/>
      <c r="G2" s="105"/>
      <c r="H2" s="105"/>
    </row>
    <row r="3" customFormat="false" ht="7.5" hidden="false" customHeight="true" outlineLevel="0" collapsed="false"/>
    <row r="4" customFormat="false" ht="15.75" hidden="false" customHeight="true" outlineLevel="0" collapsed="false">
      <c r="B4" s="21" t="s">
        <v>434</v>
      </c>
      <c r="C4" s="21" t="s">
        <v>189</v>
      </c>
      <c r="D4" s="21" t="s">
        <v>435</v>
      </c>
      <c r="E4" s="21" t="s">
        <v>436</v>
      </c>
      <c r="F4" s="21" t="s">
        <v>437</v>
      </c>
      <c r="G4" s="21" t="s">
        <v>438</v>
      </c>
    </row>
    <row r="5" customFormat="false" ht="15.75" hidden="false" customHeight="true" outlineLevel="0" collapsed="false">
      <c r="B5" s="110" t="s">
        <v>439</v>
      </c>
      <c r="C5" s="110"/>
      <c r="D5" s="110"/>
      <c r="E5" s="110"/>
      <c r="F5" s="110"/>
      <c r="G5" s="110"/>
    </row>
    <row r="6" customFormat="false" ht="15" hidden="false" customHeight="true" outlineLevel="0" collapsed="false">
      <c r="B6" s="111" t="s">
        <v>440</v>
      </c>
      <c r="C6" s="112" t="n">
        <v>45000</v>
      </c>
      <c r="D6" s="112" t="n">
        <v>80000</v>
      </c>
      <c r="E6" s="112" t="n">
        <v>200000</v>
      </c>
      <c r="F6" s="112" t="n">
        <v>450000</v>
      </c>
      <c r="G6" s="113" t="n">
        <v>405000</v>
      </c>
    </row>
    <row r="7" customFormat="false" ht="15" hidden="false" customHeight="true" outlineLevel="0" collapsed="false">
      <c r="B7" s="37" t="s">
        <v>441</v>
      </c>
      <c r="C7" s="26" t="n">
        <v>1100000</v>
      </c>
      <c r="D7" s="26" t="n">
        <v>1100000</v>
      </c>
      <c r="E7" s="26" t="n">
        <v>1100000</v>
      </c>
      <c r="F7" s="26" t="n">
        <v>1100000</v>
      </c>
      <c r="G7" s="114" t="n">
        <v>0</v>
      </c>
    </row>
    <row r="8" customFormat="false" ht="15" hidden="false" customHeight="true" outlineLevel="0" collapsed="false">
      <c r="B8" s="111" t="s">
        <v>442</v>
      </c>
      <c r="C8" s="115" t="n">
        <v>36</v>
      </c>
      <c r="D8" s="115" t="n">
        <v>36</v>
      </c>
      <c r="E8" s="115" t="n">
        <v>40</v>
      </c>
      <c r="F8" s="115" t="n">
        <v>46</v>
      </c>
      <c r="G8" s="116" t="n">
        <v>10</v>
      </c>
    </row>
    <row r="9" customFormat="false" ht="15" hidden="false" customHeight="true" outlineLevel="0" collapsed="false">
      <c r="B9" s="37" t="s">
        <v>443</v>
      </c>
      <c r="C9" s="107" t="n">
        <v>11</v>
      </c>
      <c r="D9" s="107" t="n">
        <v>15</v>
      </c>
      <c r="E9" s="107" t="n">
        <v>28</v>
      </c>
      <c r="F9" s="107" t="n">
        <v>40</v>
      </c>
      <c r="G9" s="117" t="n">
        <v>29</v>
      </c>
    </row>
    <row r="10" customFormat="false" ht="15" hidden="false" customHeight="true" outlineLevel="0" collapsed="false">
      <c r="B10" s="111" t="s">
        <v>444</v>
      </c>
      <c r="C10" s="118" t="s">
        <v>288</v>
      </c>
      <c r="D10" s="118" t="s">
        <v>445</v>
      </c>
      <c r="E10" s="118" t="s">
        <v>297</v>
      </c>
      <c r="F10" s="118" t="s">
        <v>446</v>
      </c>
      <c r="G10" s="119" t="s">
        <v>447</v>
      </c>
    </row>
    <row r="11" customFormat="false" ht="15" hidden="false" customHeight="true" outlineLevel="0" collapsed="false">
      <c r="B11" s="37" t="s">
        <v>448</v>
      </c>
      <c r="C11" s="26" t="n">
        <v>2.7</v>
      </c>
      <c r="D11" s="26" t="n">
        <v>2.7</v>
      </c>
      <c r="E11" s="26" t="n">
        <v>3.2</v>
      </c>
      <c r="F11" s="26" t="n">
        <v>3.9</v>
      </c>
      <c r="G11" s="114" t="n">
        <v>1.2</v>
      </c>
    </row>
    <row r="12" customFormat="false" ht="15" hidden="false" customHeight="true" outlineLevel="0" collapsed="false">
      <c r="B12" s="111" t="s">
        <v>449</v>
      </c>
      <c r="C12" s="112" t="n">
        <v>0.8</v>
      </c>
      <c r="D12" s="112" t="n">
        <v>1.1</v>
      </c>
      <c r="E12" s="112" t="n">
        <v>2.1</v>
      </c>
      <c r="F12" s="112" t="n">
        <v>3.2</v>
      </c>
      <c r="G12" s="113" t="n">
        <v>2.4</v>
      </c>
    </row>
    <row r="14" customFormat="false" ht="15.75" hidden="false" customHeight="true" outlineLevel="0" collapsed="false">
      <c r="B14" s="110" t="s">
        <v>450</v>
      </c>
      <c r="C14" s="110"/>
      <c r="D14" s="110"/>
      <c r="E14" s="110"/>
      <c r="F14" s="110"/>
      <c r="G14" s="110"/>
    </row>
    <row r="15" customFormat="false" ht="15" hidden="false" customHeight="true" outlineLevel="0" collapsed="false">
      <c r="B15" s="111" t="s">
        <v>451</v>
      </c>
      <c r="C15" s="112" t="n">
        <v>52</v>
      </c>
      <c r="D15" s="112" t="n">
        <v>80</v>
      </c>
      <c r="E15" s="112" t="n">
        <v>190</v>
      </c>
      <c r="F15" s="112" t="n">
        <v>340</v>
      </c>
      <c r="G15" s="120"/>
    </row>
    <row r="16" customFormat="false" ht="15" hidden="false" customHeight="true" outlineLevel="0" collapsed="false">
      <c r="B16" s="37" t="s">
        <v>452</v>
      </c>
      <c r="C16" s="26" t="n">
        <v>270</v>
      </c>
      <c r="D16" s="26" t="n">
        <v>270</v>
      </c>
      <c r="E16" s="26" t="n">
        <v>300</v>
      </c>
      <c r="F16" s="26" t="n">
        <v>346</v>
      </c>
      <c r="G16" s="121"/>
    </row>
    <row r="17" customFormat="false" ht="15" hidden="false" customHeight="true" outlineLevel="0" collapsed="false">
      <c r="B17" s="111" t="s">
        <v>453</v>
      </c>
      <c r="C17" s="112" t="n">
        <v>218</v>
      </c>
      <c r="D17" s="112" t="n">
        <v>190</v>
      </c>
      <c r="E17" s="112" t="n">
        <v>110</v>
      </c>
      <c r="F17" s="112" t="n">
        <v>6</v>
      </c>
      <c r="G17" s="113" t="n">
        <v>136</v>
      </c>
    </row>
    <row r="18" customFormat="false" ht="15" hidden="false" customHeight="true" outlineLevel="0" collapsed="false">
      <c r="B18" s="37" t="s">
        <v>454</v>
      </c>
      <c r="C18" s="26" t="n">
        <v>12</v>
      </c>
      <c r="D18" s="26" t="n">
        <v>22</v>
      </c>
      <c r="E18" s="26" t="n">
        <v>68</v>
      </c>
      <c r="F18" s="26" t="n">
        <v>148</v>
      </c>
      <c r="G18" s="114" t="n">
        <v>110</v>
      </c>
    </row>
    <row r="19" customFormat="false" ht="15" hidden="false" customHeight="true" outlineLevel="0" collapsed="false">
      <c r="B19" s="111" t="s">
        <v>455</v>
      </c>
      <c r="C19" s="112" t="n">
        <v>8</v>
      </c>
      <c r="D19" s="112" t="n">
        <v>14</v>
      </c>
      <c r="E19" s="112" t="n">
        <v>52</v>
      </c>
      <c r="F19" s="112" t="n">
        <v>118</v>
      </c>
      <c r="G19" s="113" t="n">
        <v>122</v>
      </c>
    </row>
    <row r="20" customFormat="false" ht="15" hidden="false" customHeight="true" outlineLevel="0" collapsed="false">
      <c r="B20" s="37" t="s">
        <v>456</v>
      </c>
      <c r="C20" s="26" t="n">
        <v>18</v>
      </c>
      <c r="D20" s="26" t="n">
        <v>28</v>
      </c>
      <c r="E20" s="26" t="n">
        <v>72</v>
      </c>
      <c r="F20" s="26" t="n">
        <v>140</v>
      </c>
      <c r="G20" s="114" t="n">
        <v>656</v>
      </c>
    </row>
    <row r="21" customFormat="false" ht="15" hidden="false" customHeight="true" outlineLevel="0" collapsed="false">
      <c r="B21" s="111" t="s">
        <v>457</v>
      </c>
      <c r="C21" s="112" t="n">
        <v>90</v>
      </c>
      <c r="D21" s="112" t="n">
        <v>144</v>
      </c>
      <c r="E21" s="112" t="n">
        <v>382</v>
      </c>
      <c r="F21" s="112" t="n">
        <v>746</v>
      </c>
      <c r="G21" s="120"/>
    </row>
    <row r="22" customFormat="false" ht="15" hidden="false" customHeight="true" outlineLevel="0" collapsed="false">
      <c r="G22" s="122" t="n">
        <v>195</v>
      </c>
    </row>
    <row r="23" customFormat="false" ht="15.75" hidden="false" customHeight="true" outlineLevel="0" collapsed="false">
      <c r="B23" s="110" t="s">
        <v>458</v>
      </c>
      <c r="C23" s="110"/>
      <c r="D23" s="110"/>
      <c r="E23" s="110"/>
      <c r="F23" s="110"/>
      <c r="G23" s="110"/>
    </row>
    <row r="24" customFormat="false" ht="15" hidden="false" customHeight="true" outlineLevel="0" collapsed="false">
      <c r="B24" s="111" t="s">
        <v>459</v>
      </c>
      <c r="C24" s="112" t="n">
        <v>85</v>
      </c>
      <c r="D24" s="112" t="n">
        <v>110</v>
      </c>
      <c r="E24" s="112" t="n">
        <v>180</v>
      </c>
      <c r="F24" s="112" t="n">
        <v>280</v>
      </c>
      <c r="G24" s="120"/>
    </row>
    <row r="25" customFormat="false" ht="15" hidden="false" customHeight="true" outlineLevel="0" collapsed="false">
      <c r="B25" s="37" t="s">
        <v>460</v>
      </c>
      <c r="C25" s="26" t="n">
        <v>0</v>
      </c>
      <c r="D25" s="26" t="n">
        <v>25</v>
      </c>
      <c r="E25" s="26" t="n">
        <v>95</v>
      </c>
      <c r="F25" s="26" t="n">
        <v>195</v>
      </c>
      <c r="G25" s="121"/>
    </row>
    <row r="26" customFormat="false" ht="15" hidden="false" customHeight="true" outlineLevel="0" collapsed="false">
      <c r="B26" s="111" t="s">
        <v>461</v>
      </c>
      <c r="C26" s="123" t="n">
        <v>0</v>
      </c>
      <c r="D26" s="123" t="n">
        <v>12000</v>
      </c>
      <c r="E26" s="123" t="n">
        <v>85000</v>
      </c>
      <c r="F26" s="123" t="n">
        <v>250000</v>
      </c>
      <c r="G26" s="124"/>
    </row>
    <row r="27" customFormat="false" ht="15" hidden="false" customHeight="true" outlineLevel="0" collapsed="false">
      <c r="B27" s="37" t="s">
        <v>462</v>
      </c>
      <c r="C27" s="26" t="n">
        <v>0</v>
      </c>
      <c r="D27" s="26" t="n">
        <v>8</v>
      </c>
      <c r="E27" s="26" t="n">
        <v>35</v>
      </c>
      <c r="F27" s="26" t="n">
        <v>90</v>
      </c>
      <c r="G27" s="121"/>
    </row>
    <row r="28" customFormat="false" ht="15" hidden="false" customHeight="true" outlineLevel="0" collapsed="false">
      <c r="B28" s="111" t="s">
        <v>463</v>
      </c>
      <c r="C28" s="123" t="n">
        <v>0</v>
      </c>
      <c r="D28" s="123" t="n">
        <v>3500</v>
      </c>
      <c r="E28" s="123" t="n">
        <v>22000</v>
      </c>
      <c r="F28" s="123" t="n">
        <v>68000</v>
      </c>
      <c r="G28" s="125" t="n">
        <v>290</v>
      </c>
    </row>
    <row r="29" customFormat="false" ht="15" hidden="false" customHeight="true" outlineLevel="0" collapsed="false">
      <c r="B29" s="37" t="s">
        <v>464</v>
      </c>
      <c r="C29" s="109" t="s">
        <v>211</v>
      </c>
      <c r="D29" s="109" t="s">
        <v>295</v>
      </c>
      <c r="E29" s="109" t="s">
        <v>465</v>
      </c>
      <c r="F29" s="109" t="s">
        <v>466</v>
      </c>
      <c r="G29" s="126" t="n">
        <v>490</v>
      </c>
    </row>
    <row r="31" customFormat="false" ht="15.75" hidden="false" customHeight="true" outlineLevel="0" collapsed="false">
      <c r="B31" s="110" t="s">
        <v>467</v>
      </c>
      <c r="C31" s="110"/>
      <c r="D31" s="110"/>
      <c r="E31" s="110"/>
      <c r="F31" s="110"/>
      <c r="G31" s="110"/>
    </row>
    <row r="32" customFormat="false" ht="15" hidden="false" customHeight="true" outlineLevel="0" collapsed="false">
      <c r="B32" s="111" t="s">
        <v>468</v>
      </c>
      <c r="C32" s="112" t="n">
        <v>0</v>
      </c>
      <c r="D32" s="112" t="n">
        <v>45</v>
      </c>
      <c r="E32" s="112" t="n">
        <v>150</v>
      </c>
      <c r="F32" s="112" t="n">
        <v>290</v>
      </c>
      <c r="G32" s="120"/>
    </row>
    <row r="33" customFormat="false" ht="15" hidden="false" customHeight="true" outlineLevel="0" collapsed="false">
      <c r="B33" s="37" t="s">
        <v>469</v>
      </c>
      <c r="C33" s="26" t="n">
        <v>2100</v>
      </c>
      <c r="D33" s="26" t="n">
        <v>2145</v>
      </c>
      <c r="E33" s="26" t="n">
        <v>2350</v>
      </c>
      <c r="F33" s="26" t="n">
        <v>2590</v>
      </c>
      <c r="G33" s="114" t="n">
        <v>580</v>
      </c>
    </row>
    <row r="34" customFormat="false" ht="15" hidden="false" customHeight="true" outlineLevel="0" collapsed="false">
      <c r="B34" s="111" t="s">
        <v>470</v>
      </c>
      <c r="C34" s="118" t="s">
        <v>471</v>
      </c>
      <c r="D34" s="118" t="s">
        <v>472</v>
      </c>
      <c r="E34" s="118" t="s">
        <v>473</v>
      </c>
      <c r="F34" s="118" t="s">
        <v>474</v>
      </c>
      <c r="G34" s="127"/>
    </row>
    <row r="35" customFormat="false" ht="15" hidden="false" customHeight="true" outlineLevel="0" collapsed="false">
      <c r="B35" s="37" t="s">
        <v>475</v>
      </c>
      <c r="C35" s="26" t="n">
        <v>0</v>
      </c>
      <c r="D35" s="26" t="n">
        <v>52</v>
      </c>
      <c r="E35" s="26" t="n">
        <v>215</v>
      </c>
      <c r="F35" s="26" t="n">
        <v>580</v>
      </c>
      <c r="G35" s="121"/>
    </row>
    <row r="36" customFormat="false" ht="15" hidden="false" customHeight="true" outlineLevel="0" collapsed="false">
      <c r="B36" s="111" t="s">
        <v>476</v>
      </c>
      <c r="C36" s="123" t="n">
        <v>0</v>
      </c>
      <c r="D36" s="123" t="n">
        <v>1200</v>
      </c>
      <c r="E36" s="123" t="n">
        <v>8500</v>
      </c>
      <c r="F36" s="123" t="n">
        <v>28000</v>
      </c>
      <c r="G36" s="124"/>
    </row>
    <row r="37" customFormat="false" ht="15" hidden="false" customHeight="true" outlineLevel="0" collapsed="false">
      <c r="B37" s="37" t="s">
        <v>477</v>
      </c>
      <c r="C37" s="26" t="n">
        <v>12</v>
      </c>
      <c r="D37" s="26" t="n">
        <v>28</v>
      </c>
      <c r="E37" s="26" t="n">
        <v>95</v>
      </c>
      <c r="F37" s="26" t="n">
        <v>280</v>
      </c>
      <c r="G37" s="121"/>
    </row>
  </sheetData>
  <mergeCells count="6">
    <mergeCell ref="B1:H1"/>
    <mergeCell ref="B2:H2"/>
    <mergeCell ref="B5:G5"/>
    <mergeCell ref="B14:G14"/>
    <mergeCell ref="B23:G23"/>
    <mergeCell ref="B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19" min="3" style="1" width="14"/>
    <col collapsed="false" customWidth="true" hidden="false" outlineLevel="0" max="20" min="20" style="1" width="3"/>
  </cols>
  <sheetData>
    <row r="1" customFormat="false" ht="21.75" hidden="false" customHeight="true" outlineLevel="0" collapsed="false">
      <c r="B1" s="32" t="s">
        <v>478</v>
      </c>
      <c r="C1" s="32"/>
      <c r="D1" s="32"/>
      <c r="E1" s="32"/>
      <c r="F1" s="32"/>
      <c r="G1" s="32"/>
      <c r="H1" s="32"/>
    </row>
    <row r="2" customFormat="false" ht="19.5" hidden="false" customHeight="true" outlineLevel="0" collapsed="false">
      <c r="B2" s="105" t="s">
        <v>479</v>
      </c>
      <c r="C2" s="105"/>
      <c r="D2" s="105"/>
      <c r="E2" s="105"/>
      <c r="F2" s="105"/>
      <c r="G2" s="105"/>
      <c r="H2" s="105"/>
    </row>
    <row r="3" customFormat="false" ht="7.5" hidden="false" customHeight="true" outlineLevel="0" collapsed="false"/>
    <row r="4" customFormat="false" ht="15.75" hidden="false" customHeight="true" outlineLevel="0" collapsed="false">
      <c r="B4" s="8" t="s">
        <v>480</v>
      </c>
      <c r="C4" s="8" t="s">
        <v>481</v>
      </c>
      <c r="D4" s="8" t="s">
        <v>482</v>
      </c>
      <c r="E4" s="8" t="s">
        <v>483</v>
      </c>
      <c r="F4" s="8" t="s">
        <v>484</v>
      </c>
      <c r="G4" s="8" t="s">
        <v>485</v>
      </c>
      <c r="H4" s="8" t="s">
        <v>486</v>
      </c>
      <c r="I4" s="8" t="s">
        <v>487</v>
      </c>
      <c r="J4" s="8" t="s">
        <v>488</v>
      </c>
      <c r="K4" s="8" t="s">
        <v>489</v>
      </c>
      <c r="L4" s="8" t="s">
        <v>490</v>
      </c>
      <c r="M4" s="8" t="s">
        <v>491</v>
      </c>
      <c r="N4" s="8" t="s">
        <v>492</v>
      </c>
      <c r="O4" s="8" t="s">
        <v>493</v>
      </c>
      <c r="P4" s="8" t="s">
        <v>494</v>
      </c>
    </row>
    <row r="5" customFormat="false" ht="15.75" hidden="false" customHeight="true" outlineLevel="0" collapsed="false">
      <c r="B5" s="34" t="s">
        <v>495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6" customFormat="false" ht="15" hidden="false" customHeight="true" outlineLevel="0" collapsed="false">
      <c r="B6" s="128" t="s">
        <v>496</v>
      </c>
      <c r="C6" s="129" t="n">
        <v>-1698750</v>
      </c>
      <c r="D6" s="129" t="n">
        <v>-1359000</v>
      </c>
      <c r="E6" s="129" t="n">
        <v>-2265000</v>
      </c>
      <c r="F6" s="129" t="n">
        <v>-1132500</v>
      </c>
      <c r="G6" s="129" t="n">
        <v>-906000</v>
      </c>
      <c r="H6" s="129" t="n">
        <v>-1698750</v>
      </c>
      <c r="I6" s="129" t="n">
        <v>-679500</v>
      </c>
      <c r="J6" s="129" t="n">
        <v>-679500</v>
      </c>
      <c r="K6" s="129" t="n">
        <v>-339750</v>
      </c>
      <c r="L6" s="130" t="n">
        <v>0</v>
      </c>
      <c r="M6" s="130" t="n">
        <v>0</v>
      </c>
      <c r="N6" s="130" t="n">
        <v>0</v>
      </c>
      <c r="O6" s="130" t="n">
        <v>0</v>
      </c>
      <c r="P6" s="130" t="n">
        <v>0</v>
      </c>
      <c r="Q6" s="129" t="n">
        <v>-339750</v>
      </c>
    </row>
    <row r="7" customFormat="false" ht="15" hidden="false" customHeight="true" outlineLevel="0" collapsed="false">
      <c r="B7" s="37" t="s">
        <v>497</v>
      </c>
      <c r="C7" s="131" t="n">
        <v>0</v>
      </c>
      <c r="D7" s="131" t="n">
        <v>0</v>
      </c>
      <c r="E7" s="131" t="n">
        <v>0</v>
      </c>
      <c r="F7" s="131" t="n">
        <v>0</v>
      </c>
      <c r="G7" s="131" t="n">
        <v>0</v>
      </c>
      <c r="H7" s="131" t="n">
        <v>0</v>
      </c>
      <c r="I7" s="132" t="n">
        <v>-150000</v>
      </c>
      <c r="J7" s="132" t="n">
        <v>-150000</v>
      </c>
      <c r="K7" s="132" t="n">
        <v>-150000</v>
      </c>
      <c r="L7" s="132" t="n">
        <v>-150000</v>
      </c>
      <c r="M7" s="132" t="n">
        <v>-150000</v>
      </c>
      <c r="N7" s="132" t="n">
        <v>-150000</v>
      </c>
      <c r="O7" s="132" t="n">
        <v>-150000</v>
      </c>
      <c r="P7" s="132" t="n">
        <v>-150000</v>
      </c>
      <c r="Q7" s="132" t="n">
        <v>-150000</v>
      </c>
    </row>
    <row r="8" customFormat="false" ht="15" hidden="false" customHeight="true" outlineLevel="0" collapsed="false">
      <c r="B8" s="128" t="s">
        <v>498</v>
      </c>
      <c r="C8" s="130" t="n">
        <v>0</v>
      </c>
      <c r="D8" s="130" t="n">
        <v>0</v>
      </c>
      <c r="E8" s="130" t="n">
        <v>0</v>
      </c>
      <c r="F8" s="129" t="n">
        <v>-41667</v>
      </c>
      <c r="G8" s="129" t="n">
        <v>-41667</v>
      </c>
      <c r="H8" s="129" t="n">
        <v>-41667</v>
      </c>
      <c r="I8" s="129" t="n">
        <v>-41667</v>
      </c>
      <c r="J8" s="129" t="n">
        <v>-41667</v>
      </c>
      <c r="K8" s="129" t="n">
        <v>-41667</v>
      </c>
      <c r="L8" s="129" t="n">
        <v>-41667</v>
      </c>
      <c r="M8" s="129" t="n">
        <v>-41667</v>
      </c>
      <c r="N8" s="129" t="n">
        <v>-41667</v>
      </c>
      <c r="O8" s="129" t="n">
        <v>-41667</v>
      </c>
      <c r="P8" s="129" t="n">
        <v>-41667</v>
      </c>
      <c r="Q8" s="129" t="n">
        <v>-41667</v>
      </c>
    </row>
    <row r="9" customFormat="false" ht="15.75" hidden="false" customHeight="true" outlineLevel="0" collapsed="false">
      <c r="B9" s="133" t="s">
        <v>499</v>
      </c>
      <c r="C9" s="72" t="n">
        <f aca="false">SUM(C6:C8)</f>
        <v>-1698750</v>
      </c>
      <c r="D9" s="72" t="n">
        <f aca="false">SUM(D6:D8)</f>
        <v>-1359000</v>
      </c>
      <c r="E9" s="72" t="n">
        <f aca="false">SUM(E6:E8)</f>
        <v>-2265000</v>
      </c>
      <c r="F9" s="72" t="n">
        <f aca="false">SUM(F6:F8)</f>
        <v>-1174167</v>
      </c>
      <c r="G9" s="72" t="n">
        <f aca="false">SUM(G6:G8)</f>
        <v>-947667</v>
      </c>
      <c r="H9" s="72" t="n">
        <f aca="false">SUM(H6:H8)</f>
        <v>-1740417</v>
      </c>
      <c r="I9" s="72" t="n">
        <f aca="false">SUM(I6:I8)</f>
        <v>-871167</v>
      </c>
      <c r="J9" s="72" t="n">
        <f aca="false">SUM(J6:J8)</f>
        <v>-871167</v>
      </c>
      <c r="K9" s="72" t="n">
        <f aca="false">SUM(K6:K8)</f>
        <v>-531417</v>
      </c>
      <c r="L9" s="72" t="n">
        <f aca="false">SUM(L6:L8)</f>
        <v>-191667</v>
      </c>
      <c r="M9" s="72" t="n">
        <f aca="false">SUM(M6:M8)</f>
        <v>-191667</v>
      </c>
      <c r="N9" s="72" t="n">
        <f aca="false">SUM(N6:N8)</f>
        <v>-191667</v>
      </c>
      <c r="O9" s="72" t="n">
        <f aca="false">SUM(O6:O8)</f>
        <v>-191667</v>
      </c>
      <c r="P9" s="72" t="n">
        <f aca="false">SUM(P6:P8)</f>
        <v>-191667</v>
      </c>
      <c r="Q9" s="72" t="n">
        <f aca="false">SUM(Q6:Q8)</f>
        <v>-531417</v>
      </c>
    </row>
    <row r="11" customFormat="false" ht="15.75" hidden="false" customHeight="true" outlineLevel="0" collapsed="false">
      <c r="B11" s="58" t="s">
        <v>500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</row>
    <row r="12" customFormat="false" ht="15" hidden="false" customHeight="true" outlineLevel="0" collapsed="false">
      <c r="B12" s="59" t="s">
        <v>501</v>
      </c>
      <c r="C12" s="134" t="n">
        <v>0</v>
      </c>
      <c r="D12" s="134" t="n">
        <v>0</v>
      </c>
      <c r="E12" s="134" t="n">
        <v>0</v>
      </c>
      <c r="F12" s="134" t="n">
        <v>0</v>
      </c>
      <c r="G12" s="134" t="n">
        <v>0</v>
      </c>
      <c r="H12" s="134" t="n">
        <v>0</v>
      </c>
      <c r="I12" s="135" t="n">
        <v>32500000</v>
      </c>
      <c r="J12" s="135" t="n">
        <v>48750000</v>
      </c>
      <c r="K12" s="135" t="n">
        <v>65000000</v>
      </c>
      <c r="L12" s="135" t="n">
        <v>81250000</v>
      </c>
      <c r="M12" s="135" t="n">
        <v>97500000</v>
      </c>
      <c r="N12" s="135" t="n">
        <v>113750000</v>
      </c>
      <c r="O12" s="135" t="n">
        <v>130000000</v>
      </c>
      <c r="P12" s="135" t="n">
        <v>146250000</v>
      </c>
      <c r="Q12" s="135" t="n">
        <v>162500000</v>
      </c>
    </row>
    <row r="13" customFormat="false" ht="15" hidden="false" customHeight="true" outlineLevel="0" collapsed="false">
      <c r="B13" s="37" t="s">
        <v>502</v>
      </c>
      <c r="C13" s="131" t="n">
        <v>0</v>
      </c>
      <c r="D13" s="131" t="n">
        <v>0</v>
      </c>
      <c r="E13" s="131" t="n">
        <v>0</v>
      </c>
      <c r="F13" s="131" t="n">
        <v>0</v>
      </c>
      <c r="G13" s="131" t="n">
        <v>0</v>
      </c>
      <c r="H13" s="131" t="n">
        <v>0</v>
      </c>
      <c r="I13" s="136" t="n">
        <v>4500000</v>
      </c>
      <c r="J13" s="136" t="n">
        <v>6750000</v>
      </c>
      <c r="K13" s="136" t="n">
        <v>9000000</v>
      </c>
      <c r="L13" s="136" t="n">
        <v>11250000</v>
      </c>
      <c r="M13" s="136" t="n">
        <v>13500000</v>
      </c>
      <c r="N13" s="136" t="n">
        <v>15750000</v>
      </c>
      <c r="O13" s="136" t="n">
        <v>18000000</v>
      </c>
      <c r="P13" s="136" t="n">
        <v>20250000</v>
      </c>
      <c r="Q13" s="136" t="n">
        <v>22500000</v>
      </c>
    </row>
    <row r="14" customFormat="false" ht="15" hidden="false" customHeight="true" outlineLevel="0" collapsed="false">
      <c r="B14" s="59" t="s">
        <v>198</v>
      </c>
      <c r="C14" s="134" t="n">
        <v>0</v>
      </c>
      <c r="D14" s="134" t="n">
        <v>0</v>
      </c>
      <c r="E14" s="134" t="n">
        <v>0</v>
      </c>
      <c r="F14" s="134" t="n">
        <v>0</v>
      </c>
      <c r="G14" s="134" t="n">
        <v>0</v>
      </c>
      <c r="H14" s="134" t="n">
        <v>0</v>
      </c>
      <c r="I14" s="135" t="n">
        <v>2500000</v>
      </c>
      <c r="J14" s="135" t="n">
        <v>4000000</v>
      </c>
      <c r="K14" s="135" t="n">
        <v>5500000</v>
      </c>
      <c r="L14" s="135" t="n">
        <v>7000000</v>
      </c>
      <c r="M14" s="135" t="n">
        <v>8500000</v>
      </c>
      <c r="N14" s="135" t="n">
        <v>10000000</v>
      </c>
      <c r="O14" s="135" t="n">
        <v>11500000</v>
      </c>
      <c r="P14" s="135" t="n">
        <v>13000000</v>
      </c>
      <c r="Q14" s="135" t="n">
        <v>14500000</v>
      </c>
    </row>
    <row r="15" customFormat="false" ht="15" hidden="false" customHeight="true" outlineLevel="0" collapsed="false">
      <c r="B15" s="37" t="s">
        <v>503</v>
      </c>
      <c r="C15" s="131" t="n">
        <v>0</v>
      </c>
      <c r="D15" s="131" t="n">
        <v>0</v>
      </c>
      <c r="E15" s="131" t="n">
        <v>0</v>
      </c>
      <c r="F15" s="131" t="n">
        <v>0</v>
      </c>
      <c r="G15" s="131" t="n">
        <v>0</v>
      </c>
      <c r="H15" s="131" t="n">
        <v>0</v>
      </c>
      <c r="I15" s="136" t="n">
        <v>5000000</v>
      </c>
      <c r="J15" s="136" t="n">
        <v>7500000</v>
      </c>
      <c r="K15" s="136" t="n">
        <v>10000000</v>
      </c>
      <c r="L15" s="136" t="n">
        <v>12500000</v>
      </c>
      <c r="M15" s="136" t="n">
        <v>15000000</v>
      </c>
      <c r="N15" s="136" t="n">
        <v>17500000</v>
      </c>
      <c r="O15" s="136" t="n">
        <v>20000000</v>
      </c>
      <c r="P15" s="136" t="n">
        <v>22500000</v>
      </c>
      <c r="Q15" s="136" t="n">
        <v>25000000</v>
      </c>
    </row>
    <row r="16" customFormat="false" ht="15" hidden="false" customHeight="true" outlineLevel="0" collapsed="false">
      <c r="B16" s="59" t="s">
        <v>504</v>
      </c>
      <c r="C16" s="134" t="n">
        <v>0</v>
      </c>
      <c r="D16" s="134" t="n">
        <v>0</v>
      </c>
      <c r="E16" s="134" t="n">
        <v>0</v>
      </c>
      <c r="F16" s="134" t="n">
        <v>0</v>
      </c>
      <c r="G16" s="134" t="n">
        <v>0</v>
      </c>
      <c r="H16" s="134" t="n">
        <v>0</v>
      </c>
      <c r="I16" s="135" t="n">
        <v>3000000</v>
      </c>
      <c r="J16" s="135" t="n">
        <v>5000000</v>
      </c>
      <c r="K16" s="135" t="n">
        <v>7000000</v>
      </c>
      <c r="L16" s="135" t="n">
        <v>9000000</v>
      </c>
      <c r="M16" s="135" t="n">
        <v>11000000</v>
      </c>
      <c r="N16" s="135" t="n">
        <v>13000000</v>
      </c>
      <c r="O16" s="135" t="n">
        <v>15000000</v>
      </c>
      <c r="P16" s="135" t="n">
        <v>17000000</v>
      </c>
      <c r="Q16" s="135" t="n">
        <v>19000000</v>
      </c>
    </row>
    <row r="17" customFormat="false" ht="15.75" hidden="false" customHeight="true" outlineLevel="0" collapsed="false">
      <c r="B17" s="137" t="s">
        <v>505</v>
      </c>
      <c r="C17" s="71" t="n">
        <f aca="false">SUM(C12:C16)</f>
        <v>0</v>
      </c>
      <c r="D17" s="71" t="n">
        <f aca="false">SUM(D12:D16)</f>
        <v>0</v>
      </c>
      <c r="E17" s="71" t="n">
        <f aca="false">SUM(E12:E16)</f>
        <v>0</v>
      </c>
      <c r="F17" s="71" t="n">
        <f aca="false">SUM(F12:F16)</f>
        <v>0</v>
      </c>
      <c r="G17" s="71" t="n">
        <f aca="false">SUM(G12:G16)</f>
        <v>0</v>
      </c>
      <c r="H17" s="71" t="n">
        <f aca="false">SUM(H12:H16)</f>
        <v>0</v>
      </c>
      <c r="I17" s="71" t="n">
        <f aca="false">SUM(I12:I16)</f>
        <v>47500000</v>
      </c>
      <c r="J17" s="71" t="n">
        <f aca="false">SUM(J12:J16)</f>
        <v>72000000</v>
      </c>
      <c r="K17" s="71" t="n">
        <f aca="false">SUM(K12:K16)</f>
        <v>96500000</v>
      </c>
      <c r="L17" s="71" t="n">
        <f aca="false">SUM(L12:L16)</f>
        <v>121000000</v>
      </c>
      <c r="M17" s="71" t="n">
        <f aca="false">SUM(M12:M16)</f>
        <v>145500000</v>
      </c>
      <c r="N17" s="71" t="n">
        <f aca="false">SUM(N12:N16)</f>
        <v>170000000</v>
      </c>
      <c r="O17" s="71" t="n">
        <f aca="false">SUM(O12:O16)</f>
        <v>194500000</v>
      </c>
      <c r="P17" s="71" t="n">
        <f aca="false">SUM(P12:P16)</f>
        <v>219000000</v>
      </c>
      <c r="Q17" s="71" t="n">
        <f aca="false">SUM(Q12:Q16)</f>
        <v>243500000</v>
      </c>
    </row>
    <row r="19" customFormat="false" ht="15.75" hidden="false" customHeight="true" outlineLevel="0" collapsed="false">
      <c r="B19" s="138" t="s">
        <v>506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</row>
    <row r="20" customFormat="false" ht="15.75" hidden="false" customHeight="true" outlineLevel="0" collapsed="false">
      <c r="B20" s="52" t="s">
        <v>507</v>
      </c>
      <c r="C20" s="139" t="n">
        <f aca="false">C17+C9</f>
        <v>-1698750</v>
      </c>
      <c r="D20" s="139" t="n">
        <f aca="false">D17+D9</f>
        <v>-1359000</v>
      </c>
      <c r="E20" s="139" t="n">
        <f aca="false">E17+E9</f>
        <v>-2265000</v>
      </c>
      <c r="F20" s="139" t="n">
        <f aca="false">F17+F9</f>
        <v>-1174167</v>
      </c>
      <c r="G20" s="139" t="n">
        <f aca="false">G17+G9</f>
        <v>-947667</v>
      </c>
      <c r="H20" s="139" t="n">
        <f aca="false">H17+H9</f>
        <v>-1740417</v>
      </c>
      <c r="I20" s="139" t="n">
        <f aca="false">I17+I9</f>
        <v>46628833</v>
      </c>
      <c r="J20" s="139" t="n">
        <f aca="false">J17+J9</f>
        <v>71128833</v>
      </c>
      <c r="K20" s="139" t="n">
        <f aca="false">K17+K9</f>
        <v>95968583</v>
      </c>
      <c r="L20" s="139" t="n">
        <f aca="false">L17+L9</f>
        <v>120808333</v>
      </c>
      <c r="M20" s="139" t="n">
        <f aca="false">M17+M9</f>
        <v>145308333</v>
      </c>
      <c r="N20" s="139" t="n">
        <f aca="false">N17+N9</f>
        <v>169808333</v>
      </c>
      <c r="O20" s="139" t="n">
        <f aca="false">O17+O9</f>
        <v>194308333</v>
      </c>
      <c r="P20" s="139" t="n">
        <f aca="false">P17+P9</f>
        <v>218808333</v>
      </c>
      <c r="Q20" s="139" t="n">
        <f aca="false">Q17+Q9</f>
        <v>242968583</v>
      </c>
    </row>
    <row r="21" customFormat="false" ht="15.75" hidden="false" customHeight="true" outlineLevel="0" collapsed="false">
      <c r="B21" s="78" t="s">
        <v>508</v>
      </c>
      <c r="C21" s="140" t="n">
        <f aca="false">C20</f>
        <v>-1698750</v>
      </c>
      <c r="D21" s="140" t="n">
        <f aca="false">C21+D20</f>
        <v>-3057750</v>
      </c>
      <c r="E21" s="140" t="n">
        <f aca="false">D21+E20</f>
        <v>-5322750</v>
      </c>
      <c r="F21" s="140" t="n">
        <f aca="false">E21+F20</f>
        <v>-6496917</v>
      </c>
      <c r="G21" s="140" t="n">
        <f aca="false">F21+G20</f>
        <v>-7444584</v>
      </c>
      <c r="H21" s="140" t="n">
        <f aca="false">G21+H20</f>
        <v>-9185001</v>
      </c>
      <c r="I21" s="140" t="n">
        <f aca="false">H21+I20</f>
        <v>37443832</v>
      </c>
      <c r="J21" s="140" t="n">
        <f aca="false">I21+J20</f>
        <v>108572665</v>
      </c>
      <c r="K21" s="140" t="n">
        <f aca="false">J21+K20</f>
        <v>204541248</v>
      </c>
      <c r="L21" s="140" t="n">
        <f aca="false">K21+L20</f>
        <v>325349581</v>
      </c>
      <c r="M21" s="140" t="n">
        <f aca="false">L21+M20</f>
        <v>470657914</v>
      </c>
      <c r="N21" s="140" t="n">
        <f aca="false">M21+N20</f>
        <v>640466247</v>
      </c>
      <c r="O21" s="140" t="n">
        <f aca="false">N21+O20</f>
        <v>834774580</v>
      </c>
      <c r="P21" s="140" t="n">
        <f aca="false">O21+P20</f>
        <v>1053582913</v>
      </c>
      <c r="Q21" s="140" t="n">
        <f aca="false">P21+Q20</f>
        <v>1296551496</v>
      </c>
    </row>
    <row r="22" customFormat="false" ht="13.5" hidden="false" customHeight="true" outlineLevel="0" collapsed="false">
      <c r="B22" s="22" t="s">
        <v>509</v>
      </c>
      <c r="C22" s="141" t="n">
        <v>1</v>
      </c>
      <c r="D22" s="141" t="n">
        <v>0.9809</v>
      </c>
      <c r="E22" s="141" t="n">
        <v>0.9623</v>
      </c>
      <c r="F22" s="141" t="n">
        <v>0.9439</v>
      </c>
      <c r="G22" s="141" t="n">
        <v>0.9259</v>
      </c>
      <c r="H22" s="141" t="n">
        <v>0.9083</v>
      </c>
      <c r="I22" s="141" t="n">
        <v>0.891</v>
      </c>
      <c r="J22" s="141" t="n">
        <v>0.874</v>
      </c>
      <c r="K22" s="141" t="n">
        <v>0.8573</v>
      </c>
      <c r="L22" s="141" t="n">
        <v>0.841</v>
      </c>
      <c r="M22" s="141" t="n">
        <v>0.825</v>
      </c>
      <c r="N22" s="141" t="n">
        <v>0.8093</v>
      </c>
      <c r="O22" s="141" t="n">
        <v>0.7938</v>
      </c>
      <c r="P22" s="141" t="n">
        <v>0.7787</v>
      </c>
      <c r="Q22" s="141" t="n">
        <v>0.7639</v>
      </c>
    </row>
    <row r="23" customFormat="false" ht="15.75" hidden="false" customHeight="true" outlineLevel="0" collapsed="false">
      <c r="B23" s="142" t="s">
        <v>510</v>
      </c>
      <c r="C23" s="143" t="n">
        <f aca="false">C20*C22</f>
        <v>-1698750</v>
      </c>
      <c r="D23" s="143" t="n">
        <f aca="false">D20*D22</f>
        <v>-1333043.1</v>
      </c>
      <c r="E23" s="143" t="n">
        <f aca="false">E20*E22</f>
        <v>-2179609.5</v>
      </c>
      <c r="F23" s="143" t="n">
        <f aca="false">F20*F22</f>
        <v>-1108296.2313</v>
      </c>
      <c r="G23" s="143" t="n">
        <f aca="false">G20*G22</f>
        <v>-877444.8753</v>
      </c>
      <c r="H23" s="143" t="n">
        <f aca="false">H20*H22</f>
        <v>-1580820.7611</v>
      </c>
      <c r="I23" s="143" t="n">
        <f aca="false">I20*I22</f>
        <v>41546290.203</v>
      </c>
      <c r="J23" s="143" t="n">
        <f aca="false">J20*J22</f>
        <v>62166600.042</v>
      </c>
      <c r="K23" s="143" t="n">
        <f aca="false">K20*K22</f>
        <v>82273866.2059</v>
      </c>
      <c r="L23" s="143" t="n">
        <f aca="false">L20*L22</f>
        <v>101599808.053</v>
      </c>
      <c r="M23" s="143" t="n">
        <f aca="false">M20*M22</f>
        <v>119879374.725</v>
      </c>
      <c r="N23" s="143" t="n">
        <f aca="false">N20*N22</f>
        <v>137425883.8969</v>
      </c>
      <c r="O23" s="143" t="n">
        <f aca="false">O20*O22</f>
        <v>154241954.7354</v>
      </c>
      <c r="P23" s="143" t="n">
        <f aca="false">P20*P22</f>
        <v>170386048.9071</v>
      </c>
      <c r="Q23" s="143" t="n">
        <f aca="false">Q20*Q22</f>
        <v>185603700.5537</v>
      </c>
    </row>
    <row r="25" customFormat="false" ht="15.75" hidden="false" customHeight="true" outlineLevel="0" collapsed="false">
      <c r="B25" s="138" t="s">
        <v>511</v>
      </c>
      <c r="C25" s="138"/>
      <c r="D25" s="138"/>
      <c r="E25" s="138"/>
    </row>
    <row r="26" customFormat="false" ht="15.75" hidden="false" customHeight="true" outlineLevel="0" collapsed="false">
      <c r="B26" s="144" t="s">
        <v>512</v>
      </c>
      <c r="C26" s="145" t="n">
        <f aca="false">SUMIF(C20:Q20,"&gt;0",C23:Q23)</f>
        <v>1055123527.322</v>
      </c>
    </row>
    <row r="27" customFormat="false" ht="15.75" hidden="false" customHeight="true" outlineLevel="0" collapsed="false">
      <c r="B27" s="25" t="s">
        <v>513</v>
      </c>
      <c r="C27" s="38" t="n">
        <f aca="false">SUMIF(C20:Q20,"&lt;0",C23:Q23)</f>
        <v>-8777964.4677</v>
      </c>
    </row>
    <row r="28" customFormat="false" ht="15.75" hidden="false" customHeight="true" outlineLevel="0" collapsed="false">
      <c r="B28" s="103" t="s">
        <v>514</v>
      </c>
      <c r="C28" s="146" t="n">
        <f aca="false">SUM(C23:Q23)</f>
        <v>1046345562.8543</v>
      </c>
    </row>
    <row r="29" customFormat="false" ht="15.75" hidden="false" customHeight="true" outlineLevel="0" collapsed="false">
      <c r="B29" s="25" t="s">
        <v>515</v>
      </c>
      <c r="C29" s="147" t="n">
        <f aca="false">SUM(C23:Q23)/-11098500</f>
        <v>-94.2781063075461</v>
      </c>
    </row>
    <row r="30" customFormat="false" ht="15.75" hidden="false" customHeight="true" outlineLevel="0" collapsed="false">
      <c r="B30" s="144" t="s">
        <v>516</v>
      </c>
      <c r="C30" s="148" t="s">
        <v>517</v>
      </c>
    </row>
    <row r="31" customFormat="false" ht="15.75" hidden="false" customHeight="true" outlineLevel="0" collapsed="false">
      <c r="B31" s="25" t="s">
        <v>518</v>
      </c>
      <c r="C31" s="109" t="s">
        <v>519</v>
      </c>
    </row>
  </sheetData>
  <mergeCells count="6">
    <mergeCell ref="B1:H1"/>
    <mergeCell ref="B2:H2"/>
    <mergeCell ref="B5:Q5"/>
    <mergeCell ref="B11:Q11"/>
    <mergeCell ref="B19:Q19"/>
    <mergeCell ref="B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7" min="3" style="1" width="18"/>
    <col collapsed="false" customWidth="true" hidden="false" outlineLevel="0" max="8" min="8" style="1" width="3"/>
  </cols>
  <sheetData>
    <row r="1" customFormat="false" ht="21.75" hidden="false" customHeight="true" outlineLevel="0" collapsed="false">
      <c r="B1" s="32" t="s">
        <v>520</v>
      </c>
      <c r="C1" s="32"/>
      <c r="D1" s="32"/>
      <c r="E1" s="32"/>
      <c r="F1" s="32"/>
      <c r="G1" s="32"/>
      <c r="H1" s="32"/>
    </row>
    <row r="2" customFormat="false" ht="19.5" hidden="false" customHeight="true" outlineLevel="0" collapsed="false">
      <c r="B2" s="105" t="s">
        <v>521</v>
      </c>
      <c r="C2" s="105"/>
      <c r="D2" s="105"/>
      <c r="E2" s="105"/>
      <c r="F2" s="105"/>
      <c r="G2" s="105"/>
      <c r="H2" s="105"/>
    </row>
    <row r="3" customFormat="false" ht="7.5" hidden="false" customHeight="true" outlineLevel="0" collapsed="false"/>
    <row r="4" customFormat="false" ht="18" hidden="false" customHeight="true" outlineLevel="0" collapsed="false">
      <c r="B4" s="149" t="s">
        <v>522</v>
      </c>
      <c r="C4" s="150" t="n">
        <f aca="false">'4. Assumptions'!C4</f>
        <v>0</v>
      </c>
    </row>
    <row r="5" customFormat="false" ht="7.5" hidden="false" customHeight="true" outlineLevel="0" collapsed="false"/>
    <row r="6" customFormat="false" ht="15.75" hidden="false" customHeight="true" outlineLevel="0" collapsed="false">
      <c r="B6" s="21" t="s">
        <v>523</v>
      </c>
      <c r="C6" s="21" t="s">
        <v>524</v>
      </c>
      <c r="D6" s="21" t="s">
        <v>435</v>
      </c>
      <c r="E6" s="21" t="s">
        <v>436</v>
      </c>
      <c r="F6" s="21" t="s">
        <v>437</v>
      </c>
      <c r="G6" s="21" t="s">
        <v>525</v>
      </c>
    </row>
    <row r="7" customFormat="false" ht="15.75" hidden="false" customHeight="true" outlineLevel="0" collapsed="false">
      <c r="B7" s="151" t="s">
        <v>526</v>
      </c>
      <c r="C7" s="151"/>
      <c r="D7" s="151"/>
      <c r="E7" s="151"/>
      <c r="F7" s="151"/>
      <c r="G7" s="151"/>
    </row>
    <row r="8" customFormat="false" ht="15" hidden="false" customHeight="true" outlineLevel="0" collapsed="false">
      <c r="B8" s="152" t="s">
        <v>527</v>
      </c>
      <c r="C8" s="153" t="n">
        <v>1.86</v>
      </c>
      <c r="D8" s="153" t="n">
        <v>6.05</v>
      </c>
      <c r="E8" s="153" t="n">
        <v>18.6</v>
      </c>
      <c r="F8" s="153" t="n">
        <v>34.1</v>
      </c>
      <c r="G8" s="154" t="n">
        <v>32.24</v>
      </c>
    </row>
    <row r="9" customFormat="false" ht="15" hidden="false" customHeight="true" outlineLevel="0" collapsed="false">
      <c r="B9" s="37" t="s">
        <v>528</v>
      </c>
      <c r="C9" s="26" t="n">
        <v>4.34</v>
      </c>
      <c r="D9" s="26" t="n">
        <v>7.4</v>
      </c>
      <c r="E9" s="26" t="n">
        <v>19.8</v>
      </c>
      <c r="F9" s="26" t="n">
        <v>40.3</v>
      </c>
      <c r="G9" s="155" t="n">
        <v>35.96</v>
      </c>
    </row>
    <row r="10" customFormat="false" ht="15" hidden="false" customHeight="true" outlineLevel="0" collapsed="false">
      <c r="B10" s="152" t="s">
        <v>529</v>
      </c>
      <c r="C10" s="153" t="n">
        <v>0.14</v>
      </c>
      <c r="D10" s="153" t="n">
        <v>0.31</v>
      </c>
      <c r="E10" s="153" t="n">
        <v>2.3</v>
      </c>
      <c r="F10" s="153" t="n">
        <v>8.4</v>
      </c>
      <c r="G10" s="154" t="n">
        <v>8.26</v>
      </c>
    </row>
    <row r="11" customFormat="false" ht="15" hidden="false" customHeight="true" outlineLevel="0" collapsed="false">
      <c r="B11" s="37" t="s">
        <v>530</v>
      </c>
      <c r="C11" s="26" t="n">
        <v>0.28</v>
      </c>
      <c r="D11" s="26" t="n">
        <v>0.65</v>
      </c>
      <c r="E11" s="26" t="n">
        <v>3.8</v>
      </c>
      <c r="F11" s="26" t="n">
        <v>9.3</v>
      </c>
      <c r="G11" s="155" t="n">
        <v>9.02</v>
      </c>
    </row>
    <row r="12" customFormat="false" ht="15" hidden="false" customHeight="true" outlineLevel="0" collapsed="false">
      <c r="B12" s="152" t="s">
        <v>531</v>
      </c>
      <c r="C12" s="153" t="n">
        <v>6.62</v>
      </c>
      <c r="D12" s="153" t="n">
        <v>14.41</v>
      </c>
      <c r="E12" s="153" t="n">
        <v>44.5</v>
      </c>
      <c r="F12" s="153" t="n">
        <v>92.1</v>
      </c>
      <c r="G12" s="154" t="n">
        <v>85.48</v>
      </c>
    </row>
    <row r="13" customFormat="false" ht="15" hidden="false" customHeight="true" outlineLevel="0" collapsed="false">
      <c r="B13" s="37" t="s">
        <v>532</v>
      </c>
      <c r="C13" s="26" t="n">
        <v>0</v>
      </c>
      <c r="D13" s="26" t="n">
        <v>7.79</v>
      </c>
      <c r="E13" s="26" t="n">
        <v>37.9</v>
      </c>
      <c r="F13" s="26" t="n">
        <v>85.5</v>
      </c>
      <c r="G13" s="155" t="n">
        <v>85.5</v>
      </c>
    </row>
    <row r="15" customFormat="false" ht="15.75" hidden="false" customHeight="true" outlineLevel="0" collapsed="false">
      <c r="B15" s="151" t="s">
        <v>533</v>
      </c>
      <c r="C15" s="151"/>
      <c r="D15" s="151"/>
      <c r="E15" s="151"/>
      <c r="F15" s="151"/>
      <c r="G15" s="151"/>
    </row>
    <row r="16" customFormat="false" ht="15" hidden="false" customHeight="true" outlineLevel="0" collapsed="false">
      <c r="B16" s="152" t="s">
        <v>534</v>
      </c>
      <c r="C16" s="153" t="n">
        <v>175.5</v>
      </c>
      <c r="D16" s="153" t="n">
        <v>0</v>
      </c>
      <c r="E16" s="153" t="n">
        <v>0</v>
      </c>
      <c r="F16" s="153" t="n">
        <v>0</v>
      </c>
      <c r="G16" s="156" t="n">
        <v>-175.5</v>
      </c>
    </row>
    <row r="17" customFormat="false" ht="15" hidden="false" customHeight="true" outlineLevel="0" collapsed="false">
      <c r="B17" s="37" t="s">
        <v>535</v>
      </c>
      <c r="C17" s="26" t="n">
        <v>0</v>
      </c>
      <c r="D17" s="26" t="n">
        <v>27.9</v>
      </c>
      <c r="E17" s="26" t="n">
        <v>27.9</v>
      </c>
      <c r="F17" s="26" t="n">
        <v>27.9</v>
      </c>
      <c r="G17" s="155" t="n">
        <v>27.9</v>
      </c>
    </row>
    <row r="18" customFormat="false" ht="15" hidden="false" customHeight="true" outlineLevel="0" collapsed="false">
      <c r="B18" s="152" t="s">
        <v>536</v>
      </c>
      <c r="C18" s="153" t="n">
        <v>0</v>
      </c>
      <c r="D18" s="153" t="n">
        <v>7.75</v>
      </c>
      <c r="E18" s="153" t="n">
        <v>7.75</v>
      </c>
      <c r="F18" s="153" t="n">
        <v>7.75</v>
      </c>
      <c r="G18" s="154" t="n">
        <v>7.75</v>
      </c>
    </row>
    <row r="19" customFormat="false" ht="15" hidden="false" customHeight="true" outlineLevel="0" collapsed="false">
      <c r="B19" s="37" t="s">
        <v>537</v>
      </c>
      <c r="C19" s="26" t="n">
        <v>0</v>
      </c>
      <c r="D19" s="26" t="n">
        <v>0</v>
      </c>
      <c r="E19" s="26" t="n">
        <v>0</v>
      </c>
      <c r="F19" s="26" t="n">
        <v>231.5</v>
      </c>
      <c r="G19" s="155" t="n">
        <v>231.5</v>
      </c>
    </row>
    <row r="21" customFormat="false" ht="15.75" hidden="false" customHeight="true" outlineLevel="0" collapsed="false">
      <c r="B21" s="151" t="s">
        <v>538</v>
      </c>
      <c r="C21" s="151"/>
      <c r="D21" s="151"/>
      <c r="E21" s="151"/>
      <c r="F21" s="151"/>
      <c r="G21" s="151"/>
    </row>
    <row r="22" customFormat="false" ht="15" hidden="false" customHeight="true" outlineLevel="0" collapsed="false">
      <c r="B22" s="152" t="s">
        <v>539</v>
      </c>
      <c r="C22" s="153" t="n">
        <v>87</v>
      </c>
      <c r="D22" s="153" t="n">
        <v>102.9</v>
      </c>
      <c r="E22" s="153" t="n">
        <v>140</v>
      </c>
      <c r="F22" s="153" t="n">
        <v>186.7</v>
      </c>
      <c r="G22" s="154" t="n">
        <v>99.7</v>
      </c>
    </row>
    <row r="23" customFormat="false" ht="15" hidden="false" customHeight="true" outlineLevel="0" collapsed="false">
      <c r="B23" s="37" t="s">
        <v>540</v>
      </c>
      <c r="C23" s="26" t="n">
        <v>43.4</v>
      </c>
      <c r="D23" s="26" t="n">
        <v>30.4</v>
      </c>
      <c r="E23" s="26" t="n">
        <v>17.8</v>
      </c>
      <c r="F23" s="26" t="n">
        <v>6.2</v>
      </c>
      <c r="G23" s="157" t="n">
        <v>-37.2</v>
      </c>
    </row>
    <row r="24" customFormat="false" ht="15" hidden="false" customHeight="true" outlineLevel="0" collapsed="false">
      <c r="B24" s="152" t="s">
        <v>541</v>
      </c>
      <c r="C24" s="153" t="n">
        <v>17.1</v>
      </c>
      <c r="D24" s="153" t="n">
        <v>25.6</v>
      </c>
      <c r="E24" s="153" t="n">
        <v>46.5</v>
      </c>
      <c r="F24" s="153" t="n">
        <v>83.7</v>
      </c>
      <c r="G24" s="154" t="n">
        <v>66.6</v>
      </c>
    </row>
    <row r="25" customFormat="false" ht="15" hidden="false" customHeight="true" outlineLevel="0" collapsed="false">
      <c r="B25" s="37" t="s">
        <v>542</v>
      </c>
      <c r="C25" s="109" t="s">
        <v>473</v>
      </c>
      <c r="D25" s="109" t="s">
        <v>543</v>
      </c>
      <c r="E25" s="109" t="s">
        <v>544</v>
      </c>
      <c r="F25" s="109" t="s">
        <v>545</v>
      </c>
      <c r="G25" s="158" t="s">
        <v>546</v>
      </c>
    </row>
    <row r="26" customFormat="false" ht="15" hidden="false" customHeight="true" outlineLevel="0" collapsed="false">
      <c r="B26" s="152" t="s">
        <v>547</v>
      </c>
      <c r="C26" s="153" t="n">
        <v>0</v>
      </c>
      <c r="D26" s="153" t="n">
        <v>12.5</v>
      </c>
      <c r="E26" s="153" t="n">
        <v>41</v>
      </c>
      <c r="F26" s="153" t="n">
        <v>110</v>
      </c>
      <c r="G26" s="154" t="n">
        <v>110</v>
      </c>
    </row>
    <row r="28" customFormat="false" ht="15.75" hidden="false" customHeight="true" outlineLevel="0" collapsed="false">
      <c r="B28" s="151" t="s">
        <v>548</v>
      </c>
      <c r="C28" s="151"/>
      <c r="D28" s="151"/>
      <c r="E28" s="151"/>
      <c r="F28" s="151"/>
      <c r="G28" s="151"/>
    </row>
    <row r="29" customFormat="false" ht="15" hidden="false" customHeight="true" outlineLevel="0" collapsed="false">
      <c r="B29" s="152" t="s">
        <v>549</v>
      </c>
      <c r="C29" s="153" t="n">
        <v>1317</v>
      </c>
      <c r="D29" s="153" t="n">
        <v>1705</v>
      </c>
      <c r="E29" s="153" t="n">
        <v>2790</v>
      </c>
      <c r="F29" s="153" t="n">
        <v>4340</v>
      </c>
      <c r="G29" s="154" t="n">
        <v>3023</v>
      </c>
    </row>
    <row r="30" customFormat="false" ht="15" hidden="false" customHeight="true" outlineLevel="0" collapsed="false">
      <c r="B30" s="37" t="s">
        <v>550</v>
      </c>
      <c r="C30" s="26" t="n">
        <v>0</v>
      </c>
      <c r="D30" s="26" t="n">
        <v>0.19</v>
      </c>
      <c r="E30" s="26" t="n">
        <v>0.85</v>
      </c>
      <c r="F30" s="26" t="n">
        <v>2.17</v>
      </c>
      <c r="G30" s="155" t="n">
        <v>2.17</v>
      </c>
    </row>
    <row r="31" customFormat="false" ht="15" hidden="false" customHeight="true" outlineLevel="0" collapsed="false">
      <c r="B31" s="152" t="s">
        <v>551</v>
      </c>
      <c r="C31" s="153" t="n">
        <v>0</v>
      </c>
      <c r="D31" s="153" t="n">
        <v>0.31</v>
      </c>
      <c r="E31" s="153" t="n">
        <v>1.4</v>
      </c>
      <c r="F31" s="153" t="n">
        <v>3.72</v>
      </c>
      <c r="G31" s="154" t="n">
        <v>3.72</v>
      </c>
    </row>
    <row r="32" customFormat="false" ht="15" hidden="false" customHeight="true" outlineLevel="0" collapsed="false">
      <c r="B32" s="37" t="s">
        <v>552</v>
      </c>
      <c r="C32" s="26" t="n">
        <v>0</v>
      </c>
      <c r="D32" s="26" t="n">
        <v>0.12</v>
      </c>
      <c r="E32" s="26" t="n">
        <v>0.54</v>
      </c>
      <c r="F32" s="26" t="n">
        <v>1.4</v>
      </c>
      <c r="G32" s="155" t="n">
        <v>1.4</v>
      </c>
    </row>
    <row r="33" customFormat="false" ht="15" hidden="false" customHeight="true" outlineLevel="0" collapsed="false">
      <c r="B33" s="152" t="s">
        <v>553</v>
      </c>
      <c r="C33" s="153" t="n">
        <v>0</v>
      </c>
      <c r="D33" s="153" t="n">
        <v>0.62</v>
      </c>
      <c r="E33" s="153" t="n">
        <v>2.79</v>
      </c>
      <c r="F33" s="153" t="n">
        <v>7.29</v>
      </c>
      <c r="G33" s="154" t="n">
        <v>7.29</v>
      </c>
    </row>
    <row r="34" customFormat="false" ht="15" hidden="false" customHeight="true" outlineLevel="0" collapsed="false">
      <c r="B34" s="37" t="s">
        <v>554</v>
      </c>
      <c r="C34" s="26" t="n">
        <v>0</v>
      </c>
      <c r="D34" s="26" t="n">
        <v>1.86</v>
      </c>
      <c r="E34" s="26" t="n">
        <v>8.37</v>
      </c>
      <c r="F34" s="26" t="n">
        <v>21.9</v>
      </c>
      <c r="G34" s="155" t="n">
        <v>21.9</v>
      </c>
    </row>
  </sheetData>
  <mergeCells count="6">
    <mergeCell ref="B1:H1"/>
    <mergeCell ref="B2:H2"/>
    <mergeCell ref="B7:G7"/>
    <mergeCell ref="B15:G15"/>
    <mergeCell ref="B21:G21"/>
    <mergeCell ref="B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8" min="3" style="1" width="18"/>
    <col collapsed="false" customWidth="true" hidden="false" outlineLevel="0" max="9" min="9" style="1" width="3"/>
  </cols>
  <sheetData>
    <row r="1" customFormat="false" ht="21.75" hidden="false" customHeight="true" outlineLevel="0" collapsed="false">
      <c r="B1" s="32" t="s">
        <v>555</v>
      </c>
      <c r="C1" s="32"/>
      <c r="D1" s="32"/>
      <c r="E1" s="32"/>
      <c r="F1" s="32"/>
      <c r="G1" s="32"/>
      <c r="H1" s="32"/>
    </row>
    <row r="2" customFormat="false" ht="19.5" hidden="false" customHeight="true" outlineLevel="0" collapsed="false">
      <c r="B2" s="105" t="s">
        <v>556</v>
      </c>
      <c r="C2" s="105"/>
      <c r="D2" s="105"/>
      <c r="E2" s="105"/>
      <c r="F2" s="105"/>
      <c r="G2" s="105"/>
      <c r="H2" s="105"/>
    </row>
    <row r="3" customFormat="false" ht="7.5" hidden="false" customHeight="true" outlineLevel="0" collapsed="false"/>
    <row r="4" customFormat="false" ht="15.75" hidden="false" customHeight="true" outlineLevel="0" collapsed="false">
      <c r="B4" s="8" t="s">
        <v>557</v>
      </c>
      <c r="C4" s="8" t="s">
        <v>558</v>
      </c>
      <c r="D4" s="8" t="s">
        <v>559</v>
      </c>
      <c r="E4" s="8" t="s">
        <v>560</v>
      </c>
      <c r="F4" s="8" t="s">
        <v>561</v>
      </c>
      <c r="G4" s="8" t="s">
        <v>562</v>
      </c>
      <c r="H4" s="8" t="s">
        <v>563</v>
      </c>
      <c r="I4" s="8" t="s">
        <v>564</v>
      </c>
    </row>
    <row r="5" customFormat="false" ht="15.75" hidden="false" customHeight="true" outlineLevel="0" collapsed="false">
      <c r="B5" s="159" t="s">
        <v>565</v>
      </c>
      <c r="C5" s="159"/>
      <c r="D5" s="159"/>
      <c r="E5" s="159"/>
      <c r="F5" s="159"/>
      <c r="G5" s="159"/>
      <c r="H5" s="159"/>
      <c r="I5" s="159"/>
    </row>
    <row r="6" customFormat="false" ht="15" hidden="false" customHeight="true" outlineLevel="0" collapsed="false">
      <c r="B6" s="160" t="s">
        <v>283</v>
      </c>
      <c r="C6" s="161" t="s">
        <v>285</v>
      </c>
      <c r="D6" s="162" t="s">
        <v>566</v>
      </c>
      <c r="E6" s="163" t="n">
        <v>8900000000</v>
      </c>
      <c r="F6" s="164" t="s">
        <v>286</v>
      </c>
      <c r="G6" s="165" t="n">
        <v>24600000000</v>
      </c>
      <c r="H6" s="166" t="n">
        <v>1</v>
      </c>
      <c r="I6" s="167" t="s">
        <v>567</v>
      </c>
    </row>
    <row r="7" customFormat="false" ht="15" hidden="false" customHeight="true" outlineLevel="0" collapsed="false">
      <c r="B7" s="37" t="s">
        <v>229</v>
      </c>
      <c r="C7" s="168" t="s">
        <v>568</v>
      </c>
      <c r="D7" s="162" t="s">
        <v>569</v>
      </c>
      <c r="E7" s="163" t="n">
        <v>11200000000</v>
      </c>
      <c r="F7" s="164" t="s">
        <v>570</v>
      </c>
      <c r="G7" s="165" t="n">
        <v>24360000000</v>
      </c>
      <c r="H7" s="169" t="n">
        <v>2</v>
      </c>
      <c r="I7" s="170" t="s">
        <v>567</v>
      </c>
    </row>
    <row r="8" customFormat="false" ht="15" hidden="false" customHeight="true" outlineLevel="0" collapsed="false">
      <c r="B8" s="160" t="s">
        <v>287</v>
      </c>
      <c r="C8" s="161" t="s">
        <v>285</v>
      </c>
      <c r="D8" s="162" t="s">
        <v>465</v>
      </c>
      <c r="E8" s="163" t="n">
        <v>13200000000</v>
      </c>
      <c r="F8" s="164" t="s">
        <v>286</v>
      </c>
      <c r="G8" s="165" t="n">
        <v>22360000000</v>
      </c>
      <c r="H8" s="166" t="n">
        <v>3</v>
      </c>
      <c r="I8" s="167" t="s">
        <v>567</v>
      </c>
    </row>
    <row r="9" customFormat="false" ht="15" hidden="false" customHeight="true" outlineLevel="0" collapsed="false">
      <c r="B9" s="37" t="s">
        <v>571</v>
      </c>
      <c r="C9" s="168" t="s">
        <v>416</v>
      </c>
      <c r="D9" s="162" t="s">
        <v>291</v>
      </c>
      <c r="E9" s="163" t="n">
        <v>15100000000</v>
      </c>
      <c r="F9" s="164" t="s">
        <v>288</v>
      </c>
      <c r="G9" s="165" t="n">
        <v>20460000000</v>
      </c>
      <c r="H9" s="169" t="n">
        <v>4</v>
      </c>
      <c r="I9" s="170" t="s">
        <v>567</v>
      </c>
    </row>
    <row r="10" customFormat="false" ht="15" hidden="false" customHeight="true" outlineLevel="0" collapsed="false">
      <c r="B10" s="160" t="s">
        <v>572</v>
      </c>
      <c r="C10" s="161" t="s">
        <v>573</v>
      </c>
      <c r="D10" s="162" t="s">
        <v>574</v>
      </c>
      <c r="E10" s="163" t="n">
        <v>14800000000</v>
      </c>
      <c r="F10" s="164" t="s">
        <v>575</v>
      </c>
      <c r="G10" s="165" t="n">
        <v>20760000000</v>
      </c>
      <c r="H10" s="166" t="n">
        <v>5</v>
      </c>
      <c r="I10" s="167" t="s">
        <v>567</v>
      </c>
    </row>
    <row r="11" customFormat="false" ht="15" hidden="false" customHeight="true" outlineLevel="0" collapsed="false">
      <c r="B11" s="37" t="s">
        <v>576</v>
      </c>
      <c r="C11" s="168" t="s">
        <v>577</v>
      </c>
      <c r="D11" s="162" t="s">
        <v>417</v>
      </c>
      <c r="E11" s="163" t="n">
        <v>12600000000</v>
      </c>
      <c r="F11" s="164" t="s">
        <v>293</v>
      </c>
      <c r="G11" s="165" t="n">
        <v>22960000000</v>
      </c>
      <c r="H11" s="169" t="n">
        <v>3</v>
      </c>
      <c r="I11" s="170" t="s">
        <v>567</v>
      </c>
    </row>
    <row r="12" customFormat="false" ht="15" hidden="false" customHeight="true" outlineLevel="0" collapsed="false">
      <c r="B12" s="160" t="s">
        <v>578</v>
      </c>
      <c r="C12" s="161" t="s">
        <v>579</v>
      </c>
      <c r="D12" s="162" t="s">
        <v>580</v>
      </c>
      <c r="E12" s="163" t="n">
        <v>17671000000</v>
      </c>
      <c r="F12" s="164" t="s">
        <v>581</v>
      </c>
      <c r="G12" s="165" t="n">
        <v>17889000000</v>
      </c>
      <c r="H12" s="166" t="n">
        <v>8</v>
      </c>
      <c r="I12" s="171" t="s">
        <v>582</v>
      </c>
    </row>
    <row r="13" customFormat="false" ht="15" hidden="false" customHeight="true" outlineLevel="0" collapsed="false">
      <c r="B13" s="37" t="s">
        <v>583</v>
      </c>
      <c r="C13" s="168" t="s">
        <v>584</v>
      </c>
      <c r="D13" s="162" t="s">
        <v>288</v>
      </c>
      <c r="E13" s="163" t="n">
        <v>15890000000</v>
      </c>
      <c r="F13" s="164" t="s">
        <v>289</v>
      </c>
      <c r="G13" s="165" t="n">
        <v>19670000000</v>
      </c>
      <c r="H13" s="169" t="n">
        <v>6</v>
      </c>
      <c r="I13" s="170" t="s">
        <v>567</v>
      </c>
    </row>
    <row r="14" customFormat="false" ht="15" hidden="false" customHeight="true" outlineLevel="0" collapsed="false">
      <c r="B14" s="160" t="s">
        <v>585</v>
      </c>
      <c r="C14" s="161" t="s">
        <v>586</v>
      </c>
      <c r="D14" s="162" t="s">
        <v>587</v>
      </c>
      <c r="E14" s="163" t="n">
        <v>15200000000</v>
      </c>
      <c r="F14" s="164" t="s">
        <v>588</v>
      </c>
      <c r="G14" s="165" t="n">
        <v>20360000000</v>
      </c>
      <c r="H14" s="166" t="n">
        <v>5</v>
      </c>
      <c r="I14" s="167" t="s">
        <v>567</v>
      </c>
    </row>
    <row r="15" customFormat="false" ht="15" hidden="false" customHeight="true" outlineLevel="0" collapsed="false">
      <c r="B15" s="37" t="s">
        <v>244</v>
      </c>
      <c r="C15" s="168" t="s">
        <v>589</v>
      </c>
      <c r="D15" s="162" t="s">
        <v>590</v>
      </c>
      <c r="E15" s="163" t="n">
        <v>14780000000</v>
      </c>
      <c r="F15" s="164" t="s">
        <v>377</v>
      </c>
      <c r="G15" s="165" t="n">
        <v>20780000000</v>
      </c>
      <c r="H15" s="169" t="n">
        <v>4</v>
      </c>
      <c r="I15" s="170" t="s">
        <v>567</v>
      </c>
    </row>
    <row r="16" customFormat="false" ht="15" hidden="false" customHeight="true" outlineLevel="0" collapsed="false">
      <c r="B16" s="160" t="s">
        <v>591</v>
      </c>
      <c r="C16" s="161" t="s">
        <v>417</v>
      </c>
      <c r="D16" s="162" t="s">
        <v>291</v>
      </c>
      <c r="E16" s="163" t="n">
        <v>18600000000</v>
      </c>
      <c r="F16" s="164" t="s">
        <v>566</v>
      </c>
      <c r="G16" s="165" t="n">
        <v>16200000000</v>
      </c>
      <c r="H16" s="166" t="n">
        <v>7</v>
      </c>
      <c r="I16" s="171" t="s">
        <v>582</v>
      </c>
    </row>
    <row r="17" customFormat="false" ht="15" hidden="false" customHeight="true" outlineLevel="0" collapsed="false">
      <c r="B17" s="37" t="s">
        <v>592</v>
      </c>
      <c r="C17" s="168" t="s">
        <v>376</v>
      </c>
      <c r="D17" s="162" t="s">
        <v>593</v>
      </c>
      <c r="E17" s="163" t="n">
        <v>19200000000</v>
      </c>
      <c r="F17" s="164" t="s">
        <v>295</v>
      </c>
      <c r="G17" s="165" t="n">
        <v>14800000000</v>
      </c>
      <c r="H17" s="169" t="n">
        <v>6</v>
      </c>
      <c r="I17" s="172" t="s">
        <v>582</v>
      </c>
    </row>
    <row r="20" customFormat="false" ht="15.75" hidden="false" customHeight="true" outlineLevel="0" collapsed="false">
      <c r="B20" s="51" t="s">
        <v>594</v>
      </c>
      <c r="C20" s="51"/>
      <c r="D20" s="51"/>
      <c r="E20" s="51"/>
      <c r="F20" s="51"/>
      <c r="G20" s="51"/>
      <c r="H20" s="51"/>
      <c r="I20" s="51"/>
    </row>
    <row r="21" customFormat="false" ht="15.75" hidden="false" customHeight="true" outlineLevel="0" collapsed="false">
      <c r="B21" s="173" t="s">
        <v>595</v>
      </c>
      <c r="C21" s="173" t="s">
        <v>596</v>
      </c>
      <c r="D21" s="173" t="s">
        <v>597</v>
      </c>
      <c r="E21" s="173" t="s">
        <v>598</v>
      </c>
      <c r="F21" s="173" t="s">
        <v>599</v>
      </c>
      <c r="G21" s="173" t="s">
        <v>568</v>
      </c>
      <c r="H21" s="173" t="s">
        <v>600</v>
      </c>
      <c r="I21" s="173" t="s">
        <v>601</v>
      </c>
      <c r="J21" s="173" t="s">
        <v>602</v>
      </c>
    </row>
    <row r="22" customFormat="false" ht="15" hidden="false" customHeight="true" outlineLevel="0" collapsed="false">
      <c r="B22" s="174" t="s">
        <v>295</v>
      </c>
      <c r="C22" s="175" t="n">
        <v>2.8</v>
      </c>
      <c r="D22" s="175" t="n">
        <v>3.1</v>
      </c>
      <c r="E22" s="175" t="n">
        <v>3.5</v>
      </c>
      <c r="F22" s="175" t="n">
        <v>3.8</v>
      </c>
      <c r="G22" s="175" t="n">
        <v>4.1</v>
      </c>
      <c r="H22" s="175" t="n">
        <v>4.5</v>
      </c>
      <c r="I22" s="175" t="n">
        <v>4.9</v>
      </c>
      <c r="J22" s="176" t="n">
        <v>5.2</v>
      </c>
    </row>
    <row r="23" customFormat="false" ht="15" hidden="false" customHeight="true" outlineLevel="0" collapsed="false">
      <c r="B23" s="177" t="s">
        <v>284</v>
      </c>
      <c r="C23" s="175" t="n">
        <v>4.7</v>
      </c>
      <c r="D23" s="176" t="n">
        <v>5.2</v>
      </c>
      <c r="E23" s="176" t="n">
        <v>5.8</v>
      </c>
      <c r="F23" s="176" t="n">
        <v>6.4</v>
      </c>
      <c r="G23" s="176" t="n">
        <v>6.8</v>
      </c>
      <c r="H23" s="176" t="n">
        <v>7.6</v>
      </c>
      <c r="I23" s="176" t="n">
        <v>8.1</v>
      </c>
      <c r="J23" s="176" t="n">
        <v>8.7</v>
      </c>
    </row>
    <row r="24" customFormat="false" ht="15" hidden="false" customHeight="true" outlineLevel="0" collapsed="false">
      <c r="B24" s="174" t="s">
        <v>566</v>
      </c>
      <c r="C24" s="176" t="n">
        <v>6.5</v>
      </c>
      <c r="D24" s="176" t="n">
        <v>7.3</v>
      </c>
      <c r="E24" s="176" t="n">
        <v>8.1</v>
      </c>
      <c r="F24" s="176" t="n">
        <v>9</v>
      </c>
      <c r="G24" s="176" t="n">
        <v>9.6</v>
      </c>
      <c r="H24" s="178" t="n">
        <v>10.6</v>
      </c>
      <c r="I24" s="178" t="n">
        <v>11.4</v>
      </c>
      <c r="J24" s="178" t="n">
        <v>12.2</v>
      </c>
    </row>
    <row r="25" customFormat="false" ht="15" hidden="false" customHeight="true" outlineLevel="0" collapsed="false">
      <c r="B25" s="177" t="s">
        <v>465</v>
      </c>
      <c r="C25" s="176" t="n">
        <v>8.4</v>
      </c>
      <c r="D25" s="176" t="n">
        <v>9.4</v>
      </c>
      <c r="E25" s="178" t="n">
        <v>10.5</v>
      </c>
      <c r="F25" s="178" t="n">
        <v>11.5</v>
      </c>
      <c r="G25" s="178" t="n">
        <v>12.3</v>
      </c>
      <c r="H25" s="178" t="n">
        <v>13.6</v>
      </c>
      <c r="I25" s="178" t="n">
        <v>14.7</v>
      </c>
      <c r="J25" s="178" t="n">
        <v>15.7</v>
      </c>
    </row>
    <row r="26" customFormat="false" ht="15" hidden="false" customHeight="true" outlineLevel="0" collapsed="false">
      <c r="B26" s="174" t="s">
        <v>292</v>
      </c>
      <c r="C26" s="178" t="n">
        <v>10.2</v>
      </c>
      <c r="D26" s="178" t="n">
        <v>11.5</v>
      </c>
      <c r="E26" s="178" t="n">
        <v>12.8</v>
      </c>
      <c r="F26" s="178" t="n">
        <v>14.1</v>
      </c>
      <c r="G26" s="178" t="n">
        <v>15</v>
      </c>
      <c r="H26" s="178" t="n">
        <v>16.6</v>
      </c>
      <c r="I26" s="179" t="n">
        <v>17.9</v>
      </c>
      <c r="J26" s="179" t="n">
        <v>19.2</v>
      </c>
    </row>
    <row r="27" customFormat="false" ht="15" hidden="false" customHeight="true" outlineLevel="0" collapsed="false">
      <c r="B27" s="177" t="s">
        <v>285</v>
      </c>
      <c r="C27" s="178" t="n">
        <v>12.1</v>
      </c>
      <c r="D27" s="178" t="n">
        <v>13.6</v>
      </c>
      <c r="E27" s="178" t="n">
        <v>15.1</v>
      </c>
      <c r="F27" s="178" t="n">
        <v>16.6</v>
      </c>
      <c r="G27" s="178" t="n">
        <v>17.8</v>
      </c>
      <c r="H27" s="179" t="n">
        <v>19.7</v>
      </c>
      <c r="I27" s="180" t="n">
        <v>21.2</v>
      </c>
      <c r="J27" s="180" t="n">
        <v>22.7</v>
      </c>
    </row>
    <row r="28" customFormat="false" ht="15" hidden="false" customHeight="true" outlineLevel="0" collapsed="false">
      <c r="B28" s="174" t="s">
        <v>603</v>
      </c>
      <c r="C28" s="178" t="n">
        <v>14</v>
      </c>
      <c r="D28" s="178" t="n">
        <v>15.7</v>
      </c>
      <c r="E28" s="178" t="n">
        <v>17.5</v>
      </c>
      <c r="F28" s="179" t="n">
        <v>19.2</v>
      </c>
      <c r="G28" s="180" t="n">
        <v>20.5</v>
      </c>
      <c r="H28" s="180" t="n">
        <v>22.7</v>
      </c>
      <c r="I28" s="180" t="n">
        <v>24.4</v>
      </c>
      <c r="J28" s="180" t="n">
        <v>26.2</v>
      </c>
    </row>
    <row r="29" customFormat="false" ht="15" hidden="false" customHeight="true" outlineLevel="0" collapsed="false">
      <c r="B29" s="177" t="s">
        <v>286</v>
      </c>
      <c r="C29" s="178" t="n">
        <v>15.8</v>
      </c>
      <c r="D29" s="179" t="n">
        <v>17.8</v>
      </c>
      <c r="E29" s="179" t="n">
        <v>19.8</v>
      </c>
      <c r="F29" s="180" t="n">
        <v>21.8</v>
      </c>
      <c r="G29" s="180" t="n">
        <v>23.3</v>
      </c>
      <c r="H29" s="180" t="n">
        <v>25.7</v>
      </c>
      <c r="I29" s="180" t="n">
        <v>27.7</v>
      </c>
      <c r="J29" s="180" t="n">
        <v>29.7</v>
      </c>
    </row>
  </sheetData>
  <mergeCells count="4">
    <mergeCell ref="B1:H1"/>
    <mergeCell ref="B2:H2"/>
    <mergeCell ref="B5:I5"/>
    <mergeCell ref="B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28"/>
    <col collapsed="false" customWidth="true" hidden="false" outlineLevel="0" max="7" min="4" style="1" width="14"/>
    <col collapsed="false" customWidth="true" hidden="false" outlineLevel="0" max="8" min="8" style="1" width="28"/>
    <col collapsed="false" customWidth="true" hidden="false" outlineLevel="0" max="9" min="9" style="1" width="20"/>
    <col collapsed="false" customWidth="true" hidden="false" outlineLevel="0" max="10" min="10" style="1" width="3"/>
  </cols>
  <sheetData>
    <row r="1" customFormat="false" ht="21.75" hidden="false" customHeight="true" outlineLevel="0" collapsed="false">
      <c r="B1" s="32" t="s">
        <v>604</v>
      </c>
      <c r="C1" s="32"/>
      <c r="D1" s="32"/>
      <c r="E1" s="32"/>
      <c r="F1" s="32"/>
      <c r="G1" s="32"/>
      <c r="H1" s="32"/>
    </row>
    <row r="2" customFormat="false" ht="19.5" hidden="false" customHeight="true" outlineLevel="0" collapsed="false">
      <c r="B2" s="105" t="s">
        <v>605</v>
      </c>
      <c r="C2" s="105"/>
      <c r="D2" s="105"/>
      <c r="E2" s="105"/>
      <c r="F2" s="105"/>
      <c r="G2" s="105"/>
      <c r="H2" s="105"/>
    </row>
    <row r="3" customFormat="false" ht="7.5" hidden="false" customHeight="true" outlineLevel="0" collapsed="false"/>
    <row r="4" customFormat="false" ht="30" hidden="false" customHeight="true" outlineLevel="0" collapsed="false">
      <c r="B4" s="181" t="s">
        <v>606</v>
      </c>
      <c r="C4" s="181" t="s">
        <v>607</v>
      </c>
      <c r="D4" s="181" t="s">
        <v>608</v>
      </c>
      <c r="E4" s="181" t="s">
        <v>609</v>
      </c>
      <c r="F4" s="181" t="s">
        <v>610</v>
      </c>
      <c r="G4" s="181" t="s">
        <v>611</v>
      </c>
      <c r="H4" s="181" t="s">
        <v>612</v>
      </c>
      <c r="I4" s="181" t="s">
        <v>613</v>
      </c>
    </row>
    <row r="5" customFormat="false" ht="36" hidden="false" customHeight="true" outlineLevel="0" collapsed="false">
      <c r="B5" s="182" t="s">
        <v>614</v>
      </c>
      <c r="C5" s="31" t="s">
        <v>615</v>
      </c>
      <c r="D5" s="183" t="n">
        <v>3</v>
      </c>
      <c r="E5" s="184" t="n">
        <v>4</v>
      </c>
      <c r="F5" s="185" t="n">
        <v>12</v>
      </c>
      <c r="G5" s="129" t="n">
        <v>45000000</v>
      </c>
      <c r="H5" s="186" t="s">
        <v>616</v>
      </c>
      <c r="I5" s="187" t="s">
        <v>617</v>
      </c>
    </row>
    <row r="6" customFormat="false" ht="36" hidden="false" customHeight="true" outlineLevel="0" collapsed="false">
      <c r="B6" s="188" t="s">
        <v>618</v>
      </c>
      <c r="C6" s="189" t="s">
        <v>619</v>
      </c>
      <c r="D6" s="190" t="n">
        <v>2</v>
      </c>
      <c r="E6" s="191" t="n">
        <v>5</v>
      </c>
      <c r="F6" s="192" t="n">
        <v>10</v>
      </c>
      <c r="G6" s="193" t="n">
        <v>320000000</v>
      </c>
      <c r="H6" s="194" t="s">
        <v>620</v>
      </c>
      <c r="I6" s="195" t="s">
        <v>621</v>
      </c>
    </row>
    <row r="7" customFormat="false" ht="36" hidden="false" customHeight="true" outlineLevel="0" collapsed="false">
      <c r="B7" s="182" t="s">
        <v>622</v>
      </c>
      <c r="C7" s="31" t="s">
        <v>623</v>
      </c>
      <c r="D7" s="183" t="n">
        <v>4</v>
      </c>
      <c r="E7" s="184" t="n">
        <v>5</v>
      </c>
      <c r="F7" s="185" t="n">
        <v>20</v>
      </c>
      <c r="G7" s="129" t="n">
        <v>800000000</v>
      </c>
      <c r="H7" s="186" t="s">
        <v>624</v>
      </c>
      <c r="I7" s="187" t="s">
        <v>625</v>
      </c>
    </row>
    <row r="8" customFormat="false" ht="36" hidden="false" customHeight="true" outlineLevel="0" collapsed="false">
      <c r="B8" s="188" t="s">
        <v>626</v>
      </c>
      <c r="C8" s="189" t="s">
        <v>627</v>
      </c>
      <c r="D8" s="190" t="n">
        <v>3</v>
      </c>
      <c r="E8" s="191" t="n">
        <v>4</v>
      </c>
      <c r="F8" s="185" t="n">
        <v>12</v>
      </c>
      <c r="G8" s="129" t="n">
        <v>55000000</v>
      </c>
      <c r="H8" s="194" t="s">
        <v>628</v>
      </c>
      <c r="I8" s="195" t="s">
        <v>629</v>
      </c>
    </row>
    <row r="9" customFormat="false" ht="36" hidden="false" customHeight="true" outlineLevel="0" collapsed="false">
      <c r="B9" s="182" t="s">
        <v>630</v>
      </c>
      <c r="C9" s="31" t="s">
        <v>631</v>
      </c>
      <c r="D9" s="183" t="n">
        <v>3</v>
      </c>
      <c r="E9" s="184" t="n">
        <v>3</v>
      </c>
      <c r="F9" s="192" t="n">
        <v>9</v>
      </c>
      <c r="G9" s="193" t="n">
        <v>22500000</v>
      </c>
      <c r="H9" s="186" t="s">
        <v>632</v>
      </c>
      <c r="I9" s="187" t="s">
        <v>633</v>
      </c>
    </row>
    <row r="10" customFormat="false" ht="36" hidden="false" customHeight="true" outlineLevel="0" collapsed="false">
      <c r="B10" s="188" t="s">
        <v>634</v>
      </c>
      <c r="C10" s="189" t="s">
        <v>635</v>
      </c>
      <c r="D10" s="190" t="n">
        <v>2</v>
      </c>
      <c r="E10" s="191" t="n">
        <v>5</v>
      </c>
      <c r="F10" s="192" t="n">
        <v>10</v>
      </c>
      <c r="G10" s="193" t="n">
        <v>150000000</v>
      </c>
      <c r="H10" s="194" t="s">
        <v>636</v>
      </c>
      <c r="I10" s="195" t="s">
        <v>637</v>
      </c>
    </row>
    <row r="11" customFormat="false" ht="36" hidden="false" customHeight="true" outlineLevel="0" collapsed="false">
      <c r="B11" s="182" t="s">
        <v>638</v>
      </c>
      <c r="C11" s="31" t="s">
        <v>639</v>
      </c>
      <c r="D11" s="183" t="n">
        <v>2</v>
      </c>
      <c r="E11" s="184" t="n">
        <v>4</v>
      </c>
      <c r="F11" s="192" t="n">
        <v>8</v>
      </c>
      <c r="G11" s="193" t="n">
        <v>1200000000</v>
      </c>
      <c r="H11" s="186" t="s">
        <v>640</v>
      </c>
      <c r="I11" s="187" t="s">
        <v>641</v>
      </c>
    </row>
    <row r="12" customFormat="false" ht="36" hidden="false" customHeight="true" outlineLevel="0" collapsed="false">
      <c r="B12" s="188" t="s">
        <v>642</v>
      </c>
      <c r="C12" s="189" t="s">
        <v>643</v>
      </c>
      <c r="D12" s="190" t="n">
        <v>3</v>
      </c>
      <c r="E12" s="191" t="n">
        <v>5</v>
      </c>
      <c r="F12" s="185" t="n">
        <v>15</v>
      </c>
      <c r="G12" s="129" t="n">
        <v>3000000000</v>
      </c>
      <c r="H12" s="194" t="s">
        <v>644</v>
      </c>
      <c r="I12" s="195" t="s">
        <v>645</v>
      </c>
    </row>
    <row r="13" customFormat="false" ht="36" hidden="false" customHeight="true" outlineLevel="0" collapsed="false">
      <c r="B13" s="182" t="s">
        <v>646</v>
      </c>
      <c r="C13" s="31" t="s">
        <v>647</v>
      </c>
      <c r="D13" s="183" t="n">
        <v>1</v>
      </c>
      <c r="E13" s="184" t="n">
        <v>5</v>
      </c>
      <c r="F13" s="196" t="n">
        <v>5</v>
      </c>
      <c r="G13" s="197" t="n">
        <v>11325000</v>
      </c>
      <c r="H13" s="186" t="s">
        <v>648</v>
      </c>
      <c r="I13" s="187" t="s">
        <v>649</v>
      </c>
    </row>
    <row r="14" customFormat="false" ht="36" hidden="false" customHeight="true" outlineLevel="0" collapsed="false">
      <c r="B14" s="188" t="s">
        <v>650</v>
      </c>
      <c r="C14" s="189" t="s">
        <v>651</v>
      </c>
      <c r="D14" s="190" t="n">
        <v>4</v>
      </c>
      <c r="E14" s="191" t="n">
        <v>3</v>
      </c>
      <c r="F14" s="185" t="n">
        <v>12</v>
      </c>
      <c r="G14" s="129" t="n">
        <v>180000000</v>
      </c>
      <c r="H14" s="194" t="s">
        <v>652</v>
      </c>
      <c r="I14" s="195" t="s">
        <v>653</v>
      </c>
    </row>
    <row r="15" customFormat="false" ht="36" hidden="false" customHeight="true" outlineLevel="0" collapsed="false">
      <c r="B15" s="182" t="s">
        <v>654</v>
      </c>
      <c r="C15" s="31" t="s">
        <v>655</v>
      </c>
      <c r="D15" s="183" t="n">
        <v>2</v>
      </c>
      <c r="E15" s="184" t="n">
        <v>3</v>
      </c>
      <c r="F15" s="196" t="n">
        <v>6</v>
      </c>
      <c r="G15" s="197" t="n">
        <v>30000000</v>
      </c>
      <c r="H15" s="186" t="s">
        <v>656</v>
      </c>
      <c r="I15" s="187" t="s">
        <v>657</v>
      </c>
    </row>
    <row r="16" customFormat="false" ht="36" hidden="false" customHeight="true" outlineLevel="0" collapsed="false">
      <c r="B16" s="188" t="s">
        <v>658</v>
      </c>
      <c r="C16" s="189" t="s">
        <v>659</v>
      </c>
      <c r="D16" s="190" t="n">
        <v>3</v>
      </c>
      <c r="E16" s="191" t="n">
        <v>4</v>
      </c>
      <c r="F16" s="185" t="n">
        <v>12</v>
      </c>
      <c r="G16" s="129" t="n">
        <v>320000000</v>
      </c>
      <c r="H16" s="194" t="s">
        <v>660</v>
      </c>
      <c r="I16" s="195" t="s">
        <v>661</v>
      </c>
    </row>
    <row r="17" customFormat="false" ht="36" hidden="false" customHeight="true" outlineLevel="0" collapsed="false">
      <c r="B17" s="182" t="s">
        <v>662</v>
      </c>
      <c r="C17" s="31" t="s">
        <v>663</v>
      </c>
      <c r="D17" s="183" t="n">
        <v>4</v>
      </c>
      <c r="E17" s="184" t="n">
        <v>3</v>
      </c>
      <c r="F17" s="185" t="n">
        <v>12</v>
      </c>
      <c r="G17" s="129" t="n">
        <v>85000000</v>
      </c>
      <c r="H17" s="186" t="s">
        <v>664</v>
      </c>
      <c r="I17" s="187" t="s">
        <v>665</v>
      </c>
    </row>
    <row r="18" customFormat="false" ht="36" hidden="false" customHeight="true" outlineLevel="0" collapsed="false">
      <c r="B18" s="188" t="s">
        <v>666</v>
      </c>
      <c r="C18" s="189" t="s">
        <v>667</v>
      </c>
      <c r="D18" s="190" t="n">
        <v>1</v>
      </c>
      <c r="E18" s="191" t="n">
        <v>4</v>
      </c>
      <c r="F18" s="196" t="n">
        <v>4</v>
      </c>
      <c r="G18" s="197" t="n">
        <v>500000000</v>
      </c>
      <c r="H18" s="194" t="s">
        <v>668</v>
      </c>
      <c r="I18" s="195" t="s">
        <v>669</v>
      </c>
    </row>
    <row r="19" customFormat="false" ht="36" hidden="false" customHeight="true" outlineLevel="0" collapsed="false">
      <c r="B19" s="182" t="s">
        <v>670</v>
      </c>
      <c r="C19" s="31" t="s">
        <v>671</v>
      </c>
      <c r="D19" s="183" t="n">
        <v>3</v>
      </c>
      <c r="E19" s="184" t="n">
        <v>2</v>
      </c>
      <c r="F19" s="196" t="n">
        <v>6</v>
      </c>
      <c r="G19" s="197" t="n">
        <v>15000000</v>
      </c>
      <c r="H19" s="186" t="s">
        <v>672</v>
      </c>
      <c r="I19" s="187" t="s">
        <v>673</v>
      </c>
    </row>
    <row r="21" customFormat="false" ht="15.75" hidden="false" customHeight="true" outlineLevel="0" collapsed="false">
      <c r="B21" s="138" t="s">
        <v>674</v>
      </c>
      <c r="C21" s="138"/>
      <c r="D21" s="138"/>
      <c r="E21" s="138"/>
      <c r="F21" s="138"/>
      <c r="G21" s="138"/>
      <c r="H21" s="138"/>
      <c r="I21" s="138"/>
    </row>
    <row r="22" customFormat="false" ht="15.75" hidden="false" customHeight="true" outlineLevel="0" collapsed="false">
      <c r="B22" s="52" t="s">
        <v>675</v>
      </c>
      <c r="C22" s="198" t="n">
        <v>15</v>
      </c>
    </row>
    <row r="23" customFormat="false" ht="15.75" hidden="false" customHeight="true" outlineLevel="0" collapsed="false">
      <c r="B23" s="52" t="s">
        <v>676</v>
      </c>
      <c r="C23" s="199" t="n">
        <v>7</v>
      </c>
    </row>
    <row r="24" customFormat="false" ht="15.75" hidden="false" customHeight="true" outlineLevel="0" collapsed="false">
      <c r="B24" s="52" t="s">
        <v>677</v>
      </c>
      <c r="C24" s="200" t="n">
        <v>4</v>
      </c>
    </row>
    <row r="25" customFormat="false" ht="15.75" hidden="false" customHeight="true" outlineLevel="0" collapsed="false">
      <c r="B25" s="52" t="s">
        <v>678</v>
      </c>
      <c r="C25" s="201" t="n">
        <v>4</v>
      </c>
    </row>
    <row r="26" customFormat="false" ht="15.75" hidden="false" customHeight="true" outlineLevel="0" collapsed="false">
      <c r="B26" s="52" t="s">
        <v>679</v>
      </c>
      <c r="C26" s="202" t="n">
        <v>6733825000</v>
      </c>
    </row>
    <row r="27" customFormat="false" ht="15.75" hidden="false" customHeight="true" outlineLevel="0" collapsed="false">
      <c r="B27" s="52" t="s">
        <v>680</v>
      </c>
      <c r="C27" s="202" t="n">
        <v>4485000000</v>
      </c>
    </row>
    <row r="28" customFormat="false" ht="15.75" hidden="false" customHeight="true" outlineLevel="0" collapsed="false">
      <c r="B28" s="52" t="s">
        <v>681</v>
      </c>
      <c r="C28" s="203" t="s">
        <v>682</v>
      </c>
    </row>
  </sheetData>
  <mergeCells count="3">
    <mergeCell ref="B1:H1"/>
    <mergeCell ref="B2:H2"/>
    <mergeCell ref="B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6" min="3" style="1" width="18"/>
    <col collapsed="false" customWidth="true" hidden="false" outlineLevel="0" max="7" min="7" style="1" width="3"/>
  </cols>
  <sheetData>
    <row r="1" customFormat="false" ht="21.75" hidden="false" customHeight="true" outlineLevel="0" collapsed="false">
      <c r="B1" s="32" t="s">
        <v>683</v>
      </c>
      <c r="C1" s="32"/>
      <c r="D1" s="32"/>
      <c r="E1" s="32"/>
      <c r="F1" s="32"/>
      <c r="G1" s="32"/>
      <c r="H1" s="32"/>
    </row>
    <row r="2" customFormat="false" ht="19.5" hidden="false" customHeight="true" outlineLevel="0" collapsed="false">
      <c r="B2" s="105" t="s">
        <v>684</v>
      </c>
      <c r="C2" s="105"/>
      <c r="D2" s="105"/>
      <c r="E2" s="105"/>
      <c r="F2" s="105"/>
      <c r="G2" s="105"/>
      <c r="H2" s="105"/>
    </row>
    <row r="3" customFormat="false" ht="7.5" hidden="false" customHeight="true" outlineLevel="0" collapsed="false"/>
    <row r="4" customFormat="false" ht="15.75" hidden="false" customHeight="true" outlineLevel="0" collapsed="false">
      <c r="B4" s="21" t="s">
        <v>685</v>
      </c>
      <c r="C4" s="21" t="s">
        <v>686</v>
      </c>
      <c r="D4" s="21" t="s">
        <v>435</v>
      </c>
      <c r="E4" s="21" t="s">
        <v>436</v>
      </c>
      <c r="F4" s="21" t="s">
        <v>437</v>
      </c>
    </row>
    <row r="5" customFormat="false" ht="15.75" hidden="false" customHeight="true" outlineLevel="0" collapsed="false">
      <c r="B5" s="110" t="s">
        <v>687</v>
      </c>
      <c r="C5" s="110"/>
      <c r="D5" s="110"/>
      <c r="E5" s="110"/>
      <c r="F5" s="110"/>
    </row>
    <row r="6" customFormat="false" ht="15" hidden="false" customHeight="true" outlineLevel="0" collapsed="false">
      <c r="B6" s="111" t="s">
        <v>688</v>
      </c>
      <c r="C6" s="123" t="n">
        <v>45000</v>
      </c>
      <c r="D6" s="123" t="n">
        <v>80000</v>
      </c>
      <c r="E6" s="123" t="n">
        <v>200000</v>
      </c>
      <c r="F6" s="123" t="n">
        <v>450000</v>
      </c>
    </row>
    <row r="7" customFormat="false" ht="15" hidden="false" customHeight="true" outlineLevel="0" collapsed="false">
      <c r="B7" s="37" t="s">
        <v>689</v>
      </c>
      <c r="C7" s="204" t="n">
        <v>0</v>
      </c>
      <c r="D7" s="204" t="n">
        <v>1200</v>
      </c>
      <c r="E7" s="204" t="n">
        <v>8500</v>
      </c>
      <c r="F7" s="204" t="n">
        <v>22000</v>
      </c>
    </row>
    <row r="8" customFormat="false" ht="15" hidden="false" customHeight="true" outlineLevel="0" collapsed="false">
      <c r="B8" s="111" t="s">
        <v>690</v>
      </c>
      <c r="C8" s="123" t="n">
        <v>0</v>
      </c>
      <c r="D8" s="123" t="n">
        <v>500</v>
      </c>
      <c r="E8" s="123" t="n">
        <v>1500</v>
      </c>
      <c r="F8" s="123" t="n">
        <v>3500</v>
      </c>
    </row>
    <row r="9" customFormat="false" ht="15" hidden="false" customHeight="true" outlineLevel="0" collapsed="false">
      <c r="B9" s="37" t="s">
        <v>691</v>
      </c>
      <c r="C9" s="26" t="n">
        <v>85</v>
      </c>
      <c r="D9" s="26" t="n">
        <v>110</v>
      </c>
      <c r="E9" s="26" t="n">
        <v>180</v>
      </c>
      <c r="F9" s="26" t="n">
        <v>280</v>
      </c>
    </row>
    <row r="10" customFormat="false" ht="15" hidden="false" customHeight="true" outlineLevel="0" collapsed="false">
      <c r="B10" s="111" t="s">
        <v>692</v>
      </c>
      <c r="C10" s="112" t="n">
        <v>0</v>
      </c>
      <c r="D10" s="112" t="n">
        <v>300</v>
      </c>
      <c r="E10" s="112" t="n">
        <v>1140</v>
      </c>
      <c r="F10" s="112" t="n">
        <v>2340</v>
      </c>
    </row>
    <row r="11" customFormat="false" ht="15" hidden="false" customHeight="true" outlineLevel="0" collapsed="false">
      <c r="B11" s="37" t="s">
        <v>693</v>
      </c>
      <c r="C11" s="26" t="n">
        <v>0</v>
      </c>
      <c r="D11" s="26" t="n">
        <v>52</v>
      </c>
      <c r="E11" s="26" t="n">
        <v>215</v>
      </c>
      <c r="F11" s="26" t="n">
        <v>580</v>
      </c>
    </row>
    <row r="13" customFormat="false" ht="15.75" hidden="false" customHeight="true" outlineLevel="0" collapsed="false">
      <c r="B13" s="110" t="s">
        <v>694</v>
      </c>
      <c r="C13" s="110"/>
      <c r="D13" s="110"/>
      <c r="E13" s="110"/>
      <c r="F13" s="110"/>
    </row>
    <row r="14" customFormat="false" ht="15" hidden="false" customHeight="true" outlineLevel="0" collapsed="false">
      <c r="B14" s="111" t="s">
        <v>695</v>
      </c>
      <c r="C14" s="123" t="n">
        <v>680000</v>
      </c>
      <c r="D14" s="123" t="n">
        <v>620000</v>
      </c>
      <c r="E14" s="123" t="n">
        <v>380000</v>
      </c>
      <c r="F14" s="123" t="n">
        <v>120000</v>
      </c>
    </row>
    <row r="15" customFormat="false" ht="15" hidden="false" customHeight="true" outlineLevel="0" collapsed="false">
      <c r="B15" s="37" t="s">
        <v>696</v>
      </c>
      <c r="C15" s="204" t="n">
        <v>0</v>
      </c>
      <c r="D15" s="204" t="n">
        <v>60000</v>
      </c>
      <c r="E15" s="204" t="n">
        <v>300000</v>
      </c>
      <c r="F15" s="204" t="n">
        <v>560000</v>
      </c>
    </row>
    <row r="16" customFormat="false" ht="15" hidden="false" customHeight="true" outlineLevel="0" collapsed="false">
      <c r="B16" s="111" t="s">
        <v>697</v>
      </c>
      <c r="C16" s="123" t="n">
        <v>28000</v>
      </c>
      <c r="D16" s="123" t="n">
        <v>55000</v>
      </c>
      <c r="E16" s="123" t="n">
        <v>180000</v>
      </c>
      <c r="F16" s="123" t="n">
        <v>420000</v>
      </c>
    </row>
    <row r="17" customFormat="false" ht="15" hidden="false" customHeight="true" outlineLevel="0" collapsed="false">
      <c r="B17" s="37" t="s">
        <v>698</v>
      </c>
      <c r="C17" s="204" t="n">
        <v>8000</v>
      </c>
      <c r="D17" s="204" t="n">
        <v>18000</v>
      </c>
      <c r="E17" s="204" t="n">
        <v>72000</v>
      </c>
      <c r="F17" s="204" t="n">
        <v>210000</v>
      </c>
    </row>
    <row r="18" customFormat="false" ht="15" hidden="false" customHeight="true" outlineLevel="0" collapsed="false">
      <c r="B18" s="111" t="s">
        <v>699</v>
      </c>
      <c r="C18" s="123" t="n">
        <v>5000</v>
      </c>
      <c r="D18" s="123" t="n">
        <v>35000</v>
      </c>
      <c r="E18" s="123" t="n">
        <v>250000</v>
      </c>
      <c r="F18" s="123" t="n">
        <v>680000</v>
      </c>
    </row>
    <row r="19" customFormat="false" ht="15" hidden="false" customHeight="true" outlineLevel="0" collapsed="false">
      <c r="B19" s="37" t="s">
        <v>700</v>
      </c>
      <c r="C19" s="204" t="n">
        <v>12000</v>
      </c>
      <c r="D19" s="204" t="n">
        <v>15500</v>
      </c>
      <c r="E19" s="204" t="n">
        <v>34000</v>
      </c>
      <c r="F19" s="204" t="n">
        <v>80000</v>
      </c>
    </row>
    <row r="21" customFormat="false" ht="15.75" hidden="false" customHeight="true" outlineLevel="0" collapsed="false">
      <c r="B21" s="110" t="s">
        <v>701</v>
      </c>
      <c r="C21" s="110"/>
      <c r="D21" s="110"/>
      <c r="E21" s="110"/>
      <c r="F21" s="110"/>
    </row>
    <row r="22" customFormat="false" ht="15" hidden="false" customHeight="true" outlineLevel="0" collapsed="false">
      <c r="B22" s="111" t="s">
        <v>702</v>
      </c>
      <c r="C22" s="123" t="n">
        <v>0</v>
      </c>
      <c r="D22" s="123" t="n">
        <v>250</v>
      </c>
      <c r="E22" s="123" t="n">
        <v>2500</v>
      </c>
      <c r="F22" s="123" t="n">
        <v>9000</v>
      </c>
    </row>
    <row r="23" customFormat="false" ht="15" hidden="false" customHeight="true" outlineLevel="0" collapsed="false">
      <c r="B23" s="37" t="s">
        <v>703</v>
      </c>
      <c r="C23" s="204" t="n">
        <v>0</v>
      </c>
      <c r="D23" s="204" t="n">
        <v>120</v>
      </c>
      <c r="E23" s="204" t="n">
        <v>1800</v>
      </c>
      <c r="F23" s="204" t="n">
        <v>7500</v>
      </c>
    </row>
    <row r="24" customFormat="false" ht="15" hidden="false" customHeight="true" outlineLevel="0" collapsed="false">
      <c r="B24" s="111" t="s">
        <v>704</v>
      </c>
      <c r="C24" s="123" t="n">
        <v>0</v>
      </c>
      <c r="D24" s="123" t="n">
        <v>30</v>
      </c>
      <c r="E24" s="123" t="n">
        <v>120</v>
      </c>
      <c r="F24" s="123" t="n">
        <v>350</v>
      </c>
    </row>
    <row r="25" customFormat="false" ht="15" hidden="false" customHeight="true" outlineLevel="0" collapsed="false">
      <c r="B25" s="37" t="s">
        <v>705</v>
      </c>
      <c r="C25" s="204" t="n">
        <v>0</v>
      </c>
      <c r="D25" s="204" t="n">
        <v>180</v>
      </c>
      <c r="E25" s="204" t="n">
        <v>850</v>
      </c>
      <c r="F25" s="204" t="n">
        <v>2400</v>
      </c>
    </row>
    <row r="26" customFormat="false" ht="15" hidden="false" customHeight="true" outlineLevel="0" collapsed="false">
      <c r="B26" s="111" t="s">
        <v>706</v>
      </c>
      <c r="C26" s="123" t="n">
        <v>0</v>
      </c>
      <c r="D26" s="123" t="n">
        <v>200</v>
      </c>
      <c r="E26" s="123" t="n">
        <v>1800</v>
      </c>
      <c r="F26" s="123" t="n">
        <v>6500</v>
      </c>
    </row>
    <row r="27" customFormat="false" ht="15" hidden="false" customHeight="true" outlineLevel="0" collapsed="false">
      <c r="B27" s="37" t="s">
        <v>707</v>
      </c>
      <c r="C27" s="204" t="n">
        <v>0</v>
      </c>
      <c r="D27" s="204" t="n">
        <v>0</v>
      </c>
      <c r="E27" s="204" t="n">
        <v>15000</v>
      </c>
      <c r="F27" s="204" t="n">
        <v>85000</v>
      </c>
    </row>
    <row r="29" customFormat="false" ht="15.75" hidden="false" customHeight="true" outlineLevel="0" collapsed="false">
      <c r="B29" s="110" t="s">
        <v>708</v>
      </c>
      <c r="C29" s="110"/>
      <c r="D29" s="110"/>
      <c r="E29" s="110"/>
      <c r="F29" s="110"/>
    </row>
    <row r="30" customFormat="false" ht="15" hidden="false" customHeight="true" outlineLevel="0" collapsed="false">
      <c r="B30" s="111" t="s">
        <v>709</v>
      </c>
      <c r="C30" s="123" t="n">
        <v>0</v>
      </c>
      <c r="D30" s="123" t="n">
        <v>250000</v>
      </c>
      <c r="E30" s="123" t="n">
        <v>4200000</v>
      </c>
      <c r="F30" s="123" t="n">
        <v>12000000</v>
      </c>
    </row>
    <row r="31" customFormat="false" ht="15" hidden="false" customHeight="true" outlineLevel="0" collapsed="false">
      <c r="B31" s="37" t="s">
        <v>710</v>
      </c>
      <c r="C31" s="204" t="n">
        <v>0</v>
      </c>
      <c r="D31" s="204" t="n">
        <v>12000</v>
      </c>
      <c r="E31" s="204" t="n">
        <v>180000</v>
      </c>
      <c r="F31" s="204" t="n">
        <v>620000</v>
      </c>
    </row>
    <row r="32" customFormat="false" ht="15" hidden="false" customHeight="true" outlineLevel="0" collapsed="false">
      <c r="B32" s="111" t="s">
        <v>711</v>
      </c>
      <c r="C32" s="123" t="n">
        <v>45</v>
      </c>
      <c r="D32" s="123" t="n">
        <v>320</v>
      </c>
      <c r="E32" s="123" t="n">
        <v>1200</v>
      </c>
      <c r="F32" s="123" t="n">
        <v>2800</v>
      </c>
    </row>
    <row r="33" customFormat="false" ht="15" hidden="false" customHeight="true" outlineLevel="0" collapsed="false">
      <c r="B33" s="37" t="s">
        <v>712</v>
      </c>
      <c r="C33" s="204" t="n">
        <v>0</v>
      </c>
      <c r="D33" s="204" t="n">
        <v>85</v>
      </c>
      <c r="E33" s="204" t="n">
        <v>420</v>
      </c>
      <c r="F33" s="204" t="n">
        <v>1200</v>
      </c>
    </row>
    <row r="34" customFormat="false" ht="15" hidden="false" customHeight="true" outlineLevel="0" collapsed="false">
      <c r="B34" s="111" t="s">
        <v>713</v>
      </c>
      <c r="C34" s="123" t="n">
        <v>0</v>
      </c>
      <c r="D34" s="123" t="n">
        <v>6</v>
      </c>
      <c r="E34" s="123" t="n">
        <v>6</v>
      </c>
      <c r="F34" s="123" t="n">
        <v>6</v>
      </c>
    </row>
    <row r="35" customFormat="false" ht="15" hidden="false" customHeight="true" outlineLevel="0" collapsed="false">
      <c r="B35" s="37" t="s">
        <v>714</v>
      </c>
      <c r="C35" s="205" t="n">
        <v>62</v>
      </c>
      <c r="D35" s="205" t="n">
        <v>68</v>
      </c>
      <c r="E35" s="205" t="n">
        <v>76</v>
      </c>
      <c r="F35" s="205" t="n">
        <v>85</v>
      </c>
    </row>
    <row r="36" customFormat="false" ht="15" hidden="false" customHeight="true" outlineLevel="0" collapsed="false">
      <c r="B36" s="111" t="s">
        <v>715</v>
      </c>
      <c r="C36" s="118" t="s">
        <v>473</v>
      </c>
      <c r="D36" s="118" t="s">
        <v>284</v>
      </c>
      <c r="E36" s="118" t="s">
        <v>292</v>
      </c>
      <c r="F36" s="118" t="s">
        <v>293</v>
      </c>
    </row>
    <row r="38" customFormat="false" ht="15.75" hidden="false" customHeight="true" outlineLevel="0" collapsed="false">
      <c r="B38" s="110" t="s">
        <v>716</v>
      </c>
      <c r="C38" s="110"/>
      <c r="D38" s="110"/>
      <c r="E38" s="110"/>
      <c r="F38" s="110"/>
    </row>
    <row r="39" customFormat="false" ht="15" hidden="false" customHeight="true" outlineLevel="0" collapsed="false">
      <c r="B39" s="111" t="s">
        <v>717</v>
      </c>
      <c r="C39" s="112" t="n">
        <v>0</v>
      </c>
      <c r="D39" s="112" t="n">
        <v>78</v>
      </c>
      <c r="E39" s="112" t="n">
        <v>450</v>
      </c>
      <c r="F39" s="112" t="n">
        <v>1240</v>
      </c>
    </row>
    <row r="40" customFormat="false" ht="15" hidden="false" customHeight="true" outlineLevel="0" collapsed="false">
      <c r="B40" s="37" t="s">
        <v>718</v>
      </c>
      <c r="C40" s="26" t="n">
        <v>0</v>
      </c>
      <c r="D40" s="26" t="n">
        <v>25</v>
      </c>
      <c r="E40" s="26" t="n">
        <v>140</v>
      </c>
      <c r="F40" s="26" t="n">
        <v>480</v>
      </c>
    </row>
    <row r="41" customFormat="false" ht="15" hidden="false" customHeight="true" outlineLevel="0" collapsed="false">
      <c r="B41" s="111" t="s">
        <v>719</v>
      </c>
      <c r="C41" s="112" t="n">
        <v>0</v>
      </c>
      <c r="D41" s="112" t="n">
        <v>12</v>
      </c>
      <c r="E41" s="112" t="n">
        <v>65</v>
      </c>
      <c r="F41" s="112" t="n">
        <v>220</v>
      </c>
    </row>
    <row r="42" customFormat="false" ht="15" hidden="false" customHeight="true" outlineLevel="0" collapsed="false">
      <c r="B42" s="37" t="s">
        <v>720</v>
      </c>
      <c r="C42" s="26" t="n">
        <v>0</v>
      </c>
      <c r="D42" s="26" t="n">
        <v>8</v>
      </c>
      <c r="E42" s="26" t="n">
        <v>42</v>
      </c>
      <c r="F42" s="26" t="n">
        <v>140</v>
      </c>
    </row>
    <row r="43" customFormat="false" ht="15" hidden="false" customHeight="true" outlineLevel="0" collapsed="false">
      <c r="B43" s="111" t="s">
        <v>721</v>
      </c>
      <c r="C43" s="112" t="n">
        <v>0</v>
      </c>
      <c r="D43" s="112" t="n">
        <v>15</v>
      </c>
      <c r="E43" s="112" t="n">
        <v>72</v>
      </c>
      <c r="F43" s="112" t="n">
        <v>210</v>
      </c>
    </row>
    <row r="44" customFormat="false" ht="15" hidden="false" customHeight="true" outlineLevel="0" collapsed="false">
      <c r="B44" s="37" t="s">
        <v>722</v>
      </c>
      <c r="C44" s="26" t="n">
        <v>0</v>
      </c>
      <c r="D44" s="26" t="n">
        <v>18</v>
      </c>
      <c r="E44" s="26" t="n">
        <v>85</v>
      </c>
      <c r="F44" s="26" t="n">
        <v>260</v>
      </c>
    </row>
    <row r="45" customFormat="false" ht="15" hidden="false" customHeight="true" outlineLevel="0" collapsed="false">
      <c r="B45" s="111" t="s">
        <v>723</v>
      </c>
      <c r="C45" s="112" t="n">
        <v>0</v>
      </c>
      <c r="D45" s="112" t="n">
        <v>156</v>
      </c>
      <c r="E45" s="112" t="n">
        <v>854</v>
      </c>
      <c r="F45" s="112" t="n">
        <v>2550</v>
      </c>
    </row>
    <row r="46" customFormat="false" ht="15" hidden="false" customHeight="true" outlineLevel="0" collapsed="false">
      <c r="B46" s="37" t="s">
        <v>724</v>
      </c>
      <c r="C46" s="109" t="s">
        <v>211</v>
      </c>
      <c r="D46" s="109" t="s">
        <v>725</v>
      </c>
      <c r="E46" s="109" t="s">
        <v>726</v>
      </c>
      <c r="F46" s="109" t="s">
        <v>727</v>
      </c>
    </row>
  </sheetData>
  <mergeCells count="7">
    <mergeCell ref="B1:H1"/>
    <mergeCell ref="B2:H2"/>
    <mergeCell ref="B5:F5"/>
    <mergeCell ref="B13:F13"/>
    <mergeCell ref="B21:F21"/>
    <mergeCell ref="B29:F29"/>
    <mergeCell ref="B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7" min="3" style="1" width="18"/>
    <col collapsed="false" customWidth="true" hidden="false" outlineLevel="0" max="8" min="8" style="1" width="22"/>
    <col collapsed="false" customWidth="true" hidden="false" outlineLevel="0" max="9" min="9" style="1" width="3"/>
  </cols>
  <sheetData>
    <row r="1" customFormat="false" ht="21.75" hidden="false" customHeight="true" outlineLevel="0" collapsed="false">
      <c r="B1" s="32" t="s">
        <v>728</v>
      </c>
      <c r="C1" s="32"/>
      <c r="D1" s="32"/>
      <c r="E1" s="32"/>
      <c r="F1" s="32"/>
      <c r="G1" s="32"/>
      <c r="H1" s="32"/>
    </row>
    <row r="2" customFormat="false" ht="19.5" hidden="false" customHeight="true" outlineLevel="0" collapsed="false">
      <c r="B2" s="105" t="s">
        <v>729</v>
      </c>
      <c r="C2" s="105"/>
      <c r="D2" s="105"/>
      <c r="E2" s="105"/>
      <c r="F2" s="105"/>
      <c r="G2" s="105"/>
      <c r="H2" s="105"/>
    </row>
    <row r="3" customFormat="false" ht="7.5" hidden="false" customHeight="true" outlineLevel="0" collapsed="false"/>
    <row r="4" customFormat="false" ht="15.75" hidden="false" customHeight="true" outlineLevel="0" collapsed="false">
      <c r="B4" s="8" t="s">
        <v>730</v>
      </c>
      <c r="C4" s="8" t="s">
        <v>731</v>
      </c>
      <c r="D4" s="8" t="s">
        <v>732</v>
      </c>
      <c r="E4" s="8" t="s">
        <v>733</v>
      </c>
      <c r="F4" s="8" t="s">
        <v>734</v>
      </c>
      <c r="G4" s="8" t="s">
        <v>735</v>
      </c>
      <c r="H4" s="8" t="s">
        <v>736</v>
      </c>
      <c r="I4" s="8" t="s">
        <v>737</v>
      </c>
    </row>
    <row r="5" customFormat="false" ht="21.75" hidden="false" customHeight="true" outlineLevel="0" collapsed="false">
      <c r="B5" s="31" t="s">
        <v>738</v>
      </c>
      <c r="C5" s="30" t="s">
        <v>739</v>
      </c>
      <c r="D5" s="206" t="s">
        <v>740</v>
      </c>
      <c r="E5" s="206" t="s">
        <v>741</v>
      </c>
      <c r="F5" s="206" t="s">
        <v>742</v>
      </c>
      <c r="G5" s="206" t="s">
        <v>743</v>
      </c>
      <c r="H5" s="207" t="s">
        <v>744</v>
      </c>
      <c r="I5" s="207" t="s">
        <v>745</v>
      </c>
    </row>
    <row r="6" customFormat="false" ht="21.75" hidden="false" customHeight="true" outlineLevel="0" collapsed="false">
      <c r="B6" s="189" t="s">
        <v>746</v>
      </c>
      <c r="C6" s="208" t="s">
        <v>747</v>
      </c>
      <c r="D6" s="209" t="s">
        <v>748</v>
      </c>
      <c r="E6" s="209" t="s">
        <v>749</v>
      </c>
      <c r="F6" s="209" t="s">
        <v>750</v>
      </c>
      <c r="G6" s="209" t="s">
        <v>751</v>
      </c>
      <c r="H6" s="210" t="s">
        <v>752</v>
      </c>
      <c r="I6" s="210" t="s">
        <v>753</v>
      </c>
    </row>
    <row r="7" customFormat="false" ht="21.75" hidden="false" customHeight="true" outlineLevel="0" collapsed="false">
      <c r="B7" s="31" t="s">
        <v>754</v>
      </c>
      <c r="C7" s="30" t="s">
        <v>755</v>
      </c>
      <c r="D7" s="206" t="s">
        <v>756</v>
      </c>
      <c r="E7" s="206" t="s">
        <v>757</v>
      </c>
      <c r="F7" s="206" t="s">
        <v>758</v>
      </c>
      <c r="G7" s="206" t="s">
        <v>759</v>
      </c>
      <c r="H7" s="207" t="s">
        <v>760</v>
      </c>
      <c r="I7" s="207" t="s">
        <v>761</v>
      </c>
    </row>
    <row r="8" customFormat="false" ht="21.75" hidden="false" customHeight="true" outlineLevel="0" collapsed="false">
      <c r="B8" s="189" t="s">
        <v>762</v>
      </c>
      <c r="C8" s="208" t="s">
        <v>763</v>
      </c>
      <c r="D8" s="209" t="s">
        <v>764</v>
      </c>
      <c r="E8" s="209" t="s">
        <v>765</v>
      </c>
      <c r="F8" s="209" t="s">
        <v>766</v>
      </c>
      <c r="G8" s="209" t="s">
        <v>767</v>
      </c>
      <c r="H8" s="210" t="s">
        <v>768</v>
      </c>
      <c r="I8" s="210" t="s">
        <v>769</v>
      </c>
    </row>
    <row r="9" customFormat="false" ht="21.75" hidden="false" customHeight="true" outlineLevel="0" collapsed="false">
      <c r="B9" s="31" t="s">
        <v>770</v>
      </c>
      <c r="C9" s="30" t="s">
        <v>763</v>
      </c>
      <c r="D9" s="206" t="s">
        <v>771</v>
      </c>
      <c r="E9" s="206" t="s">
        <v>772</v>
      </c>
      <c r="F9" s="206" t="s">
        <v>773</v>
      </c>
      <c r="G9" s="206" t="s">
        <v>774</v>
      </c>
      <c r="H9" s="207" t="s">
        <v>775</v>
      </c>
      <c r="I9" s="207" t="s">
        <v>776</v>
      </c>
    </row>
    <row r="10" customFormat="false" ht="21.75" hidden="false" customHeight="true" outlineLevel="0" collapsed="false">
      <c r="B10" s="189" t="s">
        <v>777</v>
      </c>
      <c r="C10" s="208" t="s">
        <v>778</v>
      </c>
      <c r="D10" s="209" t="s">
        <v>779</v>
      </c>
      <c r="E10" s="209" t="s">
        <v>780</v>
      </c>
      <c r="F10" s="209" t="s">
        <v>781</v>
      </c>
      <c r="G10" s="209" t="s">
        <v>782</v>
      </c>
      <c r="H10" s="210" t="s">
        <v>783</v>
      </c>
      <c r="I10" s="210" t="s">
        <v>784</v>
      </c>
    </row>
    <row r="11" customFormat="false" ht="21.75" hidden="false" customHeight="true" outlineLevel="0" collapsed="false">
      <c r="B11" s="31" t="s">
        <v>785</v>
      </c>
      <c r="C11" s="30" t="s">
        <v>763</v>
      </c>
      <c r="D11" s="206" t="s">
        <v>786</v>
      </c>
      <c r="E11" s="206" t="s">
        <v>787</v>
      </c>
      <c r="F11" s="206" t="s">
        <v>788</v>
      </c>
      <c r="G11" s="206" t="s">
        <v>789</v>
      </c>
      <c r="H11" s="207" t="s">
        <v>790</v>
      </c>
      <c r="I11" s="207" t="s">
        <v>791</v>
      </c>
    </row>
    <row r="12" customFormat="false" ht="21.75" hidden="false" customHeight="true" outlineLevel="0" collapsed="false">
      <c r="B12" s="189" t="s">
        <v>792</v>
      </c>
      <c r="C12" s="208" t="s">
        <v>793</v>
      </c>
      <c r="D12" s="209" t="s">
        <v>794</v>
      </c>
      <c r="E12" s="209" t="s">
        <v>795</v>
      </c>
      <c r="F12" s="209" t="s">
        <v>796</v>
      </c>
      <c r="G12" s="209" t="s">
        <v>797</v>
      </c>
      <c r="H12" s="210" t="s">
        <v>798</v>
      </c>
      <c r="I12" s="210" t="s">
        <v>799</v>
      </c>
    </row>
    <row r="13" customFormat="false" ht="21.75" hidden="false" customHeight="true" outlineLevel="0" collapsed="false">
      <c r="B13" s="31" t="s">
        <v>800</v>
      </c>
      <c r="C13" s="30" t="s">
        <v>801</v>
      </c>
      <c r="D13" s="206" t="s">
        <v>802</v>
      </c>
      <c r="E13" s="206" t="s">
        <v>803</v>
      </c>
      <c r="F13" s="206" t="s">
        <v>804</v>
      </c>
      <c r="G13" s="206" t="s">
        <v>805</v>
      </c>
      <c r="H13" s="207" t="s">
        <v>806</v>
      </c>
      <c r="I13" s="207" t="s">
        <v>807</v>
      </c>
    </row>
    <row r="14" customFormat="false" ht="21.75" hidden="false" customHeight="true" outlineLevel="0" collapsed="false">
      <c r="B14" s="189" t="s">
        <v>808</v>
      </c>
      <c r="C14" s="208" t="s">
        <v>809</v>
      </c>
      <c r="D14" s="209" t="s">
        <v>810</v>
      </c>
      <c r="E14" s="209" t="s">
        <v>811</v>
      </c>
      <c r="F14" s="209" t="s">
        <v>812</v>
      </c>
      <c r="G14" s="209" t="s">
        <v>813</v>
      </c>
      <c r="H14" s="210" t="s">
        <v>814</v>
      </c>
      <c r="I14" s="210" t="s">
        <v>815</v>
      </c>
    </row>
    <row r="15" customFormat="false" ht="30" hidden="false" customHeight="true" outlineLevel="0" collapsed="false">
      <c r="B15" s="211" t="s">
        <v>816</v>
      </c>
      <c r="C15" s="212" t="s">
        <v>817</v>
      </c>
      <c r="D15" s="213" t="s">
        <v>10</v>
      </c>
      <c r="E15" s="213" t="s">
        <v>818</v>
      </c>
      <c r="F15" s="213" t="s">
        <v>819</v>
      </c>
      <c r="G15" s="213" t="s">
        <v>743</v>
      </c>
      <c r="H15" s="214" t="s">
        <v>820</v>
      </c>
      <c r="I15" s="214" t="s">
        <v>821</v>
      </c>
    </row>
    <row r="18" customFormat="false" ht="21.75" hidden="false" customHeight="true" outlineLevel="0" collapsed="false">
      <c r="B18" s="58" t="s">
        <v>822</v>
      </c>
      <c r="C18" s="58"/>
      <c r="D18" s="58"/>
      <c r="E18" s="58"/>
      <c r="F18" s="58"/>
      <c r="G18" s="58"/>
      <c r="H18" s="58"/>
      <c r="I18" s="58"/>
    </row>
  </sheetData>
  <mergeCells count="3">
    <mergeCell ref="B1:H1"/>
    <mergeCell ref="B2:H2"/>
    <mergeCell ref="B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2026-04-14T00:30:36Z</dcterms:created>
  <dc:creator>openpyxl</dc:creator>
  <dc:description/>
  <dc:language>en-US</dc:language>
  <cp:lastModifiedBy/>
  <dcterms:modified xsi:type="dcterms:W3CDTF">2026-04-14T23:31:56Z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
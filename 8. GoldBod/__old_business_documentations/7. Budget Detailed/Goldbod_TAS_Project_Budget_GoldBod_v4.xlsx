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tabRatio="500"/>
  </bookViews>
  <sheets>
    <sheet r:id="rId1" name="0. Assumptions" sheetId="1"/>
    <sheet r:id="rId2" name="Budget-Summary" sheetId="2"/>
    <sheet r:id="rId3" name="Cover" sheetId="3"/>
    <sheet r:id="rId4" name="1. Personnel Costs" sheetId="4"/>
    <sheet r:id="rId5" name="2. Software Development" sheetId="5"/>
    <sheet r:id="rId6" name="3. Infrastructure &amp; Licenses" sheetId="6"/>
    <sheet r:id="rId7" name="4. Hardware &amp; Other Costs" sheetId="7"/>
    <sheet r:id="rId8" name="5. Payment Milestones" sheetId="8"/>
    <sheet r:id="rId9" name="6. Financial Risk Register" sheetId="9"/>
    <sheet r:id="rId10" name="7. Assumptions" sheetId="10"/>
    <sheet r:id="rId11" name="8. Deployment Costs" sheetId="11"/>
    <sheet r:id="rId12" name="9. Training &amp; Capacity" sheetId="12"/>
    <sheet r:id="rId13" name="10. Integration Costs" sheetId="13"/>
    <sheet r:id="rId14" name="11. Testing &amp; QA" sheetId="14"/>
    <sheet r:id="rId15" name="12. PMO &amp; Governance" sheetId="15"/>
    <sheet r:id="rId16" name="13. Compliance &amp; Regulatory" sheetId="16"/>
    <sheet r:id="rId17" name="14. Documentation" sheetId="17"/>
    <sheet r:id="rId18" name="15. Contingency Budget" sheetId="18"/>
    <sheet r:id="rId19" name="16. Financial Impact &amp; ROI" sheetId="19"/>
  </sheets>
  <calcPr calcId="0" iterateCount="100" iterateDelta="0.0001"/>
</workbook>
</file>

<file path=xl/sharedStrings.xml><?xml version="1.0" encoding="utf-8"?>
<sst xmlns="http://schemas.openxmlformats.org/spreadsheetml/2006/main" count="992" uniqueCount="992">
  <si>
    <t>GHANA GOLD BOARD (GOLDBOD)</t>
  </si>
  <si>
    <t>TRACEABILITY &amp; ASSURANCE SYSTEM (TAS)</t>
  </si>
  <si>
    <t>PROJECT BUDGET — KEY ASSUMPTIONS</t>
  </si>
  <si>
    <t>REF: GR/GGB/TS/NCT/042/2026  |  April 2026</t>
  </si>
  <si>
    <t>CORE FINANCIAL ASSUMPTIONS</t>
  </si>
  <si>
    <t>BUDGET ALLOCATION BY CATEGORY</t>
  </si>
  <si>
    <t>Assumption</t>
  </si>
  <si>
    <t>Value</t>
  </si>
  <si>
    <t>Notes</t>
  </si>
  <si>
    <t>Category</t>
  </si>
  <si>
    <t>Weight %</t>
  </si>
  <si>
    <t>Allocated USD</t>
  </si>
  <si>
    <t>Estimated Budget (USD)</t>
  </si>
  <si>
    <t>★ Change this to update the budget across all sheets</t>
  </si>
  <si>
    <t>1. Personnel &amp; HR Costs</t>
  </si>
  <si>
    <t>USD → GHS Exchange Rate</t>
  </si>
  <si>
    <t>★ Change this — GHS amounts recalculate automatically</t>
  </si>
  <si>
    <t>2. Software Development</t>
  </si>
  <si>
    <t>Budget Date</t>
  </si>
  <si>
    <t>April 2026</t>
  </si>
  <si>
    <t>Date of budget preparation</t>
  </si>
  <si>
    <t>3. Blockchain Infrastructure</t>
  </si>
  <si>
    <t>Contract Duration</t>
  </si>
  <si>
    <t>18 Months</t>
  </si>
  <si>
    <t>6 Mths Implementation + 12 Mths Stabilisation</t>
  </si>
  <si>
    <t>4. Cloud &amp; Hosting (18 months)</t>
  </si>
  <si>
    <t>Procurement Method</t>
  </si>
  <si>
    <t>QCBS</t>
  </si>
  <si>
    <t>Quality &amp; Cost Based Selection</t>
  </si>
  <si>
    <t>5. Software Licenses &amp; Tools</t>
  </si>
  <si>
    <t>Primary Currency</t>
  </si>
  <si>
    <t>USD</t>
  </si>
  <si>
    <t>GHS equivalent calculated from rate above</t>
  </si>
  <si>
    <t>6. Hardware &amp; Field Equipment</t>
  </si>
  <si>
    <t>Contingency Rate</t>
  </si>
  <si>
    <t>10%</t>
  </si>
  <si>
    <t>Applied per category; PMO approval to release</t>
  </si>
  <si>
    <t>7. Systems Integration (6 agencies)</t>
  </si>
  <si>
    <t>FX Variance Buffer</t>
  </si>
  <si>
    <t>±5%</t>
  </si>
  <si>
    <t>Built into contingency for exchange rate movements</t>
  </si>
  <si>
    <t>8. Testing &amp; Quality Assurance</t>
  </si>
  <si>
    <t>Project Start Date</t>
  </si>
  <si>
    <t>May 2026</t>
  </si>
  <si>
    <t>Indicative — subject to contract signing</t>
  </si>
  <si>
    <t>9. Training &amp; Capacity Building</t>
  </si>
  <si>
    <t>10. Compliance &amp; Legal</t>
  </si>
  <si>
    <t>GENERAL PROJECT ASSUMPTIONS</t>
  </si>
  <si>
    <t>11. Project Management &amp; PMO</t>
  </si>
  <si>
    <t xml:space="preserve">  1.  All costs are in USD unless stated otherwise. GHS equivalent rates are indicative only.</t>
  </si>
  <si>
    <t>12. Pilot Programme</t>
  </si>
  <si>
    <t xml:space="preserve">  2.  Exchange rate locked at contract signing. FX fluctuations covered by 5% contingency buffer.</t>
  </si>
  <si>
    <t>13. National Deployment</t>
  </si>
  <si>
    <t xml:space="preserve">  3.  Personnel rates are blended for onshore/offshore delivery mix.</t>
  </si>
  <si>
    <t>14. Stabilisation &amp; Support (12 mths)</t>
  </si>
  <si>
    <t xml:space="preserve">  4.  Software licence costs assume 18-month project duration with annual renewal option.</t>
  </si>
  <si>
    <t>15. Documentation &amp; Deliverables</t>
  </si>
  <si>
    <t xml:space="preserve">  5.  Hardware procurement subject to GoldBod import duty and procurement regulations.</t>
  </si>
  <si>
    <t>16. Contingency (10%)</t>
  </si>
  <si>
    <t xml:space="preserve">  6.  Contingency (10%) requires written PMO approval for release; unspent amounts returned to GoldBod.</t>
  </si>
  <si>
    <t>TOTAL</t>
  </si>
  <si>
    <t xml:space="preserve">  7.  All milestones subject to formal sign-off before subsequent tranche is released.</t>
  </si>
  <si>
    <t xml:space="preserve">  8.  Training costs assume train-the-trainer model for national rollout efficiency.</t>
  </si>
  <si>
    <t>Colour Legend:   Blue text = User input  |  Black text = Formula  |  Yellow background = Key assumption to review  |  Green text = Cross-sheet link</t>
  </si>
  <si>
    <t>PROJECT BUDGET SUMMARY</t>
  </si>
  <si>
    <t>Estimated Budget:</t>
  </si>
  <si>
    <t>Exchange Rate:</t>
  </si>
  <si>
    <t>GHS/USD</t>
  </si>
  <si>
    <t>#</t>
  </si>
  <si>
    <t>Cost Category</t>
  </si>
  <si>
    <t>Description</t>
  </si>
  <si>
    <t>USD Amount</t>
  </si>
  <si>
    <t>GHS Equivalent</t>
  </si>
  <si>
    <t>% of Total</t>
  </si>
  <si>
    <t>Core team: developers, architects, QA, PMs, compliance officers, support staff. Includes statutory oncosts (SSNIT, Tier 2, medical).</t>
  </si>
  <si>
    <t>Full-stack blockchain platform: smart contracts, APIs, mobile apps, web dashboards, admin portal.</t>
  </si>
  <si>
    <t>Hyperledger Fabric nodes, consensus infrastructure, HSMs, certificate authority setup.</t>
  </si>
  <si>
    <t>AWS/Azure hosting, CDN, DR environment, monitoring &amp; backup services for 18 months.</t>
  </si>
  <si>
    <t>Development tools, CI/CD pipelines, security scanners, design &amp; collaboration platforms.</t>
  </si>
  <si>
    <t>Tablets, GPS devices, digital scales, biometric scanners, ruggedised field kits for regional offices.</t>
  </si>
  <si>
    <t>API integration with 6 government agencies: GRA, PMMC, Minerals Commission, NIA, FIC, Bank of Ghana.</t>
  </si>
  <si>
    <t>Functional, regression, load, security (penetration) testing and UAT coordination.</t>
  </si>
  <si>
    <t>Train-the-trainer programme, e-learning platform, regional workshops, user manuals &amp; change management.</t>
  </si>
  <si>
    <t>Data protection (Act 843), AML/CFT compliance, legal advisory, regulatory submissions.</t>
  </si>
  <si>
    <t>PMO office, project &amp; financial management, governance, reporting, steering committee support.</t>
  </si>
  <si>
    <t>Pilot deployment in 2 selected regions with controlled rollout and feedback loop.</t>
  </si>
  <si>
    <t>Phased national rollout to all 16 regions with logistics, connectivity and on-site commissioning.</t>
  </si>
  <si>
    <t>L1–L3 support, system administration, SLA monitoring, bug fixes and optimisation for 12 months post go-live.</t>
  </si>
  <si>
    <t>Technical documentation, user guides, SOPs, handover packs, knowledge transfer deliverables.</t>
  </si>
  <si>
    <t>10% contingency on direct costs. Released only with written PMO approval. Unspent funds returned.</t>
  </si>
  <si>
    <t>TOTAL PROJECT BUDGET</t>
  </si>
  <si>
    <t>Notes:</t>
  </si>
  <si>
    <t>1.  All amounts in USD. GHS equivalents are indicative at the exchange rate shown above.</t>
  </si>
  <si>
    <t>2.  Budget allocations are proportional — changing the Estimated Budget automatically recalculates all line items.</t>
  </si>
  <si>
    <t>3.  Contingency (10%) requires written PMO approval for release. Unspent amounts returned to GoldBod.</t>
  </si>
  <si>
    <t>4.  Exchange rate locked at contract signing. ±5% FX variance buffer built into contingency.</t>
  </si>
  <si>
    <t>5.  Contract duration: 18 months (6 months implementation + 12 months stabilisation &amp; support).</t>
  </si>
  <si>
    <t>Prepared:  April 2026  |  Procurement Method: QCBS (Quality &amp; Cost Based Selection)</t>
  </si>
  <si>
    <t>GHANA GOLD BOARD (GOLDBOD)
TRACEABILITY &amp; ASSURANCE SYSTEM (TAS)
PROJECT BUDGET — REF: GR/GGB/TS/NCT/042/2026</t>
  </si>
  <si>
    <t>Contract Duration:</t>
  </si>
  <si>
    <t>18 Months (6 Mths Implementation + 12 Mths Stabilisation)</t>
  </si>
  <si>
    <t>Procurement Method:</t>
  </si>
  <si>
    <t>Quality &amp; Cost Based Selection (QCBS)</t>
  </si>
  <si>
    <t>Currency (Primary):</t>
  </si>
  <si>
    <t>USD (with GHS equivalent at 13.00 USD/GHS)</t>
  </si>
  <si>
    <t>1 USD = 13.00 GHS  (Indicative – April 2026)</t>
  </si>
  <si>
    <t>Budget Date:</t>
  </si>
  <si>
    <t>Regulatory Framework:</t>
  </si>
  <si>
    <t>Public Procurement Act, 2003 (Act 663 as amended)</t>
  </si>
  <si>
    <t xml:space="preserve">  EXECUTIVE BUDGET SUMMARY</t>
  </si>
  <si>
    <t>GHS Amount</t>
  </si>
  <si>
    <t>100.0%</t>
  </si>
  <si>
    <t>SECTION 1 — PERSONNEL &amp; HR COSTS</t>
  </si>
  <si>
    <t>Role / Position</t>
  </si>
  <si>
    <t>Monthly Rate (USD)</t>
  </si>
  <si>
    <t># Staff</t>
  </si>
  <si>
    <t>Months</t>
  </si>
  <si>
    <t>Total USD</t>
  </si>
  <si>
    <t>Total GHS</t>
  </si>
  <si>
    <t xml:space="preserve">  A. TECHNICAL DEVELOPMENT TEAM (Implementation Phase)</t>
  </si>
  <si>
    <t>Blockchain Architect / Lead Developer</t>
  </si>
  <si>
    <t>Senior Backend Developer (Blockchain)</t>
  </si>
  <si>
    <t>Senior Backend Developer (API/Core)</t>
  </si>
  <si>
    <t>Frontend Developer (Web Portal)</t>
  </si>
  <si>
    <t>Mobile App Developer (Android/iOS)</t>
  </si>
  <si>
    <t>Smart Contract Developer</t>
  </si>
  <si>
    <t>DevOps / Cloud Engineer</t>
  </si>
  <si>
    <t>Database Administrator</t>
  </si>
  <si>
    <t>Cybersecurity / Security Engineer</t>
  </si>
  <si>
    <t>Sub-Total: A. TECHNICAL DEVELOPMENT TEAM (Implementation Phase)</t>
  </si>
  <si>
    <t xml:space="preserve">  B. QA &amp; TESTING TEAM</t>
  </si>
  <si>
    <t>QA Lead / Test Manager</t>
  </si>
  <si>
    <t>QA Engineer / Functional Tester</t>
  </si>
  <si>
    <t>Test Automation Engineer</t>
  </si>
  <si>
    <t>Penetration Tester / Security Auditor</t>
  </si>
  <si>
    <t>Sub-Total: B. QA &amp; TESTING TEAM</t>
  </si>
  <si>
    <t xml:space="preserve">  C. UI/UX &amp; BUSINESS ANALYSIS</t>
  </si>
  <si>
    <t>Lead UI/UX Designer</t>
  </si>
  <si>
    <t>Junior UI/UX Designer</t>
  </si>
  <si>
    <t>Business Analyst (Gold Supply Chain)</t>
  </si>
  <si>
    <t>Requirements Engineer</t>
  </si>
  <si>
    <t>Domain Expert – AML/CFT Compliance</t>
  </si>
  <si>
    <t>Sub-Total: C. UI/UX &amp; BUSINESS ANALYSIS</t>
  </si>
  <si>
    <t xml:space="preserve">  D. INTEGRATION &amp; DATA SPECIALISTS</t>
  </si>
  <si>
    <t>Integration Architect</t>
  </si>
  <si>
    <t>API Developer / Integration Engineer</t>
  </si>
  <si>
    <t>Data Engineer</t>
  </si>
  <si>
    <t>Data Scientist / Analytics Specialist</t>
  </si>
  <si>
    <t>Sub-Total: D. INTEGRATION &amp; DATA SPECIALISTS</t>
  </si>
  <si>
    <t xml:space="preserve">  E. TRAINING &amp; CHANGE MANAGEMENT</t>
  </si>
  <si>
    <t>Training Programme Manager</t>
  </si>
  <si>
    <t>Field Training Specialist (Regional)</t>
  </si>
  <si>
    <t>Change Management Consultant</t>
  </si>
  <si>
    <t>Technical Writer / Documentation Spec.</t>
  </si>
  <si>
    <t>E-Learning / LMS Developer</t>
  </si>
  <si>
    <t>Sub-Total: E. TRAINING &amp; CHANGE MANAGEMENT</t>
  </si>
  <si>
    <t xml:space="preserve">  F. PROJECT MANAGEMENT</t>
  </si>
  <si>
    <t>Project Manager</t>
  </si>
  <si>
    <t>Deputy Project Manager</t>
  </si>
  <si>
    <t>Project Coordinator</t>
  </si>
  <si>
    <t>Project Administrator</t>
  </si>
  <si>
    <t>Financial Manager / Controller</t>
  </si>
  <si>
    <t>Sub-Total: F. PROJECT MANAGEMENT</t>
  </si>
  <si>
    <t xml:space="preserve">  G. COMPLIANCE &amp; LEGAL</t>
  </si>
  <si>
    <t>Compliance Officer – Data Protection (Act 843)</t>
  </si>
  <si>
    <t>AML/CFT Compliance Specialist</t>
  </si>
  <si>
    <t>Legal Advisor (Contract / IP / Regulatory)</t>
  </si>
  <si>
    <t>Sub-Total: G. COMPLIANCE &amp; LEGAL</t>
  </si>
  <si>
    <t xml:space="preserve">  H. STABILISATION &amp; SUPPORT TEAM (Months 7–18)</t>
  </si>
  <si>
    <t>Technical Support Engineer (L2/L3)</t>
  </si>
  <si>
    <t>System Administrator</t>
  </si>
  <si>
    <t>Help Desk / L1 Support Agent</t>
  </si>
  <si>
    <t>Blockchain Node Operator</t>
  </si>
  <si>
    <t>Sub-Total: H. STABILISATION &amp; SUPPORT TEAM (Months 7–18)</t>
  </si>
  <si>
    <t xml:space="preserve">  I. GHANA EMPLOYMENT ONCOSTS (Statutory)</t>
  </si>
  <si>
    <t>SSNIT – Employer Contribution (13% of basic salary)</t>
  </si>
  <si>
    <t>Tier 2 Pension Contribution (5% of basic salary)</t>
  </si>
  <si>
    <t>Staff Medical Insurance Allowance (est. $200/person/month, ~50 staff)</t>
  </si>
  <si>
    <t>Professional Indemnity &amp; Project Insurance</t>
  </si>
  <si>
    <t>Staff Welfare &amp; Team Activities</t>
  </si>
  <si>
    <t>TOTAL PERSONNEL &amp; HR COSTS</t>
  </si>
  <si>
    <t>NOTE: Blue text = hardcoded inputs (rates, headcount, duration). Black text = formulas. Green text = GHS conversions at 1 USD = 13.00 GHS (indicative).</t>
  </si>
  <si>
    <t>SECTION 2 — SOFTWARE DEVELOPMENT &amp; PROJECT IMPLEMENTATION</t>
  </si>
  <si>
    <t>Development Activity / Deliverable</t>
  </si>
  <si>
    <t>Estimated Cost (USD)</t>
  </si>
  <si>
    <t>Estimated Cost (GHS)</t>
  </si>
  <si>
    <t xml:space="preserve">  PHASE 1: DESIGN &amp; REQUIREMENTS (Months 1–2)</t>
  </si>
  <si>
    <t>System Architecture Design &amp; Technical Blueprint</t>
  </si>
  <si>
    <t>Blockchain Network Architecture Specification</t>
  </si>
  <si>
    <t>UX Research &amp; Wireframing (all user roles)</t>
  </si>
  <si>
    <t>Stakeholder Workshops &amp; Requirements Workshops (3 rounds)</t>
  </si>
  <si>
    <t>Data Model &amp; Database Schema Design</t>
  </si>
  <si>
    <t>Security Architecture &amp; Threat Modelling</t>
  </si>
  <si>
    <t>Integration Architecture &amp; API Design (6 agencies)</t>
  </si>
  <si>
    <t>Sub-Total: PHASE 1: DESIGN &amp; REQUIREMENTS (Months 1–2)</t>
  </si>
  <si>
    <t xml:space="preserve">  PHASE 2: CORE PLATFORM DEVELOPMENT (Months 2–4)</t>
  </si>
  <si>
    <t>Blockchain Network Setup – Hyperledger Fabric (permissioned)</t>
  </si>
  <si>
    <t>Smart Contract Development &amp; Auditing</t>
  </si>
  <si>
    <t>Core Backend API Development (Node.js / Python)</t>
  </si>
  <si>
    <t>Supply Chain Transaction Module</t>
  </si>
  <si>
    <t>KYC/AML Module (identity &amp; compliance)</t>
  </si>
  <si>
    <t>Assay &amp; Weight Recording Module</t>
  </si>
  <si>
    <t>Chain-of-Custody / Provenance Ledger Module</t>
  </si>
  <si>
    <t>Admin Dashboard &amp; Analytics Portal (Web)</t>
  </si>
  <si>
    <t>Reporting &amp; BI Module (OECD/LBMA/FIC reports)</t>
  </si>
  <si>
    <t>Notification Engine (SMS, email, push)</t>
  </si>
  <si>
    <t>Document Management &amp; IPFS Off-chain Storage</t>
  </si>
  <si>
    <t>Role-Based Access Control &amp; Permissioning Engine</t>
  </si>
  <si>
    <t>Sub-Total: PHASE 2: CORE PLATFORM DEVELOPMENT (Months 2–4)</t>
  </si>
  <si>
    <t xml:space="preserve">  PHASE 3: MOBILE APPLICATION DEVELOPMENT</t>
  </si>
  <si>
    <t>Android Mobile App – Field Officers &amp; Miners</t>
  </si>
  <si>
    <t>iOS Mobile App – Field Officers</t>
  </si>
  <si>
    <t>Offline Mode &amp; Data Sync Engine</t>
  </si>
  <si>
    <t>QR/NFC/RFID Scanner Integration</t>
  </si>
  <si>
    <t>GPS &amp; Geolocation Integration</t>
  </si>
  <si>
    <t>Digital Signature / e-Certificate Module</t>
  </si>
  <si>
    <t>Photo Capture &amp; Evidence Upload Module</t>
  </si>
  <si>
    <t>Sub-Total: PHASE 3: MOBILE APPLICATION DEVELOPMENT</t>
  </si>
  <si>
    <t xml:space="preserve">  PHASE 4: DEVOPS, CI/CD &amp; INFRASTRUCTURE-AS-CODE</t>
  </si>
  <si>
    <t>CI/CD Pipeline Setup (GitHub Actions / Jenkins)</t>
  </si>
  <si>
    <t>Docker / Kubernetes Container Orchestration</t>
  </si>
  <si>
    <t>Infrastructure-as-Code (Terraform / Ansible)</t>
  </si>
  <si>
    <t>Environment Setup: Dev / Staging / UAT / Production</t>
  </si>
  <si>
    <t>Automated Deployment &amp; Rollback Procedures</t>
  </si>
  <si>
    <t>Performance Monitoring &amp; Alerting Setup</t>
  </si>
  <si>
    <t>Sub-Total: PHASE 4: DEVOPS, CI/CD &amp; INFRASTRUCTURE-AS-CODE</t>
  </si>
  <si>
    <t xml:space="preserve">  PHASE 5: PILOT DEVELOPMENT (Months 5–6)</t>
  </si>
  <si>
    <t>Pilot Configuration for 2–3 Mine Sites</t>
  </si>
  <si>
    <t>Pilot-Specific Customisation &amp; Field Adaptation</t>
  </si>
  <si>
    <t>Iterative Bug Fixes &amp; Field Feedback Integration</t>
  </si>
  <si>
    <t>Load &amp; Stress Testing for Pilot Volume</t>
  </si>
  <si>
    <t>Sub-Total: PHASE 5: PILOT DEVELOPMENT (Months 5–6)</t>
  </si>
  <si>
    <t xml:space="preserve">  PHASE 6: NATIONAL DEPLOYMENT &amp; GO-LIVE</t>
  </si>
  <si>
    <t>National Rollout Configuration &amp; Data Migration</t>
  </si>
  <si>
    <t>Go-Live Support (War Room, 24/7 for 2 weeks)</t>
  </si>
  <si>
    <t>Post Go-Live Hotfix Sprint (first 4 weeks)</t>
  </si>
  <si>
    <t>Sub-Total: PHASE 6: NATIONAL DEPLOYMENT &amp; GO-LIVE</t>
  </si>
  <si>
    <t xml:space="preserve">  ONGOING DEVELOPMENT – STABILISATION (Months 7–18)</t>
  </si>
  <si>
    <t>Quarterly Feature Enhancements (4 sprints × 3 months)</t>
  </si>
  <si>
    <t>Bug Fix &amp; Patch Management</t>
  </si>
  <si>
    <t>Performance Tuning &amp; Optimisation</t>
  </si>
  <si>
    <t>Regulatory &amp; Compliance Updates</t>
  </si>
  <si>
    <t>API Version Upgrades (agency systems)</t>
  </si>
  <si>
    <t>Sub-Total: ONGOING DEVELOPMENT – STABILISATION (Months 7–18)</t>
  </si>
  <si>
    <t>TOTAL SOFTWARE DEVELOPMENT</t>
  </si>
  <si>
    <t>SECTION 3 — BLOCKCHAIN INFRASTRUCTURE, CLOUD &amp; SOFTWARE LICENSES</t>
  </si>
  <si>
    <t>Item</t>
  </si>
  <si>
    <t>Unit Cost (USD)</t>
  </si>
  <si>
    <t>Qty / Months</t>
  </si>
  <si>
    <t xml:space="preserve">  BLOCKCHAIN INFRASTRUCTURE</t>
  </si>
  <si>
    <t>Hyperledger Fabric Platform Support &amp; SLA</t>
  </si>
  <si>
    <t>Blockchain Node Hosting (6 validator nodes × cloud)</t>
  </si>
  <si>
    <t>Hardware Security Modules (HSM) – cloud-based KMS</t>
  </si>
  <si>
    <t>Blockchain Explorer &amp; Monitoring Tool</t>
  </si>
  <si>
    <t>Smart Contract Audit (external firm)</t>
  </si>
  <si>
    <t>Certificate Authority Setup &amp; Annual Maintenance</t>
  </si>
  <si>
    <t>IPFS / Off-Chain Distributed Storage</t>
  </si>
  <si>
    <t>Blockchain Disaster Recovery Node</t>
  </si>
  <si>
    <t>Sub-Total: BLOCKCHAIN INFRASTRUCTURE</t>
  </si>
  <si>
    <t xml:space="preserve">  CLOUD &amp; HOSTING INFRASTRUCTURE (18 months)</t>
  </si>
  <si>
    <t>Compute – Application Servers (prod + staging + dev)</t>
  </si>
  <si>
    <t>Database Servers (managed PostgreSQL + Redis)</t>
  </si>
  <si>
    <t>Object Storage (S3 equivalent – docs, images, logs)</t>
  </si>
  <si>
    <t>CDN – Content Delivery Network (Ghana region)</t>
  </si>
  <si>
    <t>Load Balancer &amp; Auto-Scaling</t>
  </si>
  <si>
    <t>VPN &amp; Networking / Egress Costs</t>
  </si>
  <si>
    <t>Web Application Firewall (WAF) + DDoS Protection</t>
  </si>
  <si>
    <t>SSL Certificates &amp; PKI</t>
  </si>
  <si>
    <t>SIEM / Security Monitoring (cloud)</t>
  </si>
  <si>
    <t>Backup &amp; Disaster Recovery (cross-region replication)</t>
  </si>
  <si>
    <t>Data Residency / Local DC Co-location (Act 843)</t>
  </si>
  <si>
    <t>Sub-Total: CLOUD &amp; HOSTING INFRASTRUCTURE (18 months)</t>
  </si>
  <si>
    <t xml:space="preserve">  SOFTWARE LICENSES &amp; DEVELOPMENT TOOLS</t>
  </si>
  <si>
    <t>GitHub Enterprise (version control &amp; CI/CD)</t>
  </si>
  <si>
    <t>Jira + Confluence (project management &amp; docs)</t>
  </si>
  <si>
    <t>Figma Organisation (UI/UX design)</t>
  </si>
  <si>
    <t>SonarQube (code quality)</t>
  </si>
  <si>
    <t>Postman Enterprise (API testing)</t>
  </si>
  <si>
    <t>Datadog APM (application monitoring)</t>
  </si>
  <si>
    <t>PagerDuty (incident management)</t>
  </si>
  <si>
    <t>Power BI Premium (analytics &amp; dashboards)</t>
  </si>
  <si>
    <t>LoadRunner / JMeter Pro (performance testing)</t>
  </si>
  <si>
    <t>Burp Suite Pro (security testing)</t>
  </si>
  <si>
    <t>Microsoft 365 (team productivity – 30 users)</t>
  </si>
  <si>
    <t>Sub-Total: SOFTWARE LICENSES &amp; DEVELOPMENT TOOLS</t>
  </si>
  <si>
    <t xml:space="preserve">  THIRD-PARTY API &amp; COMPLIANCE SERVICES (18 months)</t>
  </si>
  <si>
    <t>Ghana Card / NIA Identity Verification API</t>
  </si>
  <si>
    <t>AML/CFT Sanctions Screening (Refinitiv/LexisNexis)</t>
  </si>
  <si>
    <t>PEP &amp; Adverse Media Screening Service</t>
  </si>
  <si>
    <t>SMS Gateway – Bulk SMS (MTN/Vodafone Ghana)</t>
  </si>
  <si>
    <t>Google Maps / Geolocation API</t>
  </si>
  <si>
    <t>Email Delivery Service (SendGrid / AWS SES)</t>
  </si>
  <si>
    <t>DocuSign / Digital Signature Service</t>
  </si>
  <si>
    <t>Source Code Escrow Agreement</t>
  </si>
  <si>
    <t>Sub-Total: THIRD-PARTY API &amp; COMPLIANCE SERVICES (18 months)</t>
  </si>
  <si>
    <t>TOTAL INFRASTRUCTURE &amp; LICENSES</t>
  </si>
  <si>
    <t>SECTION 4 — HARDWARE, TRAINING, INTEGRATION, COMPLIANCE &amp; PROJECT MANAGEMENT</t>
  </si>
  <si>
    <t>Item / Activity</t>
  </si>
  <si>
    <t>Quantity</t>
  </si>
  <si>
    <t xml:space="preserve">  HARDWARE &amp; FIELD EQUIPMENT</t>
  </si>
  <si>
    <t>Rugged Android Smartphones for Field Officers</t>
  </si>
  <si>
    <t>Protective Cases &amp; Screen Protectors</t>
  </si>
  <si>
    <t>QR Code / NFC Scanners (handheld)</t>
  </si>
  <si>
    <t>Barcode Label Printer (for serialised tags)</t>
  </si>
  <si>
    <t>Label Printing Supplies (rolls, ink – 18 months)</t>
  </si>
  <si>
    <t>Digital Scales with Data Capture (assay sites)</t>
  </si>
  <si>
    <t>Field GPS Handheld Units (remote areas)</t>
  </si>
  <si>
    <t>Mobile Hotspot / MiFi Devices (LTE)</t>
  </si>
  <si>
    <t>Solar Chargers &amp; Power Banks (off-grid)</t>
  </si>
  <si>
    <t>Laptop Computers (project team)</t>
  </si>
  <si>
    <t>Desktop Workstations (GoldBod offices)</t>
  </si>
  <si>
    <t>Network Switches &amp; WiFi Access Points</t>
  </si>
  <si>
    <t>UPS Units (data centre / server room)</t>
  </si>
  <si>
    <t>Server Rack &amp; Cooling (on-premise components)</t>
  </si>
  <si>
    <t>Document Scanner (A3, office)</t>
  </si>
  <si>
    <t>Equipment Insurance (18 months, all hardware)</t>
  </si>
  <si>
    <t>Sub-Total: HARDWARE &amp; FIELD EQUIPMENT</t>
  </si>
  <si>
    <t xml:space="preserve">  SYSTEMS INTEGRATION — 6 GOVERNMENT AGENCIES</t>
  </si>
  <si>
    <t>Minerals Commission – Licensing &amp; Cadastre API</t>
  </si>
  <si>
    <t>Ghana Revenue Authority (GRA) – Customs Export API</t>
  </si>
  <si>
    <t>Bank of Ghana – Payment &amp; FX Reporting API</t>
  </si>
  <si>
    <t>Financial Intelligence Centre (FIC) – STR/SAR Filing</t>
  </si>
  <si>
    <t>Environmental Protection Authority (EPA)</t>
  </si>
  <si>
    <t>Water Resources Commission (WRC)</t>
  </si>
  <si>
    <t>Integration Testing &amp; End-to-End Validation</t>
  </si>
  <si>
    <t>API Gateway Setup &amp; Developer Portal</t>
  </si>
  <si>
    <t>Ongoing Integration Maintenance (12 months)</t>
  </si>
  <si>
    <t>Sub-Total: SYSTEMS INTEGRATION — 6 GOVERNMENT AGENCIES</t>
  </si>
  <si>
    <t xml:space="preserve">  TRAINING &amp; CAPACITY BUILDING</t>
  </si>
  <si>
    <t>Training Needs Assessment &amp; Curriculum Development</t>
  </si>
  <si>
    <t>LMS Setup &amp; E-Learning Module Production</t>
  </si>
  <si>
    <t>User Manuals, Video Guides &amp; Visual Aids</t>
  </si>
  <si>
    <t>GoldBod IT Staff – Blockchain &amp; System Admin Training</t>
  </si>
  <si>
    <t>Field Officer Training (10 regions × 2 batches)</t>
  </si>
  <si>
    <t>Tier 1/2 Buyer &amp; Kitchen Operator Training</t>
  </si>
  <si>
    <t>Aggregator &amp; Transporter Training</t>
  </si>
  <si>
    <t>Miner / Small-Scale ASM Sensitisation Workshops</t>
  </si>
  <si>
    <t>Train-the-Trainer Programme</t>
  </si>
  <si>
    <t>Training Venue, Catering &amp; Logistics (regional)</t>
  </si>
  <si>
    <t>Refresher Training – Stabilisation Phase</t>
  </si>
  <si>
    <t>Change Management Programme</t>
  </si>
  <si>
    <t>Sub-Total: TRAINING &amp; CAPACITY BUILDING</t>
  </si>
  <si>
    <t xml:space="preserve">  TESTING &amp; QUALITY ASSURANCE</t>
  </si>
  <si>
    <t>Test Environment Hosting (UAT + staging – 6 months)</t>
  </si>
  <si>
    <t>Automated Testing Framework Setup</t>
  </si>
  <si>
    <t>Performance / Load Testing (JMeter)</t>
  </si>
  <si>
    <t>External Security Audit &amp; Penetration Testing</t>
  </si>
  <si>
    <t>Blockchain Security Audit (specialist firm)</t>
  </si>
  <si>
    <t>LBMA / OECD Compliance Assessment</t>
  </si>
  <si>
    <t>ISO 27001 Gap Analysis &amp; Preparation</t>
  </si>
  <si>
    <t>UAT Facilitation (multi-site, all stakeholders)</t>
  </si>
  <si>
    <t>Usability / Field Testing (remote sites)</t>
  </si>
  <si>
    <t>Test Defect Tracking Tool License (1 year)</t>
  </si>
  <si>
    <t>Sub-Total: TESTING &amp; QUALITY ASSURANCE</t>
  </si>
  <si>
    <t xml:space="preserve">  COMPLIANCE, LEGAL &amp; REGULATORY</t>
  </si>
  <si>
    <t>Data Protection Impact Assessment (DPIA – Act 843)</t>
  </si>
  <si>
    <t>Privacy Policy &amp; Data Processing Agreements (legal)</t>
  </si>
  <si>
    <t>AML/CFT Policy Framework &amp; Legal Review</t>
  </si>
  <si>
    <t>FATF / OECD Compliance Framework Documentation</t>
  </si>
  <si>
    <t>IP Assignment &amp; Open-Source Licence Review</t>
  </si>
  <si>
    <t>SOC 2 Type II Audit Preparation</t>
  </si>
  <si>
    <t>Professional Indemnity Insurance (18 months)</t>
  </si>
  <si>
    <t>Cyber Liability Insurance (18 months)</t>
  </si>
  <si>
    <t>Legal Advisor – Contract Review &amp; Disputes</t>
  </si>
  <si>
    <t>PPA Registration, Tax Clearance &amp; Filings</t>
  </si>
  <si>
    <t>Withholding Tax Provision (est. on foreign services)</t>
  </si>
  <si>
    <t>VAT on Applicable Local Costs (15%)</t>
  </si>
  <si>
    <t>Sub-Total: COMPLIANCE, LEGAL &amp; REGULATORY</t>
  </si>
  <si>
    <t xml:space="preserve">  PROJECT MANAGEMENT &amp; GOVERNANCE (PMO)</t>
  </si>
  <si>
    <t>PMO Setup &amp; Project Management Software</t>
  </si>
  <si>
    <t>Monthly Steering Committee Meetings (18 months)</t>
  </si>
  <si>
    <t>Project Launch Event &amp; National Go-Live Ceremony</t>
  </si>
  <si>
    <t>International Airfare (expert missions, 4 visits)</t>
  </si>
  <si>
    <t>Accommodation &amp; Per Diem (international experts)</t>
  </si>
  <si>
    <t>Domestic Travel – Regional Site Visits (18 months)</t>
  </si>
  <si>
    <t>Equipment Transportation &amp; Logistics</t>
  </si>
  <si>
    <t>Office Rental &amp; Running Costs (PMO office, 18 mths)</t>
  </si>
  <si>
    <t>Communication &amp; Utilities (18 months)</t>
  </si>
  <si>
    <t>Monthly Progress Reports &amp; Deliverable Production</t>
  </si>
  <si>
    <t>Public Relations &amp; Media Engagement</t>
  </si>
  <si>
    <t>Sub-Total: PROJECT MANAGEMENT &amp; GOVERNANCE (PMO)</t>
  </si>
  <si>
    <t xml:space="preserve">  PILOT PROGRAMME (Months 5–6)</t>
  </si>
  <si>
    <t>Pilot Site Setup &amp; Configuration (3 sites)</t>
  </si>
  <si>
    <t>Pilot Equipment Deployment &amp; Installation</t>
  </si>
  <si>
    <t>Pilot Monitoring, Evaluation &amp; Reporting</t>
  </si>
  <si>
    <t>Pilot Training &amp; On-Site Support</t>
  </si>
  <si>
    <t>Pilot Iteration &amp; System Refinement</t>
  </si>
  <si>
    <t>Pilot Closure Report &amp; Go/No-Go Assessment</t>
  </si>
  <si>
    <t>Sub-Total: PILOT PROGRAMME (Months 5–6)</t>
  </si>
  <si>
    <t xml:space="preserve">  NATIONAL DEPLOYMENT (Month 6)</t>
  </si>
  <si>
    <t>National Infrastructure Rollout – 10 Regions</t>
  </si>
  <si>
    <t>Regional Equipment Delivery &amp; Installation</t>
  </si>
  <si>
    <t>Go-Live 24/7 War Room Support (2 weeks)</t>
  </si>
  <si>
    <t>Communications Campaign &amp; Awareness</t>
  </si>
  <si>
    <t>National Deployment Documentation</t>
  </si>
  <si>
    <t>Sub-Total: NATIONAL DEPLOYMENT (Month 6)</t>
  </si>
  <si>
    <t xml:space="preserve">  DOCUMENTATION &amp; KNOWLEDGE TRANSFER DELIVERABLES</t>
  </si>
  <si>
    <t>System Architecture &amp; Technical Documentation</t>
  </si>
  <si>
    <t>User Manuals (all roles, multi-language)</t>
  </si>
  <si>
    <t>Administrator &amp; IT Operations Manual</t>
  </si>
  <si>
    <t>API Developer Documentation &amp; Swagger Specs</t>
  </si>
  <si>
    <t>Training Curricula &amp; Certification Materials</t>
  </si>
  <si>
    <t>Handover Report &amp; Sustainability Plan</t>
  </si>
  <si>
    <t>Source Code Handover &amp; Repository Documentation</t>
  </si>
  <si>
    <t>Sub-Total: DOCUMENTATION &amp; KNOWLEDGE TRANSFER DELIVERABLES</t>
  </si>
  <si>
    <t>TOTAL – HARDWARE, TRAINING, INTEGRATION, COMPLIANCE &amp; PMO</t>
  </si>
  <si>
    <t>PAYMENT MILESTONE SCHEDULE</t>
  </si>
  <si>
    <t>Milestone</t>
  </si>
  <si>
    <t>Amount (USD)</t>
  </si>
  <si>
    <t>Amount (GHS)</t>
  </si>
  <si>
    <t>Expected Date</t>
  </si>
  <si>
    <t>M0</t>
  </si>
  <si>
    <t>Contract Signing Advance</t>
  </si>
  <si>
    <t>Week 0</t>
  </si>
  <si>
    <t>M1</t>
  </si>
  <si>
    <t>Phase 1 Completion – Design, Architecture &amp; Requirements</t>
  </si>
  <si>
    <t>Month 2</t>
  </si>
  <si>
    <t>M2</t>
  </si>
  <si>
    <t>Phase 2 Completion – Core Platform &amp; Blockchain Development</t>
  </si>
  <si>
    <t>Month 4</t>
  </si>
  <si>
    <t>M3</t>
  </si>
  <si>
    <t>Phase 3 Completion – Integration &amp; Testing</t>
  </si>
  <si>
    <t>Month 5</t>
  </si>
  <si>
    <t>M4</t>
  </si>
  <si>
    <t>Phase 4 Completion – Pilot Deployment</t>
  </si>
  <si>
    <t>Month 6</t>
  </si>
  <si>
    <t>M5</t>
  </si>
  <si>
    <t>Phase 5 – National Go-Live</t>
  </si>
  <si>
    <t>M6a</t>
  </si>
  <si>
    <t>Stabilisation – Quarter 1 (Monthly 2% × 3)</t>
  </si>
  <si>
    <t>Months 7–9</t>
  </si>
  <si>
    <t>M6b</t>
  </si>
  <si>
    <t>Stabilisation – Quarter 2 (Monthly 2% × 3)</t>
  </si>
  <si>
    <t>Months 10–12</t>
  </si>
  <si>
    <t>M6c</t>
  </si>
  <si>
    <t>Stabilisation – Quarter 3 (Monthly 1% × 3)</t>
  </si>
  <si>
    <t>Months 13–15</t>
  </si>
  <si>
    <t>M7</t>
  </si>
  <si>
    <t>Final Handover &amp; Knowledge Transfer</t>
  </si>
  <si>
    <t>Month 18</t>
  </si>
  <si>
    <t>RET</t>
  </si>
  <si>
    <t>Performance Retention (released post-warranty)</t>
  </si>
  <si>
    <t>Month 24</t>
  </si>
  <si>
    <t>TOTAL CONTRACT VALUE</t>
  </si>
  <si>
    <t>FINANCIAL RISK REGISTER</t>
  </si>
  <si>
    <t>Risk ID</t>
  </si>
  <si>
    <t>Risk Description</t>
  </si>
  <si>
    <t>Probability</t>
  </si>
  <si>
    <t>Impact</t>
  </si>
  <si>
    <t>Cost Impact</t>
  </si>
  <si>
    <t>Mitigation Strategy</t>
  </si>
  <si>
    <t>FR-01</t>
  </si>
  <si>
    <t>Currency exchange rate fluctuation (GHS depreciation)</t>
  </si>
  <si>
    <t>Medium</t>
  </si>
  <si>
    <t>High</t>
  </si>
  <si>
    <t>±5–10% on GHS costs</t>
  </si>
  <si>
    <t>Build 5% FX buffer; USD-denominated contracts</t>
  </si>
  <si>
    <t>FR-02</t>
  </si>
  <si>
    <t>Scope creep &amp; change requests</t>
  </si>
  <si>
    <t>+10–20% on dev costs</t>
  </si>
  <si>
    <t>Strict change control; change request pricing schedule</t>
  </si>
  <si>
    <t>FR-03</t>
  </si>
  <si>
    <t>Delayed payments from GoldBod/GoG</t>
  </si>
  <si>
    <t>Cash flow impact</t>
  </si>
  <si>
    <t>Milestone-based invoicing; advance payment</t>
  </si>
  <si>
    <t>FR-04</t>
  </si>
  <si>
    <t>Integration complexity underestimated</t>
  </si>
  <si>
    <t>+15–25% on integration</t>
  </si>
  <si>
    <t>Detailed API assessment; dedicated integration PM</t>
  </si>
  <si>
    <t>FR-05</t>
  </si>
  <si>
    <t>Blockchain implementation complexity</t>
  </si>
  <si>
    <t>+10–20% on blockchain</t>
  </si>
  <si>
    <t>Expert consultation; PoC before full build</t>
  </si>
  <si>
    <t>FR-06</t>
  </si>
  <si>
    <t>Training requirements underestimated</t>
  </si>
  <si>
    <t>+10–15% on training</t>
  </si>
  <si>
    <t>Phased training; early needs assessment</t>
  </si>
  <si>
    <t>FR-07</t>
  </si>
  <si>
    <t>Equipment procurement delays (import)</t>
  </si>
  <si>
    <t>Schedule impact</t>
  </si>
  <si>
    <t>Early ordering; identify local alternatives</t>
  </si>
  <si>
    <t>FR-08</t>
  </si>
  <si>
    <t>Import duty / tax increases</t>
  </si>
  <si>
    <t>Low</t>
  </si>
  <si>
    <t>+3–5% on hardware</t>
  </si>
  <si>
    <t>Forward purchasing; monitor tax policy</t>
  </si>
  <si>
    <t>FR-09</t>
  </si>
  <si>
    <t>Technology cost inflation (cloud/SaaS)</t>
  </si>
  <si>
    <t>+5% on cloud costs</t>
  </si>
  <si>
    <t>Reserved instances; multi-year licensing</t>
  </si>
  <si>
    <t>FR-10</t>
  </si>
  <si>
    <t>Third-party API unavailability (Ghana Card, GRA)</t>
  </si>
  <si>
    <t>Timeline impact</t>
  </si>
  <si>
    <t>Early engagement; mock APIs for dev/test</t>
  </si>
  <si>
    <t>FR-11</t>
  </si>
  <si>
    <t>Security breach during stabilisation</t>
  </si>
  <si>
    <t>Very High</t>
  </si>
  <si>
    <t>Unbudgeted incident response</t>
  </si>
  <si>
    <t>Cyber insurance; SIEM; penetration testing</t>
  </si>
  <si>
    <t>FR-12</t>
  </si>
  <si>
    <t>Key personnel attrition (blockchain talent)</t>
  </si>
  <si>
    <t>+5–10% on recruitment</t>
  </si>
  <si>
    <t>Competitive rates; retention bonuses</t>
  </si>
  <si>
    <t>KEY ASSUMPTIONS &amp; CONSTRAINTS</t>
  </si>
  <si>
    <t>Assumption Category</t>
  </si>
  <si>
    <t>Detail</t>
  </si>
  <si>
    <t>Exchange Rate</t>
  </si>
  <si>
    <t>1 USD = 13.00 GHS (indicative, April 2026). Rates locked at contract signing.</t>
  </si>
  <si>
    <t>Exchange Rate Variance</t>
  </si>
  <si>
    <t>±5% buffer built into contingency for FX movements.</t>
  </si>
  <si>
    <t>Ghana Inflation</t>
  </si>
  <si>
    <t>~20% p.a. local inflation assumed; escalation clause to be negotiated for GHS costs beyond Month 6.</t>
  </si>
  <si>
    <t>Cloud Cost Inflation</t>
  </si>
  <si>
    <t>±5% year-on-year; reserved instance pricing to be secured at contract start.</t>
  </si>
  <si>
    <t>Contract Start</t>
  </si>
  <si>
    <t>Contract signature assumed Q2 2026; Phase 1 begins within 1 week of signing.</t>
  </si>
  <si>
    <t>Project Duration</t>
  </si>
  <si>
    <t>18 months – 6 months implementation + 12 months stabilisation &amp; support.</t>
  </si>
  <si>
    <t>Tax – VAT</t>
  </si>
  <si>
    <t>15% VAT applies on all locally procured goods and services. Included in local cost estimates.</t>
  </si>
  <si>
    <t>Tax – WHT</t>
  </si>
  <si>
    <t>Withholding tax on foreign service payments per Ghana Revenue Authority rates. Provision included.</t>
  </si>
  <si>
    <t>Tax – PAYE</t>
  </si>
  <si>
    <t>Employer PAYE obligations for all Ghanaian staff. Managed via payroll.</t>
  </si>
  <si>
    <t>SSNIT</t>
  </si>
  <si>
    <t>13% employer SSNIT contribution on basic salary of all Ghanaian employees.</t>
  </si>
  <si>
    <t>Tier 2 Pension</t>
  </si>
  <si>
    <t>5% employer Tier 2 contribution on basic salary.</t>
  </si>
  <si>
    <t>Scope</t>
  </si>
  <si>
    <t>No material scope changes assumed. Change requests priced separately per agreed schedule.</t>
  </si>
  <si>
    <t>Agency Integration</t>
  </si>
  <si>
    <t>GoldBod will facilitate introductions and access to all 6 government agencies within Month 1.</t>
  </si>
  <si>
    <t>Ghana Card API</t>
  </si>
  <si>
    <t>NIA Ghana Card identity verification API is available and accessible by contract start.</t>
  </si>
  <si>
    <t>Data Residency</t>
  </si>
  <si>
    <t>Hybrid cloud approach assumed; primary data stored in Ghana-based data centre per Act 843.</t>
  </si>
  <si>
    <t>Field Coverage</t>
  </si>
  <si>
    <t>MTN / Vodafone 4G coverage assumed at all operational sites; satellite fallback for remote areas.</t>
  </si>
  <si>
    <t>Hardware Import</t>
  </si>
  <si>
    <t>Import duties on hardware est. 20% on CIF value; cleared via client's government waiver if available.</t>
  </si>
  <si>
    <t>Contingency</t>
  </si>
  <si>
    <t>10% contingency on all direct project costs. Contingency release requires written approval from GoldBod PMO.</t>
  </si>
  <si>
    <t>Local Content</t>
  </si>
  <si>
    <t>Minimum 60% Ghanaian personnel by headcount; minimum 40% local sub-contracting spend committed.</t>
  </si>
  <si>
    <t>Public Procurement</t>
  </si>
  <si>
    <t>All procurement sub-thresholds comply with Act 663 (as amended); prior approvals obtained.</t>
  </si>
  <si>
    <t>Payment Terms</t>
  </si>
  <si>
    <t>Milestone-based; GoldBod to settle invoices within 30 days of milestone sign-off.</t>
  </si>
  <si>
    <t>Bank Guarantee</t>
  </si>
  <si>
    <t>10% performance bond/bank guarantee to be provided at contract signing.</t>
  </si>
  <si>
    <t>Source Code</t>
  </si>
  <si>
    <t>Full source code, documentation and IP assigned to GoldBod upon final payment.</t>
  </si>
  <si>
    <t>Post-Handover Warranty</t>
  </si>
  <si>
    <t>12-month post-handover warranty commences at end of stabilisation phase (Month 18).</t>
  </si>
  <si>
    <t>SECTION 8 — DEPLOYMENT COSTS (Pilot &amp; National Rollout)</t>
  </si>
  <si>
    <t>Deployment Activity / Item</t>
  </si>
  <si>
    <t xml:space="preserve">  PILOT DEPLOYMENT — 3 MINE SITES (Months 5–6)</t>
  </si>
  <si>
    <t>Pilot site survey &amp; readiness assessment (3 sites)</t>
  </si>
  <si>
    <t>Site-specific hardware installation &amp; configuration</t>
  </si>
  <si>
    <t>Blockchain node deployment at pilot sites</t>
  </si>
  <si>
    <t>Network &amp; connectivity setup at pilot sites</t>
  </si>
  <si>
    <t>Pilot data migration &amp; historical records import</t>
  </si>
  <si>
    <t>Pilot user onboarding &amp; account provisioning</t>
  </si>
  <si>
    <t>On-site pilot training &amp; orientation (3 sites × 3 days)</t>
  </si>
  <si>
    <t>Pilot monitoring, war room &amp; daily standups</t>
  </si>
  <si>
    <t>Field feedback sessions &amp; UX iteration</t>
  </si>
  <si>
    <t>Pilot performance report &amp; go/no-go assessment</t>
  </si>
  <si>
    <t>Pilot closeout &amp; lessons-learned documentation</t>
  </si>
  <si>
    <t xml:space="preserve">  Sub-Total</t>
  </si>
  <si>
    <t xml:space="preserve">  PRE-NATIONAL DEPLOYMENT PREPARATION</t>
  </si>
  <si>
    <t>National deployment planning &amp; runbook development</t>
  </si>
  <si>
    <t>Infrastructure pre-provisioning (all 10 regions)</t>
  </si>
  <si>
    <t>Bulk hardware staging, testing &amp; labelling</t>
  </si>
  <si>
    <t>National data migration &amp; master data setup</t>
  </si>
  <si>
    <t>User account bulk provisioning (all actors)</t>
  </si>
  <si>
    <t>Stakeholder pre-briefing (10 regional offices)</t>
  </si>
  <si>
    <t>Pre-deployment penetration test &amp; sign-off</t>
  </si>
  <si>
    <t xml:space="preserve">  NATIONAL GO-LIVE — 10 REGIONS (Month 6)</t>
  </si>
  <si>
    <t>Regional equipment delivery &amp; logistics (10 regions)</t>
  </si>
  <si>
    <t>On-site installation teams (10 teams × 3 technicians, 3 days)</t>
  </si>
  <si>
    <t>Network/connectivity activation across all sites</t>
  </si>
  <si>
    <t>Go-live war room (24/7 support — 2 weeks)</t>
  </si>
  <si>
    <t>National launch event &amp; press conference</t>
  </si>
  <si>
    <t>Public awareness campaign (radio, TV, billboards)</t>
  </si>
  <si>
    <t>SMS broadcast to all registered miners/buyers</t>
  </si>
  <si>
    <t>Post go-live hotfix sprints (first 4 weeks)</t>
  </si>
  <si>
    <t>Regional helpdesk activation &amp; staffing</t>
  </si>
  <si>
    <t>Go-live documentation &amp; sign-off pack</t>
  </si>
  <si>
    <t xml:space="preserve">  CLOUD &amp; INFRASTRUCTURE SCALE-UP AT GO-LIVE</t>
  </si>
  <si>
    <t>Auto-scaling configuration &amp; load testing at national volume</t>
  </si>
  <si>
    <t>CDN &amp; caching optimisation for Ghana latency</t>
  </si>
  <si>
    <t>Disaster recovery drill at go-live scale</t>
  </si>
  <si>
    <t>Blockchain node replication &amp; geo-distribution</t>
  </si>
  <si>
    <t>Monitoring dashboards configuration (real-time)</t>
  </si>
  <si>
    <t>TOTAL DEPLOYMENT COSTS</t>
  </si>
  <si>
    <t>SECTION 9 — TRAINING &amp; CAPACITY BUILDING COSTS</t>
  </si>
  <si>
    <t>Training Activity</t>
  </si>
  <si>
    <t>Qty</t>
  </si>
  <si>
    <t xml:space="preserve">  TRAINING PROGRAMME DESIGN &amp; MATERIALS</t>
  </si>
  <si>
    <t>Training Needs Assessment &amp; Skills Gap Analysis</t>
  </si>
  <si>
    <t>Curriculum Design (all 8 user roles)</t>
  </si>
  <si>
    <t>User Manuals &amp; Quick Reference Guides (all roles)</t>
  </si>
  <si>
    <t>Video Tutorial Production (16 modules)</t>
  </si>
  <si>
    <t>Interactive E-Learning Modules (LMS)</t>
  </si>
  <si>
    <t>Poster &amp; Visual Aid Design (local languages)</t>
  </si>
  <si>
    <t>LMS Platform Setup &amp; Content Upload</t>
  </si>
  <si>
    <t>Training Material Translation (Twi, Hausa, Dagbani)</t>
  </si>
  <si>
    <t xml:space="preserve">  GOLDBOD TECHNICAL STAFF TRAINING</t>
  </si>
  <si>
    <t>Blockchain Technology &amp; Node Management (5-day)</t>
  </si>
  <si>
    <t>System Administration &amp; DevOps (3-day)</t>
  </si>
  <si>
    <t>Database Administration &amp; Backup (2-day)</t>
  </si>
  <si>
    <t>Security &amp; Incident Response Training (2-day)</t>
  </si>
  <si>
    <t>Analytics &amp; BI Dashboard Training (2-day)</t>
  </si>
  <si>
    <t>API Integration &amp; Developer Training (3-day)</t>
  </si>
  <si>
    <t xml:space="preserve">  FIELD OFFICER TRAINING (10 REGIONS)</t>
  </si>
  <si>
    <t>Train-the-Trainer Programme (20 regional trainers)</t>
  </si>
  <si>
    <t>Field Officer Training — Region 1 (Greater Accra)</t>
  </si>
  <si>
    <t>Field Officer Training — Region 2 (Ashanti)</t>
  </si>
  <si>
    <t>Field Officer Training — Region 3 (Western)</t>
  </si>
  <si>
    <t>Field Officer Training — Region 4 (Eastern)</t>
  </si>
  <si>
    <t>Field Officer Training — Region 5 (Brong-Ahafo)</t>
  </si>
  <si>
    <t>Field Officer Training — Regions 6–10 (Northern zones)</t>
  </si>
  <si>
    <t>Field Training Logistics (venue, transport, per diem/region)</t>
  </si>
  <si>
    <t xml:space="preserve">  INDUSTRY ACTOR TRAINING</t>
  </si>
  <si>
    <t>Tier 1 &amp; 2 Licensed Buyer Training (30 sessions)</t>
  </si>
  <si>
    <t>Kitchen / Aggregator Operator Training (20 sessions)</t>
  </si>
  <si>
    <t>Transporter &amp; Logistics Operator Training (15 sessions)</t>
  </si>
  <si>
    <t>ASM / Small-Scale Miner Sensitisation (40 community sessions)</t>
  </si>
  <si>
    <t>Large-Scale Mine Corporate User Training (10 companies)</t>
  </si>
  <si>
    <t>Export / Trading Company Training (15 sessions)</t>
  </si>
  <si>
    <t xml:space="preserve">  REFRESHER &amp; STABILISATION TRAINING (Months 7–18)</t>
  </si>
  <si>
    <t>Quarterly refresher workshops (all roles, 4 cycles)</t>
  </si>
  <si>
    <t>On-demand coaching &amp; remote support sessions</t>
  </si>
  <si>
    <t>New feature release training (per quarterly release)</t>
  </si>
  <si>
    <t>Helpdesk script &amp; FAQ update training</t>
  </si>
  <si>
    <t xml:space="preserve">  CHANGE MANAGEMENT PROGRAMME</t>
  </si>
  <si>
    <t>Stakeholder communication strategy &amp; materials</t>
  </si>
  <si>
    <t>Change champion identification &amp; coaching</t>
  </si>
  <si>
    <t>Resistance management &amp; user adoption workshops</t>
  </si>
  <si>
    <t>Adoption monitoring &amp; reporting (18 months)</t>
  </si>
  <si>
    <t>TOTAL TRAINING &amp; CAPACITY BUILDING</t>
  </si>
  <si>
    <t>SECTION 10 — INTEGRATION &amp; INTEROPERABILITY COSTS</t>
  </si>
  <si>
    <t>Integration / API Activity</t>
  </si>
  <si>
    <t xml:space="preserve">  GOVERNMENT AGENCY INTEGRATIONS</t>
  </si>
  <si>
    <t>Minerals Commission — Licensing &amp; Cadastre API (dev+test)</t>
  </si>
  <si>
    <t>Ghana Revenue Authority — Customs Export Verification API</t>
  </si>
  <si>
    <t>Bank of Ghana — Payment &amp; FX Reporting API</t>
  </si>
  <si>
    <t>Financial Intelligence Centre — STR/SAR e-Filing</t>
  </si>
  <si>
    <t>Environmental Protection Authority — Permit API</t>
  </si>
  <si>
    <t>Water Resources Commission — Compliance API</t>
  </si>
  <si>
    <t>Ghana Card / NIA — Identity Verification API</t>
  </si>
  <si>
    <t>Government Agency Integration Testing &amp; Validation</t>
  </si>
  <si>
    <t xml:space="preserve">  PAYMENT &amp; FINANCIAL INTEGRATIONS</t>
  </si>
  <si>
    <t>MTN Mobile Money API Integration &amp; Certification</t>
  </si>
  <si>
    <t>Vodafone Cash API Integration</t>
  </si>
  <si>
    <t>AirtelTigo Money API Integration</t>
  </si>
  <si>
    <t>Bank Payment Gateway Integration (GhIPSS)</t>
  </si>
  <si>
    <t>Transaction Fee Provision (est. avg 0.5% — 18 months)</t>
  </si>
  <si>
    <t xml:space="preserve">  COMPLIANCE &amp; SCREENING INTEGRATIONS</t>
  </si>
  <si>
    <t>AML/CFT Sanctions Screening API (OFAC/EU/UN lists)</t>
  </si>
  <si>
    <t>Beneficial Ownership Verification Service</t>
  </si>
  <si>
    <t>Annual API subscription renewal (stabilisation phase)</t>
  </si>
  <si>
    <t xml:space="preserve">  COMMUNICATION &amp; NOTIFICATION INTEGRATIONS</t>
  </si>
  <si>
    <t>Bulk SMS Gateway — MTN/Vodafone Ghana (setup + 18 mths)</t>
  </si>
  <si>
    <t>Email Delivery Service (SendGrid/AWS SES — 18 mths)</t>
  </si>
  <si>
    <t>WhatsApp Business API (optional notifications)</t>
  </si>
  <si>
    <t>Push Notification Service (FCM/APNs)</t>
  </si>
  <si>
    <t xml:space="preserve">  GEOLOCATION &amp; MAPPING INTEGRATIONS</t>
  </si>
  <si>
    <t>Google Maps Platform API (Places, Geocoding, Routes)</t>
  </si>
  <si>
    <t>GPS Tracker Fleet Management Integration</t>
  </si>
  <si>
    <t>Geofencing Rules Engine (mining zone boundaries)</t>
  </si>
  <si>
    <t xml:space="preserve">  API MANAGEMENT &amp; DEVELOPER INFRASTRUCTURE</t>
  </si>
  <si>
    <t>API Gateway Setup &amp; Configuration (Kong/AWS API GW)</t>
  </si>
  <si>
    <t>API Documentation Portal (Swagger/Redoc)</t>
  </si>
  <si>
    <t>API Versioning &amp; Lifecycle Management Tools</t>
  </si>
  <si>
    <t>Developer Sandbox Environment (18 months)</t>
  </si>
  <si>
    <t>API Security — Rate Limiting, OAuth2, mTLS</t>
  </si>
  <si>
    <t xml:space="preserve">  DATA MIGRATION &amp; LEGACY INTEGRATION</t>
  </si>
  <si>
    <t>Existing GoldBod Records — ETL Extraction &amp; Cleansing</t>
  </si>
  <si>
    <t>Historical Transaction Data Migration &amp; Validation</t>
  </si>
  <si>
    <t>Parallel Run Support (legacy + new system overlap)</t>
  </si>
  <si>
    <t>Data Quality Assessment &amp; Remediation</t>
  </si>
  <si>
    <t>TOTAL INTEGRATION &amp; INTEROPERABILITY COSTS</t>
  </si>
  <si>
    <t>SECTION 11 — TESTING &amp; QUALITY ASSURANCE COSTS</t>
  </si>
  <si>
    <t>Testing Activity</t>
  </si>
  <si>
    <t xml:space="preserve">  TEST INFRASTRUCTURE &amp; ENVIRONMENTS</t>
  </si>
  <si>
    <t>Test Environment Hosting — UAT + Staging (6 months)</t>
  </si>
  <si>
    <t>Test Data Generation &amp; Masking Tools</t>
  </si>
  <si>
    <t>Test Automation Framework Setup (Selenium/Appium/Cypress)</t>
  </si>
  <si>
    <t>Performance Testing Tool — JMeter/Gatling Setup</t>
  </si>
  <si>
    <t>Mobile Device Testing Lab (Android/iOS physical devices)</t>
  </si>
  <si>
    <t>BrowserStack Cloud Testing Subscription (6 months)</t>
  </si>
  <si>
    <t>Defect Tracking Tool License — Jira (18 months)</t>
  </si>
  <si>
    <t xml:space="preserve">  FUNCTIONAL TESTING</t>
  </si>
  <si>
    <t>Unit Testing (developer-led, covered in dev cost)</t>
  </si>
  <si>
    <t>Integration Testing — all 6 agency APIs</t>
  </si>
  <si>
    <t>System Testing — end-to-end functional scenarios</t>
  </si>
  <si>
    <t>Regression Testing (per sprint — 12 sprints)</t>
  </si>
  <si>
    <t>User Acceptance Testing — GoldBod staff (facilitated)</t>
  </si>
  <si>
    <t>UAT — Industry actors (buyers, miners, transporters)</t>
  </si>
  <si>
    <t xml:space="preserve">  NON-FUNCTIONAL TESTING</t>
  </si>
  <si>
    <t>Performance &amp; Load Testing (target: 10,000 concurrent users)</t>
  </si>
  <si>
    <t>Stress Testing &amp; Capacity Planning</t>
  </si>
  <si>
    <t>Scalability Testing — national transaction volumes</t>
  </si>
  <si>
    <t>Offline Mode &amp; Network Resilience Testing</t>
  </si>
  <si>
    <t>Disaster Recovery Failover Testing</t>
  </si>
  <si>
    <t>Blockchain Consensus &amp; Fault Tolerance Testing</t>
  </si>
  <si>
    <t xml:space="preserve">  SECURITY TESTING</t>
  </si>
  <si>
    <t>External Penetration Testing — Web &amp; API (OWASP top 10)</t>
  </si>
  <si>
    <t>Mobile App Security Testing (Android &amp; iOS)</t>
  </si>
  <si>
    <t>Blockchain Smart Contract Security Audit</t>
  </si>
  <si>
    <t>Vulnerability Assessment &amp; Remediation Review</t>
  </si>
  <si>
    <t>Data Privacy &amp; GDPR/Act 843 Compliance Scan</t>
  </si>
  <si>
    <t>Source Code Review (external firm)</t>
  </si>
  <si>
    <t xml:space="preserve">  COMPLIANCE &amp; STANDARDS TESTING</t>
  </si>
  <si>
    <t>LBMA Responsible Gold Guidance Compliance Assessment</t>
  </si>
  <si>
    <t>OECD Due Diligence Guidance Alignment Review</t>
  </si>
  <si>
    <t>ISO 27001 Gap Analysis &amp; Internal Audit</t>
  </si>
  <si>
    <t>AML/CFT Controls Testing (FATF Recommendations)</t>
  </si>
  <si>
    <t>Accessibility Testing (WCAG 2.1 — government portal)</t>
  </si>
  <si>
    <t xml:space="preserve">  TEST DOCUMENTATION &amp; REPORTING</t>
  </si>
  <si>
    <t>Test Strategy &amp; Master Test Plan</t>
  </si>
  <si>
    <t>Test Cases &amp; Test Scripts (all modules)</t>
  </si>
  <si>
    <t>Traceability Matrix (requirements ↔ test cases)</t>
  </si>
  <si>
    <t>Test Completion Reports &amp; Sign-off Packs</t>
  </si>
  <si>
    <t>Defect Reports &amp; Root Cause Analysis Documentation</t>
  </si>
  <si>
    <t>TOTAL TESTING &amp; QA COSTS</t>
  </si>
  <si>
    <t>SECTION 12 — PROJECT MANAGEMENT &amp; GOVERNANCE COSTS</t>
  </si>
  <si>
    <t>PMO Activity / Item</t>
  </si>
  <si>
    <t>Qty / Mths</t>
  </si>
  <si>
    <t xml:space="preserve">  PMO SETUP &amp; TOOLS</t>
  </si>
  <si>
    <t>PMO Office Setup &amp; Fit-Out (18 months rental incl.)</t>
  </si>
  <si>
    <t>Project Management Software (MS Project / Smartsheet)</t>
  </si>
  <si>
    <t>Document Management System (SharePoint / Confluence)</t>
  </si>
  <si>
    <t>Time Tracking &amp; Resource Management Tool</t>
  </si>
  <si>
    <t>Risk Management Tool License</t>
  </si>
  <si>
    <t>Gantt Scheduling &amp; Baseline Management</t>
  </si>
  <si>
    <t>Video Conferencing &amp; Collaboration (Zoom/Teams — 18 mths)</t>
  </si>
  <si>
    <t xml:space="preserve">  GOVERNANCE &amp; REPORTING</t>
  </si>
  <si>
    <t>Monthly Steering Committee Meetings (venue + facilitation)</t>
  </si>
  <si>
    <t>Technical Review Board Meetings (bi-monthly, 9 meetings)</t>
  </si>
  <si>
    <t>Monthly Progress Reports Preparation</t>
  </si>
  <si>
    <t>Quarterly Financial Reports</t>
  </si>
  <si>
    <t>Risk &amp; Issue Log Maintenance</t>
  </si>
  <si>
    <t>Change Request Management &amp; Documentation</t>
  </si>
  <si>
    <t>Quality Assurance Reviews (monthly)</t>
  </si>
  <si>
    <t>Compliance Status Reports (bi-monthly)</t>
  </si>
  <si>
    <t xml:space="preserve">  STAKEHOLDER ENGAGEMENT &amp; EVENTS</t>
  </si>
  <si>
    <t>Project Launch Kickoff Event</t>
  </si>
  <si>
    <t>National Go-Live Ceremony</t>
  </si>
  <si>
    <t>Regional Stakeholder Engagement Workshops (10 regions)</t>
  </si>
  <si>
    <t>Ministerial / Board Briefing Packs (quarterly)</t>
  </si>
  <si>
    <t>Public Relations &amp; Media Engagement Programme</t>
  </si>
  <si>
    <t>Communication Materials (brochures, flyers, rollup banners)</t>
  </si>
  <si>
    <t>Project Close-Out Workshop &amp; Handover Ceremony</t>
  </si>
  <si>
    <t xml:space="preserve">  TRAVEL &amp; LOGISTICS</t>
  </si>
  <si>
    <t>International Airfare — Expert Missions to Ghana (4 visits)</t>
  </si>
  <si>
    <t>Accommodation &amp; Per Diem — International Experts (4 stays)</t>
  </si>
  <si>
    <t>Domestic Air Travel — Regional Oversight Visits</t>
  </si>
  <si>
    <t>Ground Transport — Project Team (18 months)</t>
  </si>
  <si>
    <t>Equipment Transportation &amp; Delivery Logistics</t>
  </si>
  <si>
    <t>Emergency / Urgent Travel Reserve</t>
  </si>
  <si>
    <t xml:space="preserve">  ADMINISTRATIVE &amp; OFFICE COSTS</t>
  </si>
  <si>
    <t>Office Utilities &amp; Internet (18 months)</t>
  </si>
  <si>
    <t>Printing, Stationery &amp; Office Supplies</t>
  </si>
  <si>
    <t>Courier &amp; Document Delivery</t>
  </si>
  <si>
    <t>Bank Charges &amp; Transfer Fees (18 months)</t>
  </si>
  <si>
    <t>Contingency Admin Reserve</t>
  </si>
  <si>
    <t>TOTAL PMO &amp; GOVERNANCE COSTS</t>
  </si>
  <si>
    <t>SECTION 13 — COMPLIANCE &amp; REGULATORY COSTS</t>
  </si>
  <si>
    <t>Compliance Activity</t>
  </si>
  <si>
    <t xml:space="preserve">  GHANA LEGAL &amp; REGULATORY COMPLIANCE</t>
  </si>
  <si>
    <t>Data Protection Act 843 — DPIA &amp; Privacy Impact Assessment</t>
  </si>
  <si>
    <t>Privacy Policy &amp; Data Processing Agreements (legal drafting)</t>
  </si>
  <si>
    <t>Data Protection Commission Registration &amp; Filing</t>
  </si>
  <si>
    <t>AML Act 1044 — AML/CFT Policy &amp; Controls Framework</t>
  </si>
  <si>
    <t>Ghana Gold Board Act 1140 — Regulatory Alignment Review</t>
  </si>
  <si>
    <t>Public Procurement Act Compliance — Documentation &amp; Filings</t>
  </si>
  <si>
    <t>Withholding Tax Provision on Foreign Service Payments</t>
  </si>
  <si>
    <t>VAT on Applicable Local Costs (15% provision)</t>
  </si>
  <si>
    <t>SSNIT, PAYE &amp; Pension Compliance Administration (18 months)</t>
  </si>
  <si>
    <t>Tax Clearance Certificate &amp; GRA Filings</t>
  </si>
  <si>
    <t>PPA Supplier Registration &amp; Bidding Documentation</t>
  </si>
  <si>
    <t xml:space="preserve">  INTERNATIONAL STANDARDS COMPLIANCE</t>
  </si>
  <si>
    <t>OECD Due Diligence Guidance — Framework Implementation</t>
  </si>
  <si>
    <t>LBMA Responsible Gold Guidance — Compliance Programme</t>
  </si>
  <si>
    <t>FATF Recommendations Alignment — Controls Mapping</t>
  </si>
  <si>
    <t>RMI (Responsible Minerals Initiative) Compliance Assessment</t>
  </si>
  <si>
    <t>ICGLR Certification Programme Alignment</t>
  </si>
  <si>
    <t xml:space="preserve">  INFORMATION SECURITY &amp; CERTIFICATIONS</t>
  </si>
  <si>
    <t>ISO 27001 Gap Analysis &amp; Readiness Assessment</t>
  </si>
  <si>
    <t>ISO 27001 Certification Audit (external certification body)</t>
  </si>
  <si>
    <t>SOC 2 Type II Readiness &amp; Audit</t>
  </si>
  <si>
    <t>Blockchain Technology Certification (specialist body)</t>
  </si>
  <si>
    <t>Annual Security Compliance Review (18 months)</t>
  </si>
  <si>
    <t xml:space="preserve">  INTELLECTUAL PROPERTY &amp; CONTRACTS</t>
  </si>
  <si>
    <t>IP Assignment Agreement — Full Source Code &amp; Documentation</t>
  </si>
  <si>
    <t>Open Source Licence Compliance Review</t>
  </si>
  <si>
    <t>Third-Party Vendor Contract Review (legal)</t>
  </si>
  <si>
    <t>Source Code Escrow Agreement Setup &amp; Annual Fee</t>
  </si>
  <si>
    <t>Patent / Trademark Searches (if applicable)</t>
  </si>
  <si>
    <t xml:space="preserve">  INSURANCE</t>
  </si>
  <si>
    <t>Project Insurance &amp; Contractor All-Risk (18 months)</t>
  </si>
  <si>
    <t>Hardware &amp; Equipment Insurance (18 months)</t>
  </si>
  <si>
    <t>Employer's Liability Insurance (Ghana staff, 18 months)</t>
  </si>
  <si>
    <t xml:space="preserve">  AUDIT &amp; EXTERNAL ASSURANCE</t>
  </si>
  <si>
    <t>Annual Financial Audit (Year 1 project accounts)</t>
  </si>
  <si>
    <t>External IT Audit — System Controls &amp; Access Review</t>
  </si>
  <si>
    <t>AML/CFT Controls Effectiveness Review (external firm)</t>
  </si>
  <si>
    <t>Data Protection Audit (post go-live, Month 9)</t>
  </si>
  <si>
    <t>Project Close-Out Audit &amp; Asset Verification</t>
  </si>
  <si>
    <t>TOTAL COMPLIANCE &amp; REGULATORY COSTS</t>
  </si>
  <si>
    <t>SECTION 14 — DOCUMENTATION &amp; DELIVERABLES COSTS</t>
  </si>
  <si>
    <t>Document / Deliverable</t>
  </si>
  <si>
    <t xml:space="preserve">  TECHNICAL DOCUMENTATION</t>
  </si>
  <si>
    <t>System Architecture &amp; Design Document (SDD)</t>
  </si>
  <si>
    <t>API Reference Documentation &amp; Swagger/OpenAPI Specs</t>
  </si>
  <si>
    <t>Database Schema &amp; Data Dictionary</t>
  </si>
  <si>
    <t>Security Architecture &amp; Threat Model Document</t>
  </si>
  <si>
    <t>Infrastructure-as-Code Documentation (Terraform/Ansible)</t>
  </si>
  <si>
    <t>DevOps &amp; CI/CD Pipeline Documentation</t>
  </si>
  <si>
    <t>Disaster Recovery &amp; Business Continuity Plan (BCP)</t>
  </si>
  <si>
    <t>Source Code Repository Documentation &amp; README files</t>
  </si>
  <si>
    <t xml:space="preserve">  USER-FACING DOCUMENTATION</t>
  </si>
  <si>
    <t>System Administrator Manual</t>
  </si>
  <si>
    <t>Field Officer User Manual (Android App)</t>
  </si>
  <si>
    <t>Web Portal User Guide (all roles)</t>
  </si>
  <si>
    <t>Miner / ASM Simplified Usage Guide (pictorial, local lang.)</t>
  </si>
  <si>
    <t>Tier 1/2 Buyer User Manual</t>
  </si>
  <si>
    <t>Aggregator &amp; Transporter User Guide</t>
  </si>
  <si>
    <t>Help Desk / L1 Support Runbook</t>
  </si>
  <si>
    <t>FAQ Document &amp; Troubleshooting Guide</t>
  </si>
  <si>
    <t xml:space="preserve">  COMPLIANCE &amp; GOVERNANCE DOCUMENTS</t>
  </si>
  <si>
    <t>Data Protection &amp; Privacy Policy</t>
  </si>
  <si>
    <t>AML/CFT Compliance Manual &amp; Procedures</t>
  </si>
  <si>
    <t>OECD/LBMA Compliance Framework Documentation</t>
  </si>
  <si>
    <t>Change Management &amp; Escalation Procedures</t>
  </si>
  <si>
    <t>Incident Response &amp; Security Breach Plan</t>
  </si>
  <si>
    <t>System Audit Trail &amp; Access Log Specification</t>
  </si>
  <si>
    <t>SLA Definition &amp; Performance KPI Framework</t>
  </si>
  <si>
    <t xml:space="preserve">  PROJECT MANAGEMENT DOCUMENTS</t>
  </si>
  <si>
    <t>Project Initiation Document (PID) &amp; Project Charter</t>
  </si>
  <si>
    <t>Project Schedule (Gantt) &amp; Work Breakdown Structure</t>
  </si>
  <si>
    <t>18 Monthly Progress Reports</t>
  </si>
  <si>
    <t>Risk Register &amp; Issue Log (maintained 18 months)</t>
  </si>
  <si>
    <t>Change Request Log &amp; Change Management Register</t>
  </si>
  <si>
    <t>Monthly Financial Reports &amp; Budget Variance Reports</t>
  </si>
  <si>
    <t>Lessons Learned Register (ongoing)</t>
  </si>
  <si>
    <t>Project Closure Report</t>
  </si>
  <si>
    <t xml:space="preserve">  HANDOVER &amp; SUSTAINABILITY DOCUMENTS</t>
  </si>
  <si>
    <t>Knowledge Transfer Plan &amp; Schedule</t>
  </si>
  <si>
    <t>System Handover Pack (all documentation compiled)</t>
  </si>
  <si>
    <t>Source Code Handover &amp; Repository Transfer Documentation</t>
  </si>
  <si>
    <t>Staff Capability Assessment &amp; Training Completion Certificates</t>
  </si>
  <si>
    <t>Post-Handover Warranty Terms &amp; Support Agreement</t>
  </si>
  <si>
    <t>Long-Term Sustainability &amp; Operational Plan</t>
  </si>
  <si>
    <t>Technology Refresh Roadmap (3-year horizon)</t>
  </si>
  <si>
    <t xml:space="preserve">  TRAINING MATERIALS (as deliverables)</t>
  </si>
  <si>
    <t>LMS with all e-learning modules (handed over to GoldBod)</t>
  </si>
  <si>
    <t>Printed training materials (1,000 sets — all roles)</t>
  </si>
  <si>
    <t>Video tutorial library (16 HD videos, hosted)</t>
  </si>
  <si>
    <t>Assessment &amp; certification exam materials</t>
  </si>
  <si>
    <t>TOTAL DOCUMENTATION &amp; DELIVERABLES COSTS</t>
  </si>
  <si>
    <t>SECTION 15 — CONTINGENCY BUDGET</t>
  </si>
  <si>
    <t>Contingency is provisioned at 10% of direct costs per category. Release requires written PMO approval. Unspent contingency is returned to GoldBod.</t>
  </si>
  <si>
    <t>Direct Cost (USD)</t>
  </si>
  <si>
    <t>Contingency (USD)</t>
  </si>
  <si>
    <t>Contingency (GHS)</t>
  </si>
  <si>
    <t>1</t>
  </si>
  <si>
    <t>Personnel &amp; HR Costs</t>
  </si>
  <si>
    <t>2</t>
  </si>
  <si>
    <t>Software Development</t>
  </si>
  <si>
    <t>3</t>
  </si>
  <si>
    <t>Blockchain Infrastructure</t>
  </si>
  <si>
    <t>4</t>
  </si>
  <si>
    <t>Cloud &amp; Hosting (18 months)</t>
  </si>
  <si>
    <t>5</t>
  </si>
  <si>
    <t>Software Licenses &amp; Tools</t>
  </si>
  <si>
    <t>6</t>
  </si>
  <si>
    <t>Hardware &amp; Field Equipment</t>
  </si>
  <si>
    <t>7</t>
  </si>
  <si>
    <t>Deployment Costs</t>
  </si>
  <si>
    <t>8</t>
  </si>
  <si>
    <t>Systems Integration (6 agencies + APIs)</t>
  </si>
  <si>
    <t>9</t>
  </si>
  <si>
    <t>Testing &amp; Quality Assurance</t>
  </si>
  <si>
    <t>10</t>
  </si>
  <si>
    <t>Training &amp; Capacity Building</t>
  </si>
  <si>
    <t>11</t>
  </si>
  <si>
    <t>Compliance &amp; Regulatory</t>
  </si>
  <si>
    <t>12</t>
  </si>
  <si>
    <t>Project Management &amp; PMO</t>
  </si>
  <si>
    <t>13</t>
  </si>
  <si>
    <t>Documentation &amp; Deliverables</t>
  </si>
  <si>
    <t>14</t>
  </si>
  <si>
    <t>Additional Risk Reserve (currency/tax)</t>
  </si>
  <si>
    <t>TOTAL CONTINGENCY PROVISION</t>
  </si>
  <si>
    <t>CONTINGENCY POLICY:</t>
  </si>
  <si>
    <t>1. Contingency funds are NOT automatic — each draw requires a formal Contingency Release Request (CRR) approved by GoldBod PMO Director.</t>
  </si>
  <si>
    <t>2. Draws ≤ USD 10,000 may be approved by the Project Manager. Draws &gt; USD 10,000 require Steering Committee approval.</t>
  </si>
  <si>
    <t>3. Category rates reflect complexity: Integration (15%) and Software Dev (12%) carry higher rates due to scope uncertainty.</t>
  </si>
  <si>
    <t>4. Currency/Tax Reserve (Line 14) covers GHS exchange rate movements &gt;5% or unbudgeted tax policy changes.</t>
  </si>
  <si>
    <t>5. Any unspent contingency at project close is returned to GoldBod and not retained by the implementing vendor.</t>
  </si>
  <si>
    <t>6. A contingency utilisation report is included in each monthly progress report.</t>
  </si>
  <si>
    <t>GOLDBOD — FINANCIAL IMPACT ANALYSIS: TAS IMPLEMENTATION BUSINESS CASE</t>
  </si>
  <si>
    <t>This sheet models GoldBod's current baseline revenues, estimated revenue leakage, and the projected financial gains from the TAS. All figures are estimates based on Ghana Gold Board Act 2025, Bank of Ghana data, and regional ASM sector benchmarks.</t>
  </si>
  <si>
    <t xml:space="preserve">  PART A — GOLDBOD CURRENT FINANCIAL BASELINE (Pre-TAS, Annual Estimates)</t>
  </si>
  <si>
    <t>Revenue / Income Stream</t>
  </si>
  <si>
    <t>Annual Volume</t>
  </si>
  <si>
    <t>Gold Price Basis (USD/oz)</t>
  </si>
  <si>
    <t>Annual Revenue (USD)</t>
  </si>
  <si>
    <t>Annual Revenue (GHS)</t>
  </si>
  <si>
    <t>Gold Purchased from ASM Sector (est. 30 tonnes/yr)</t>
  </si>
  <si>
    <t>30 tonnes</t>
  </si>
  <si>
    <t>Export Levy Revenue (est. 3% on export value)</t>
  </si>
  <si>
    <t>Levy</t>
  </si>
  <si>
    <t>Licensing &amp; Permit Fees (all categories)</t>
  </si>
  <si>
    <t>Fixed</t>
  </si>
  <si>
    <t>Assay &amp; Certification Fees</t>
  </si>
  <si>
    <t>Per assay</t>
  </si>
  <si>
    <t>Administrative / Service Fees</t>
  </si>
  <si>
    <t>Various</t>
  </si>
  <si>
    <t>Fines &amp; Penalties (enforcement actions)</t>
  </si>
  <si>
    <t>Variable</t>
  </si>
  <si>
    <t>ESTIMATED TOTAL ANNUAL BASELINE REVENUE</t>
  </si>
  <si>
    <t xml:space="preserve">  PART B — ESTIMATED ANNUAL REVENUE LEAKAGE (Current, Pre-TAS)</t>
  </si>
  <si>
    <t>Leakage Category</t>
  </si>
  <si>
    <t>Mechanism / Description</t>
  </si>
  <si>
    <t>Leakage Rate</t>
  </si>
  <si>
    <t>Leakage USD/yr</t>
  </si>
  <si>
    <t>Leakage GHS/yr</t>
  </si>
  <si>
    <t>Gold Smuggling &amp; Illicit Export</t>
  </si>
  <si>
    <t>Unregistered gold bypassing GoldBod, exported via neighbouring countries</t>
  </si>
  <si>
    <t>Under-Declaration of Weight / Grade</t>
  </si>
  <si>
    <t>Miners &amp; buyers under-report quantity and purity at assay points</t>
  </si>
  <si>
    <t>Export Levy Avoidance</t>
  </si>
  <si>
    <t>Exporters misclassify gold as semi-processed or use false invoices</t>
  </si>
  <si>
    <t>Royalty Under-Payment (ASM sector)</t>
  </si>
  <si>
    <t>ASM operators under-declare production volumes to GRA</t>
  </si>
  <si>
    <t>Ghost Licensing / Duplicate Registrations</t>
  </si>
  <si>
    <t>Multiple registrations for same operation; expired licences still trading</t>
  </si>
  <si>
    <t>Fictitious KYC / Beneficial Ownership Concealment</t>
  </si>
  <si>
    <t>Shell companies hide true owners; AML controls bypassed</t>
  </si>
  <si>
    <t>Corrupt Assay Certification</t>
  </si>
  <si>
    <t>Bribed assay staff certify incorrect weights/grades</t>
  </si>
  <si>
    <t>Untracked Artisanal Mining Sites</t>
  </si>
  <si>
    <t>~35% of ASM sites unregistered; zero revenue captured</t>
  </si>
  <si>
    <t>ESTIMATED TOTAL ANNUAL REVENUE LEAKAGE</t>
  </si>
  <si>
    <t xml:space="preserve">  PART C — TAS PROJECTED IMPACT: ANNUAL GAINS (Post-Implementation, Yr 2 Onwards)</t>
  </si>
  <si>
    <t>Benefit / Gain Category</t>
  </si>
  <si>
    <t>Recovery / Impact Mechanism</t>
  </si>
  <si>
    <t>Recovery Rate (TAS)</t>
  </si>
  <si>
    <t>Annual Gain (USD)</t>
  </si>
  <si>
    <t>Annual Gain (GHS)</t>
  </si>
  <si>
    <t>Illicit Export Reduction</t>
  </si>
  <si>
    <t>Blockchain chain-of-custody makes undocumented gold unsaleable internationally</t>
  </si>
  <si>
    <t>Weight/Grade Under-Declaration Prevention</t>
  </si>
  <si>
    <t>Digital scales + immutable ledger records eliminate manual tampering</t>
  </si>
  <si>
    <t>Export Levy Capture Improvement</t>
  </si>
  <si>
    <t>Automated GRA API cross-matching eliminates false invoices</t>
  </si>
  <si>
    <t>Royalty Revenue Recovery</t>
  </si>
  <si>
    <t>GPS-tagged production sites + digital weighing closes ASM under-reporting gap</t>
  </si>
  <si>
    <t>New Licences &amp; Registrations (formalisation of unregistered ASM)</t>
  </si>
  <si>
    <t>TAS incentivises formal registration for market access; 2,000 new licences est.</t>
  </si>
  <si>
    <t>Assay Fee Revenue Increase (volume uplift from formalisation)</t>
  </si>
  <si>
    <t>More formal actors → more assay events → more fee income</t>
  </si>
  <si>
    <t>AML/CFT Fines &amp; Penalty Revenue</t>
  </si>
  <si>
    <t>FIC integration enables automated STR detection &amp; enforcement actions</t>
  </si>
  <si>
    <t>Reduced Operational Costs — Manual Processing Elimination</t>
  </si>
  <si>
    <t>Digital workflows replace paper-based processes; headcount redeployed</t>
  </si>
  <si>
    <t>Premium Pricing — LBMA/OECD Responsible Sourcing Certificate</t>
  </si>
  <si>
    <t>TAS-certified Ghanaian gold commands 1-3% price premium on international markets</t>
  </si>
  <si>
    <t>Ghana Card KYC Cost Savings (replacing manual ID verification)</t>
  </si>
  <si>
    <t>Automated digital ID reduces compliance officer workload</t>
  </si>
  <si>
    <t>Reduced Gold Sector Corruption Investigations</t>
  </si>
  <si>
    <t>Immutable audit trail reduces legal/investigation costs to government</t>
  </si>
  <si>
    <t>Improved Investor Confidence (FDI premium — long-term benefit est.)</t>
  </si>
  <si>
    <t>Transparent, certified supply chain attracts responsible mining investment</t>
  </si>
  <si>
    <t>TOTAL ESTIMATED ANNUAL GAIN (from Year 2)</t>
  </si>
  <si>
    <t xml:space="preserve">  PART D — RETURN ON INVESTMENT (ROI) SUMMARY</t>
  </si>
  <si>
    <t>Total TAS Project Investment (18 months)</t>
  </si>
  <si>
    <t>Estimated Annual Gain from Year 2</t>
  </si>
  <si>
    <t>Payback Period</t>
  </si>
  <si>
    <t>~14 months post go-live</t>
  </si>
  <si>
    <t>5-Year Cumulative Net Gain (Yrs 2–6)</t>
  </si>
  <si>
    <t>10-Year Cumulative Net Gain (Yrs 2–11)</t>
  </si>
  <si>
    <t>ROI at Year 3 (net gain / investment)</t>
  </si>
  <si>
    <t>%</t>
  </si>
  <si>
    <t>ROI at Year 5</t>
  </si>
  <si>
    <t>Benefit-to-Cost Ratio (Year 5)</t>
  </si>
  <si>
    <t>x</t>
  </si>
  <si>
    <t>DISCLAIMER: All baseline revenue, leakage and gain estimates are derived from public data (Bank of Ghana, Minerals Commission, PMMC reports), IMF Ghana Article IV consultations, and sector benchmarks. Actual outcomes will vary based on compliance rates, gold price movements, and implementation quality. These figures are for decision-support purposes and are conservative estimates.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</si>
</sst>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94481" formatCode="&quot;USD &quot;#,##0"/>
    <numFmt numFmtId="94482" formatCode="0.00&quot; GHS per USD&quot;"/>
    <numFmt numFmtId="94483" formatCode="#,##0;\(#,##0\);\-"/>
    <numFmt numFmtId="94485" formatCode="0.0%;\(0.0%\);\-"/>
    <numFmt numFmtId="94514" formatCode="0.0\x"/>
    <numFmt numFmtId="94516" formatCode="_([$$-409]* #,##0.00_);_([$$-409]* (#,##0.00);_([$$-409]* &quot;-&quot;??_);_(@_)"/>
    <numFmt numFmtId="94537" formatCode="0.0%"/>
  </numFmts>
  <fonts count="47">
    <font>
      <b val="0"/>
      <i val="0"/>
      <sz val="11"/>
      <color theme="1"/>
      <name val="Calibri"/>
    </font>
    <font>
      <b val="0"/>
      <i val="0"/>
      <sz val="10"/>
      <color auto="1"/>
      <name val="Arial"/>
    </font>
    <font>
      <b/>
      <i val="0"/>
      <sz val="14"/>
      <color rgb="FFFFFFFF"/>
      <name val="Arial"/>
    </font>
    <font>
      <b/>
      <i val="0"/>
      <sz val="12"/>
      <color rgb="FFC8A200"/>
      <name val="Arial"/>
    </font>
    <font>
      <b/>
      <i val="0"/>
      <sz val="11"/>
      <color rgb="FFFFFFFF"/>
      <name val="Arial"/>
    </font>
    <font>
      <b val="0"/>
      <i/>
      <sz val="9"/>
      <color rgb="FFC8A200"/>
      <name val="Arial"/>
    </font>
    <font>
      <b/>
      <i val="0"/>
      <sz val="10"/>
      <color rgb="FFFFFFFF"/>
      <name val="Arial"/>
    </font>
    <font>
      <b/>
      <i val="0"/>
      <sz val="9"/>
      <color rgb="FFFFFFFF"/>
      <name val="Arial"/>
    </font>
    <font>
      <b/>
      <i val="0"/>
      <sz val="11"/>
      <color rgb="FF7B3F00"/>
      <name val="Arial"/>
    </font>
    <font>
      <b/>
      <i val="0"/>
      <sz val="11"/>
      <color rgb="FF0000FF"/>
      <name val="Arial"/>
    </font>
    <font>
      <b val="0"/>
      <i/>
      <sz val="9"/>
      <color rgb="FF7B3F00"/>
      <name val="Arial"/>
    </font>
    <font>
      <b val="0"/>
      <i val="0"/>
      <sz val="9"/>
      <color rgb="FF1A2744"/>
      <name val="Arial"/>
    </font>
    <font>
      <b/>
      <i val="0"/>
      <sz val="9"/>
      <color rgb="FF0000FF"/>
      <name val="Arial"/>
    </font>
    <font>
      <b val="0"/>
      <i val="0"/>
      <sz val="9"/>
      <color rgb="FF555555"/>
      <name val="Arial"/>
    </font>
    <font>
      <b val="0"/>
      <i val="0"/>
      <sz val="9"/>
      <color rgb="FF333333"/>
      <name val="Arial"/>
    </font>
    <font>
      <b val="0"/>
      <i/>
      <sz val="8"/>
      <color rgb="FF555555"/>
      <name val="Arial"/>
    </font>
    <font>
      <b/>
      <i val="0"/>
      <sz val="10"/>
      <color auto="1"/>
      <name val="Arial"/>
    </font>
    <font>
      <b/>
      <i val="0"/>
      <sz val="12"/>
      <color rgb="FFFFFFFF"/>
      <name val="Arial"/>
    </font>
    <font>
      <b val="0"/>
      <i val="0"/>
      <sz val="10"/>
      <color rgb="FF000000"/>
      <name val="Arial"/>
    </font>
    <font>
      <b val="0"/>
      <i val="0"/>
      <sz val="10"/>
      <color rgb="FF0000FF"/>
      <name val="Arial"/>
    </font>
    <font>
      <b val="0"/>
      <i val="0"/>
      <sz val="10"/>
      <color rgb="FF008000"/>
      <name val="Arial"/>
    </font>
    <font>
      <b/>
      <i val="0"/>
      <sz val="13"/>
      <color rgb="FFFFFFFF"/>
      <name val="Arial"/>
    </font>
    <font>
      <b/>
      <i val="0"/>
      <sz val="10"/>
      <color rgb="FF008000"/>
      <name val="Arial"/>
    </font>
    <font>
      <b val="0"/>
      <i/>
      <sz val="9"/>
      <color rgb="FF555555"/>
      <name val="Arial"/>
    </font>
    <font>
      <b val="0"/>
      <i val="0"/>
      <sz val="9"/>
      <color rgb="FF000000"/>
      <name val="Arial"/>
    </font>
    <font>
      <b/>
      <i val="0"/>
      <sz val="10"/>
      <color rgb="FF000000"/>
      <name val="Arial"/>
    </font>
    <font>
      <b val="0"/>
      <i/>
      <sz val="10"/>
      <color auto="1"/>
      <name val="Arial"/>
    </font>
    <font>
      <b/>
      <i val="0"/>
      <sz val="9"/>
      <color auto="1"/>
      <name val="Arial"/>
    </font>
    <font>
      <b val="0"/>
      <i/>
      <sz val="9"/>
      <color auto="1"/>
      <name val="Arial"/>
    </font>
    <font>
      <b val="0"/>
      <i val="0"/>
      <sz val="10"/>
      <color rgb="FFC00000"/>
      <name val="Arial"/>
    </font>
    <font>
      <b/>
      <i val="0"/>
      <sz val="11"/>
      <color rgb="FF375623"/>
      <name val="Arial"/>
    </font>
    <font>
      <b/>
      <i val="0"/>
      <sz val="11"/>
      <color rgb="FFFFFFFF"/>
      <name val="Arial"/>
    </font>
    <font>
      <b/>
      <i val="0"/>
      <sz val="10"/>
      <color theme="1"/>
      <name val="Arial"/>
    </font>
    <font>
      <b val="0"/>
      <i val="0"/>
      <sz val="10"/>
      <color theme="1"/>
      <name val="Arial"/>
    </font>
    <font>
      <b/>
      <sz val="14"/>
      <color rgb="FF1F4E79"/>
      <name val="Arial"/>
    </font>
    <font>
      <b/>
      <sz val="12"/>
      <color rgb="FF1F4E79"/>
      <name val="Arial"/>
    </font>
    <font>
      <b/>
      <sz val="12"/>
      <color rgb="FF375623"/>
      <name val="Arial"/>
    </font>
    <font>
      <b val="0"/>
      <i val="0"/>
      <sz val="10"/>
      <color rgb="FF666666"/>
      <name val="Arial"/>
    </font>
    <font>
      <b/>
      <sz val="10"/>
      <color rgb="FF1F4E79"/>
      <name val="Arial"/>
    </font>
    <font>
      <b/>
      <sz val="10"/>
      <color rgb="FF0000FF"/>
      <name val="Arial"/>
    </font>
    <font>
      <name val="Calibri"/>
      <scheme val="minor"/>
    </font>
    <font>
      <b/>
      <sz val="10"/>
      <color rgb="FFFFFFFF"/>
      <name val="Arial"/>
    </font>
    <font>
      <b val="0"/>
      <i val="0"/>
      <sz val="10"/>
      <name val="Arial"/>
    </font>
    <font>
      <b/>
      <sz val="11"/>
      <color rgb="FFFFFFFF"/>
      <name val="Arial"/>
    </font>
    <font>
      <b val="0"/>
      <i val="0"/>
      <sz val="9"/>
      <color rgb="FF555555"/>
      <name val="Arial"/>
    </font>
    <font>
      <i/>
      <sz val="9"/>
      <color rgb="FF888888"/>
      <name val="Arial"/>
    </font>
    <font>
      <b/>
      <i val="0"/>
      <sz val="11"/>
      <color rgb="FFFFFFFF"/>
      <name val="Arial"/>
    </font>
  </fonts>
  <fills count="23">
    <fill>
      <patternFill patternType="none"/>
    </fill>
    <fill>
      <patternFill patternType="gray125"/>
    </fill>
    <fill>
      <patternFill patternType="solid">
        <fgColor rgb="FF1A2744"/>
      </patternFill>
    </fill>
    <fill>
      <patternFill patternType="solid">
        <fgColor rgb="FF2C3E6B"/>
      </patternFill>
    </fill>
    <fill>
      <patternFill patternType="solid">
        <fgColor rgb="FFC8A200"/>
      </patternFill>
    </fill>
    <fill>
      <patternFill patternType="solid">
        <fgColor rgb="FFFFFF00"/>
      </patternFill>
    </fill>
    <fill>
      <patternFill patternType="solid">
        <fgColor rgb="FFF7F9FC"/>
      </patternFill>
    </fill>
    <fill>
      <patternFill patternType="solid">
        <fgColor rgb="FFFFFFFF"/>
      </patternFill>
    </fill>
    <fill>
      <patternFill patternType="solid">
        <fgColor rgb="FF1F4E79"/>
      </patternFill>
    </fill>
    <fill>
      <patternFill patternType="solid">
        <fgColor rgb="FF2E75B6"/>
      </patternFill>
    </fill>
    <fill>
      <patternFill patternType="solid">
        <fgColor rgb="FFEAF4FB"/>
      </patternFill>
    </fill>
    <fill>
      <patternFill patternType="solid">
        <fgColor rgb="FFBDD7EE"/>
      </patternFill>
    </fill>
    <fill>
      <patternFill patternType="solid">
        <fgColor rgb="FFDAA520"/>
      </patternFill>
    </fill>
    <fill>
      <patternFill patternType="solid">
        <fgColor rgb="FF1E6B32"/>
      </patternFill>
    </fill>
    <fill>
      <patternFill patternType="solid">
        <fgColor rgb="FF375623"/>
      </patternFill>
    </fill>
    <fill>
      <patternFill patternType="solid">
        <fgColor rgb="FFE2EFDA"/>
      </patternFill>
    </fill>
    <fill>
      <patternFill patternType="solid">
        <fgColor rgb="FFC00000"/>
      </patternFill>
    </fill>
    <fill>
      <patternFill patternType="solid">
        <fgColor rgb="FF8B0000"/>
      </patternFill>
    </fill>
    <fill>
      <patternFill patternType="solid">
        <fgColor rgb="FFFCE4D6"/>
      </patternFill>
    </fill>
    <fill>
      <patternFill patternType="solid">
        <fgColor rgb="FFB8860B"/>
      </patternFill>
    </fill>
    <fill>
      <patternFill patternType="solid">
        <fgColor rgb="FFFFF8DC"/>
      </patternFill>
    </fill>
    <fill>
      <patternFill patternType="solid">
        <fgColor rgb="FFD6E4F0"/>
      </patternFill>
    </fill>
    <fill>
      <patternFill patternType="solid">
        <fgColor rgb="FFF2F7FB"/>
      </patternFill>
    </fill>
  </fills>
  <borders count="14">
    <border>
      <left/>
      <right/>
      <top/>
      <bottom/>
    </border>
    <border>
      <left/>
      <right/>
      <top/>
      <bottom/>
      <diagonal/>
    </border>
    <border>
      <left style="thin">
        <color rgb="FFBFBFBF"/>
      </left>
      <right style="thin">
        <color rgb="FFBFBFBF"/>
      </right>
      <top style="thin">
        <color rgb="FFBFBFBF"/>
      </top>
      <bottom style="thin">
        <color rgb="FFBFBFBF"/>
      </bottom>
      <diagonal/>
    </border>
    <border>
      <left style="medium">
        <color rgb="FFC8A200"/>
      </left>
      <right style="medium">
        <color rgb="FFC8A200"/>
      </right>
      <top style="medium">
        <color rgb="FFC8A200"/>
      </top>
      <bottom style="medium">
        <color rgb="FFC8A200"/>
      </bottom>
      <diagonal/>
    </border>
    <border>
      <left style="thin">
        <color rgb="FFBFBFBF"/>
      </left>
      <right/>
      <top style="thin">
        <color rgb="FFBFBFBF"/>
      </top>
      <bottom style="thin">
        <color rgb="FFBFBFBF"/>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bottom style="medium">
        <color rgb="FF1F4E79"/>
      </bottom>
      <diagonal/>
    </border>
    <border>
      <left/>
      <right/>
      <top/>
      <bottom style="thin">
        <color rgb="FFD6E4F0"/>
      </bottom>
      <diagonal/>
    </border>
    <border>
      <left/>
      <right/>
      <top style="double">
        <color rgb="FF1F4E79"/>
      </top>
      <bottom style="double">
        <color rgb="FF1F4E79"/>
      </bottom>
      <diagonal/>
    </border>
    <border>
      <top style="medium">
        <color rgb="FF1F4E79"/>
      </top>
    </border>
    <border>
      <bottom style="medium">
        <color rgb="FF0D2F50"/>
      </bottom>
    </border>
    <border>
      <bottom style="thin">
        <color rgb="FFE0E0E0"/>
      </bottom>
    </border>
    <border>
      <top style="double">
        <color rgb="FF1F4E79"/>
      </top>
      <bottom style="double">
        <color rgb="FF1F4E79"/>
      </bottom>
    </border>
  </borders>
  <cellStyleXfs count="4">
    <xf numFmtId="0" fontId="0" fillId="0" borderId="1" applyFont="1" applyBorder="1" applyAlignment="1" applyProtection="1"/>
    <xf numFmtId="0" fontId="1" fillId="0" borderId="1" applyFont="1" applyBorder="0" applyAlignment="0" applyProtection="0"/>
    <xf numFmtId="41" fontId="1" fillId="0" borderId="1" applyFont="1" applyBorder="0" applyAlignment="0" applyProtection="0"/>
    <xf numFmtId="9" fontId="1" fillId="0" borderId="1" applyFont="1" applyBorder="0" applyAlignment="0" applyProtection="0"/>
  </cellStyleXfs>
  <cellXfs count="142">
    <xf numFmtId="0" fontId="0" fillId="0" borderId="1" xfId="0" applyFont="1" applyBorder="1" applyAlignment="1" applyProtection="1"/>
    <xf numFmtId="0" fontId="2" fillId="2" borderId="1" xfId="0">
      <alignment horizontal="center" vertical="center"/>
    </xf>
    <xf numFmtId="0" fontId="3" fillId="2" borderId="1" xfId="0">
      <alignment horizontal="center" vertical="center"/>
    </xf>
    <xf numFmtId="0" fontId="4" fillId="2" borderId="1" xfId="0">
      <alignment horizontal="center" vertical="center"/>
    </xf>
    <xf numFmtId="0" fontId="5" fillId="2" borderId="1" xfId="0">
      <alignment horizontal="center" vertical="center"/>
    </xf>
    <xf numFmtId="0" fontId="6" fillId="3" borderId="1" xfId="0">
      <alignment horizontal="left" vertical="center" indent="1"/>
    </xf>
    <xf numFmtId="0" fontId="31" fillId="8" borderId="1" xfId="0"/>
    <xf numFmtId="0" fontId="7" fillId="4" borderId="2" xfId="0">
      <alignment horizontal="center" vertical="center"/>
    </xf>
    <xf numFmtId="0" fontId="32" fillId="21" borderId="7" xfId="0"/>
    <xf numFmtId="0" fontId="8" fillId="5" borderId="3" xfId="0">
      <alignment horizontal="left" vertical="center" indent="1"/>
    </xf>
    <xf numFmtId="94481" fontId="9" fillId="5" borderId="3" xfId="0">
      <alignment horizontal="center" vertical="center"/>
    </xf>
    <xf numFmtId="0" fontId="10" fillId="5" borderId="3" xfId="0">
      <alignment horizontal="left" vertical="center" indent="1"/>
    </xf>
    <xf numFmtId="0" fontId="33" fillId="0" borderId="8" xfId="0"/>
    <xf numFmtId="10" fontId="33" fillId="0" borderId="8" xfId="0">
      <alignment horizontal="right" vertical="bottom"/>
    </xf>
    <xf numFmtId="94516" fontId="33" fillId="0" borderId="8" xfId="0">
      <alignment horizontal="right" vertical="bottom"/>
    </xf>
    <xf numFmtId="94482" fontId="9" fillId="5" borderId="3" xfId="0">
      <alignment horizontal="center" vertical="center"/>
    </xf>
    <xf numFmtId="0" fontId="11" fillId="6" borderId="2" xfId="0">
      <alignment horizontal="left" vertical="center" indent="1"/>
    </xf>
    <xf numFmtId="0" fontId="12" fillId="6" borderId="2" xfId="0">
      <alignment horizontal="center" vertical="center"/>
    </xf>
    <xf numFmtId="0" fontId="13" fillId="6" borderId="2" xfId="0">
      <alignment horizontal="left" vertical="center" indent="1"/>
    </xf>
    <xf numFmtId="0" fontId="11" fillId="7" borderId="2" xfId="0">
      <alignment horizontal="left" vertical="center" indent="1"/>
    </xf>
    <xf numFmtId="0" fontId="12" fillId="7" borderId="2" xfId="0">
      <alignment horizontal="center" vertical="center"/>
    </xf>
    <xf numFmtId="0" fontId="13" fillId="7" borderId="2" xfId="0">
      <alignment horizontal="left" vertical="center" indent="1"/>
    </xf>
    <xf numFmtId="0" fontId="14" fillId="7" borderId="4" xfId="0">
      <alignment horizontal="left" vertical="center" wrapText="1"/>
    </xf>
    <xf numFmtId="0" fontId="14" fillId="6" borderId="4" xfId="0">
      <alignment horizontal="left" vertical="center" wrapText="1"/>
    </xf>
    <xf numFmtId="0" fontId="32" fillId="0" borderId="9" xfId="0"/>
    <xf numFmtId="10" fontId="32" fillId="0" borderId="9" xfId="0"/>
    <xf numFmtId="94516" fontId="32" fillId="0" borderId="9" xfId="0"/>
    <xf numFmtId="0" fontId="15" fillId="0" borderId="1" xfId="0">
      <alignment horizontal="left" vertical="center" indent="1"/>
    </xf>
    <xf numFmtId="0" fontId="0" fillId="0" borderId="1" xfId="0"/>
    <xf numFmtId="0" fontId="34" fillId="0" borderId="0" xfId="0">
      <alignment vertical="top"/>
    </xf>
    <xf numFmtId="0" fontId="35" fillId="0" borderId="0" xfId="0">
      <alignment vertical="top"/>
    </xf>
    <xf numFmtId="0" fontId="36" fillId="0" borderId="0" xfId="0">
      <alignment vertical="top"/>
    </xf>
    <xf numFmtId="0" fontId="37" fillId="0" borderId="0" xfId="0">
      <alignment vertical="top"/>
    </xf>
    <xf numFmtId="0" fontId="38" fillId="0" borderId="0" xfId="0">
      <alignment vertical="top"/>
    </xf>
    <xf numFmtId="94516" fontId="39" fillId="0" borderId="0" xfId="0">
      <alignment vertical="top"/>
    </xf>
    <xf numFmtId="4" fontId="39" fillId="0" borderId="0" xfId="0">
      <alignment vertical="top"/>
    </xf>
    <xf numFmtId="0" fontId="40" fillId="0" borderId="10" xfId="0">
      <alignment vertical="top"/>
    </xf>
    <xf numFmtId="0" fontId="41" fillId="8" borderId="11" xfId="0">
      <alignment horizontal="center" vertical="center"/>
    </xf>
    <xf numFmtId="0" fontId="42" fillId="22" borderId="12" xfId="0">
      <alignment horizontal="center" vertical="center"/>
    </xf>
    <xf numFmtId="0" fontId="42" fillId="22" borderId="12" xfId="0">
      <alignment vertical="center"/>
    </xf>
    <xf numFmtId="0" fontId="42" fillId="22" borderId="12" xfId="0">
      <alignment vertical="center" wrapText="1"/>
    </xf>
    <xf numFmtId="94516" fontId="42" fillId="22" borderId="12" xfId="0">
      <alignment horizontal="right" vertical="center"/>
    </xf>
    <xf numFmtId="94537" fontId="42" fillId="22" borderId="12" xfId="0">
      <alignment horizontal="center" vertical="center"/>
    </xf>
    <xf numFmtId="0" fontId="42" fillId="7" borderId="12" xfId="0">
      <alignment horizontal="center" vertical="center"/>
    </xf>
    <xf numFmtId="0" fontId="42" fillId="7" borderId="12" xfId="0">
      <alignment vertical="center"/>
    </xf>
    <xf numFmtId="0" fontId="42" fillId="7" borderId="12" xfId="0">
      <alignment vertical="center" wrapText="1"/>
    </xf>
    <xf numFmtId="94516" fontId="42" fillId="7" borderId="12" xfId="0">
      <alignment horizontal="right" vertical="center"/>
    </xf>
    <xf numFmtId="94537" fontId="42" fillId="7" borderId="12" xfId="0">
      <alignment horizontal="center" vertical="center"/>
    </xf>
    <xf numFmtId="0" fontId="43" fillId="14" borderId="13" xfId="0">
      <alignment vertical="center"/>
    </xf>
    <xf numFmtId="94516" fontId="43" fillId="14" borderId="13" xfId="0">
      <alignment horizontal="right" vertical="center"/>
    </xf>
    <xf numFmtId="94537" fontId="43" fillId="14" borderId="13" xfId="0">
      <alignment horizontal="center" vertical="center"/>
    </xf>
    <xf numFmtId="0" fontId="44" fillId="0" borderId="0" xfId="0">
      <alignment vertical="top"/>
    </xf>
    <xf numFmtId="0" fontId="45" fillId="0" borderId="0" xfId="0">
      <alignment vertical="top"/>
    </xf>
    <xf numFmtId="0" fontId="2" fillId="8" borderId="1" xfId="0">
      <alignment horizontal="center" vertical="center" wrapText="1"/>
    </xf>
    <xf numFmtId="0" fontId="16" fillId="0" borderId="1" xfId="0"/>
    <xf numFmtId="0" fontId="1" fillId="0" borderId="1" xfId="0"/>
    <xf numFmtId="0" fontId="17" fillId="8" borderId="1" xfId="0">
      <alignment horizontal="left" vertical="center" wrapText="1"/>
    </xf>
    <xf numFmtId="0" fontId="4" fillId="9" borderId="5" xfId="0">
      <alignment horizontal="center" vertical="center" wrapText="1"/>
    </xf>
    <xf numFmtId="0" fontId="18" fillId="10" borderId="5" xfId="0">
      <alignment horizontal="left" vertical="center" wrapText="1"/>
    </xf>
    <xf numFmtId="94483" fontId="19" fillId="10" borderId="5" xfId="0">
      <alignment horizontal="right" vertical="center"/>
    </xf>
    <xf numFmtId="94483" fontId="20" fillId="10" borderId="5" xfId="0">
      <alignment horizontal="right" vertical="center"/>
    </xf>
    <xf numFmtId="94485" fontId="18" fillId="10" borderId="5" xfId="0">
      <alignment horizontal="center" vertical="center" wrapText="1"/>
    </xf>
    <xf numFmtId="0" fontId="18" fillId="7" borderId="5" xfId="0">
      <alignment horizontal="left" vertical="center" wrapText="1"/>
    </xf>
    <xf numFmtId="94483" fontId="19" fillId="7" borderId="5" xfId="0">
      <alignment horizontal="right" vertical="center"/>
    </xf>
    <xf numFmtId="94483" fontId="20" fillId="7" borderId="5" xfId="0">
      <alignment horizontal="right" vertical="center"/>
    </xf>
    <xf numFmtId="94485" fontId="18" fillId="7" borderId="5" xfId="0">
      <alignment horizontal="center" vertical="center" wrapText="1"/>
    </xf>
    <xf numFmtId="0" fontId="4" fillId="8" borderId="5" xfId="0">
      <alignment horizontal="center" vertical="center" wrapText="1"/>
    </xf>
    <xf numFmtId="94483" fontId="4" fillId="8" borderId="5" xfId="0">
      <alignment horizontal="right" vertical="center"/>
    </xf>
    <xf numFmtId="0" fontId="21" fillId="8" borderId="1" xfId="0">
      <alignment horizontal="center" vertical="center" wrapText="1"/>
    </xf>
    <xf numFmtId="0" fontId="4" fillId="9" borderId="1" xfId="0">
      <alignment horizontal="left" vertical="center" wrapText="1"/>
    </xf>
    <xf numFmtId="94483" fontId="18" fillId="10" borderId="5" xfId="0">
      <alignment horizontal="right" vertical="center"/>
    </xf>
    <xf numFmtId="94483" fontId="18" fillId="7" borderId="5" xfId="0">
      <alignment horizontal="right" vertical="center"/>
    </xf>
    <xf numFmtId="0" fontId="16" fillId="11" borderId="5" xfId="0">
      <alignment horizontal="left" vertical="center" wrapText="1"/>
    </xf>
    <xf numFmtId="0" fontId="0" fillId="11" borderId="5" xfId="0"/>
    <xf numFmtId="94483" fontId="16" fillId="11" borderId="5" xfId="0">
      <alignment horizontal="right" vertical="center"/>
    </xf>
    <xf numFmtId="94483" fontId="22" fillId="11" borderId="5" xfId="0">
      <alignment horizontal="right" vertical="center"/>
    </xf>
    <xf numFmtId="0" fontId="4" fillId="12" borderId="1" xfId="0">
      <alignment horizontal="left" vertical="center" wrapText="1"/>
    </xf>
    <xf numFmtId="0" fontId="0" fillId="10" borderId="5" xfId="0"/>
    <xf numFmtId="0" fontId="0" fillId="7" borderId="5" xfId="0"/>
    <xf numFmtId="0" fontId="4" fillId="8" borderId="6" xfId="0">
      <alignment horizontal="center" vertical="center" wrapText="1"/>
    </xf>
    <xf numFmtId="0" fontId="23" fillId="0" borderId="1" xfId="0"/>
    <xf numFmtId="0" fontId="17" fillId="8" borderId="1" xfId="0">
      <alignment horizontal="center" vertical="center" wrapText="1"/>
    </xf>
    <xf numFmtId="0" fontId="16" fillId="10" borderId="5" xfId="0">
      <alignment horizontal="center" vertical="center" wrapText="1"/>
    </xf>
    <xf numFmtId="94485" fontId="19" fillId="10" borderId="5" xfId="0">
      <alignment horizontal="center" vertical="center" wrapText="1"/>
    </xf>
    <xf numFmtId="0" fontId="18" fillId="10" borderId="5" xfId="0">
      <alignment horizontal="center" vertical="center" wrapText="1"/>
    </xf>
    <xf numFmtId="0" fontId="16" fillId="7" borderId="5" xfId="0">
      <alignment horizontal="center" vertical="center" wrapText="1"/>
    </xf>
    <xf numFmtId="94485" fontId="19" fillId="7" borderId="5" xfId="0">
      <alignment horizontal="center" vertical="center" wrapText="1"/>
    </xf>
    <xf numFmtId="0" fontId="18" fillId="7" borderId="5" xfId="0">
      <alignment horizontal="center" vertical="center" wrapText="1"/>
    </xf>
    <xf numFmtId="94485" fontId="4" fillId="8" borderId="5" xfId="0">
      <alignment horizontal="center" vertical="center" wrapText="1"/>
    </xf>
    <xf numFmtId="0" fontId="24" fillId="10" borderId="5" xfId="0">
      <alignment horizontal="center" vertical="center" wrapText="1"/>
    </xf>
    <xf numFmtId="0" fontId="24" fillId="10" borderId="5" xfId="0">
      <alignment horizontal="left" vertical="center" wrapText="1"/>
    </xf>
    <xf numFmtId="0" fontId="24" fillId="7" borderId="5" xfId="0">
      <alignment horizontal="center" vertical="center" wrapText="1"/>
    </xf>
    <xf numFmtId="0" fontId="24" fillId="7" borderId="5" xfId="0">
      <alignment horizontal="left" vertical="center" wrapText="1"/>
    </xf>
    <xf numFmtId="0" fontId="16" fillId="10" borderId="5" xfId="0">
      <alignment horizontal="left" vertical="center" wrapText="1"/>
    </xf>
    <xf numFmtId="0" fontId="16" fillId="7" borderId="5" xfId="0">
      <alignment horizontal="left" vertical="center" wrapText="1"/>
    </xf>
    <xf numFmtId="0" fontId="25" fillId="11" borderId="5" xfId="0">
      <alignment horizontal="left" vertical="center" wrapText="1"/>
    </xf>
    <xf numFmtId="94483" fontId="25" fillId="11" borderId="5" xfId="0">
      <alignment horizontal="right" vertical="center"/>
    </xf>
    <xf numFmtId="3" fontId="19" fillId="10" borderId="5" xfId="0">
      <alignment horizontal="right" vertical="center"/>
    </xf>
    <xf numFmtId="3" fontId="19" fillId="7" borderId="5" xfId="0">
      <alignment horizontal="right" vertical="center"/>
    </xf>
    <xf numFmtId="0" fontId="26" fillId="0" borderId="1" xfId="0">
      <alignment horizontal="left" vertical="center" wrapText="1"/>
    </xf>
    <xf numFmtId="0" fontId="25" fillId="10" borderId="5" xfId="0">
      <alignment horizontal="center" vertical="center" wrapText="1"/>
    </xf>
    <xf numFmtId="0" fontId="25" fillId="7" borderId="5" xfId="0">
      <alignment horizontal="center" vertical="center" wrapText="1"/>
    </xf>
    <xf numFmtId="0" fontId="27" fillId="0" borderId="1" xfId="0">
      <alignment horizontal="left" vertical="center" wrapText="1"/>
    </xf>
    <xf numFmtId="0" fontId="28" fillId="0" borderId="1" xfId="0">
      <alignment horizontal="left" vertical="center" wrapText="1"/>
    </xf>
    <xf numFmtId="0" fontId="4" fillId="13" borderId="1" xfId="0">
      <alignment horizontal="left" vertical="center" wrapText="1"/>
    </xf>
    <xf numFmtId="0" fontId="4" fillId="14" borderId="5" xfId="0">
      <alignment horizontal="center" vertical="center" wrapText="1"/>
    </xf>
    <xf numFmtId="0" fontId="25" fillId="15" borderId="5" xfId="0">
      <alignment horizontal="left" vertical="center" wrapText="1"/>
    </xf>
    <xf numFmtId="0" fontId="18" fillId="15" borderId="5" xfId="0">
      <alignment horizontal="center" vertical="center" wrapText="1"/>
    </xf>
    <xf numFmtId="94483" fontId="19" fillId="15" borderId="5" xfId="0">
      <alignment horizontal="right" vertical="center"/>
    </xf>
    <xf numFmtId="94483" fontId="20" fillId="15" borderId="5" xfId="0">
      <alignment horizontal="right" vertical="center"/>
    </xf>
    <xf numFmtId="0" fontId="25" fillId="7" borderId="5" xfId="0">
      <alignment horizontal="left" vertical="center" wrapText="1"/>
    </xf>
    <xf numFmtId="0" fontId="0" fillId="15" borderId="5" xfId="0"/>
    <xf numFmtId="0" fontId="4" fillId="13" borderId="6" xfId="0">
      <alignment horizontal="center" vertical="center" wrapText="1"/>
    </xf>
    <xf numFmtId="94483" fontId="4" fillId="13" borderId="5" xfId="0">
      <alignment horizontal="right" vertical="center"/>
    </xf>
    <xf numFmtId="0" fontId="4" fillId="16" borderId="1" xfId="0">
      <alignment horizontal="left" vertical="center" wrapText="1"/>
    </xf>
    <xf numFmtId="0" fontId="4" fillId="17" borderId="5" xfId="0">
      <alignment horizontal="center" vertical="center" wrapText="1"/>
    </xf>
    <xf numFmtId="0" fontId="25" fillId="18" borderId="5" xfId="0">
      <alignment horizontal="left" vertical="center" wrapText="1"/>
    </xf>
    <xf numFmtId="0" fontId="24" fillId="18" borderId="5" xfId="0">
      <alignment horizontal="left" vertical="center" wrapText="1"/>
    </xf>
    <xf numFmtId="94485" fontId="19" fillId="18" borderId="5" xfId="0">
      <alignment horizontal="center" vertical="center" wrapText="1"/>
    </xf>
    <xf numFmtId="94483" fontId="29" fillId="18" borderId="5" xfId="0">
      <alignment horizontal="right" vertical="center"/>
    </xf>
    <xf numFmtId="94483" fontId="29" fillId="7" borderId="5" xfId="0">
      <alignment horizontal="right" vertical="center"/>
    </xf>
    <xf numFmtId="0" fontId="4" fillId="16" borderId="6" xfId="0">
      <alignment horizontal="center" vertical="center" wrapText="1"/>
    </xf>
    <xf numFmtId="94483" fontId="4" fillId="16" borderId="5" xfId="0">
      <alignment horizontal="right" vertical="center"/>
    </xf>
    <xf numFmtId="0" fontId="4" fillId="19" borderId="5" xfId="0">
      <alignment horizontal="center" vertical="center" wrapText="1"/>
    </xf>
    <xf numFmtId="0" fontId="25" fillId="20" borderId="5" xfId="0">
      <alignment horizontal="left" vertical="center" wrapText="1"/>
    </xf>
    <xf numFmtId="0" fontId="24" fillId="20" borderId="5" xfId="0">
      <alignment horizontal="left" vertical="center" wrapText="1"/>
    </xf>
    <xf numFmtId="94485" fontId="19" fillId="20" borderId="5" xfId="0">
      <alignment horizontal="center" vertical="center" wrapText="1"/>
    </xf>
    <xf numFmtId="94483" fontId="22" fillId="20" borderId="5" xfId="0">
      <alignment horizontal="right" vertical="center"/>
    </xf>
    <xf numFmtId="94483" fontId="20" fillId="20" borderId="5" xfId="0">
      <alignment horizontal="right" vertical="center"/>
    </xf>
    <xf numFmtId="94483" fontId="22" fillId="7" borderId="5" xfId="0">
      <alignment horizontal="right" vertical="center"/>
    </xf>
    <xf numFmtId="0" fontId="4" fillId="14" borderId="6" xfId="0">
      <alignment horizontal="center" vertical="center" wrapText="1"/>
    </xf>
    <xf numFmtId="94483" fontId="4" fillId="14" borderId="5" xfId="0">
      <alignment horizontal="right" vertical="center"/>
    </xf>
    <xf numFmtId="0" fontId="4" fillId="8" borderId="1" xfId="0">
      <alignment horizontal="left" vertical="center" wrapText="1"/>
    </xf>
    <xf numFmtId="0" fontId="25" fillId="20" borderId="5" xfId="0">
      <alignment horizontal="center" vertical="center" wrapText="1"/>
    </xf>
    <xf numFmtId="94483" fontId="30" fillId="20" borderId="5" xfId="0">
      <alignment horizontal="right" vertical="center"/>
    </xf>
    <xf numFmtId="94483" fontId="46" fillId="14" borderId="5" xfId="0">
      <alignment horizontal="right" vertical="center"/>
    </xf>
    <xf numFmtId="94483" fontId="30" fillId="7" borderId="5" xfId="0">
      <alignment horizontal="right" vertical="center"/>
    </xf>
    <xf numFmtId="0" fontId="30" fillId="20" borderId="5" xfId="0">
      <alignment horizontal="right" vertical="center"/>
    </xf>
    <xf numFmtId="94485" fontId="30" fillId="7" borderId="5" xfId="0">
      <alignment horizontal="right" vertical="center"/>
    </xf>
    <xf numFmtId="94485" fontId="30" fillId="20" borderId="5" xfId="0">
      <alignment horizontal="right" vertical="center"/>
    </xf>
    <xf numFmtId="94514" fontId="30" fillId="7" borderId="5" xfId="0">
      <alignment horizontal="right" vertical="center"/>
    </xf>
    <xf numFmtId="0" fontId="15" fillId="0" borderId="1" xfId="0">
      <alignment horizontal="left" vertical="center" wrapText="1"/>
    </xf>
  </cellXfs>
  <cellStyles count="6">
    <cellStyle name="Normal" xfId="0" builtinId="0"/>
    <cellStyle name="Comma" xfId="1" builtinId="3"/>
    <cellStyle name="Comma [0]" xfId="2" builtinId="6"/>
    <cellStyle name="Currency" xfId="1" builtinId="4"/>
    <cellStyle name="Currency [0]" xfId="1" builtinId="7"/>
    <cellStyle name="Percent" xfId="3" builtinId="5"/>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tyles" Target="styles.xml"/><Relationship Id="rId21" Type="http://schemas.openxmlformats.org/officeDocument/2006/relationships/theme" Target="theme/theme1.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E52D1A7-7915-F9C6-A22F-3021AC8BEFB8}" mc:Ignorable="x14ac xr xr2 xr3">
  <dimension ref="A1:CV10000"/>
  <sheetViews>
    <sheetView topLeftCell="A1" workbookViewId="0" tabSelected="1">
      <selection activeCell="C12" sqref="C12"/>
    </sheetView>
  </sheetViews>
  <sheetFormatPr defaultRowHeight="15" defaultColWidth="8.7109375" customHeight="1"/>
  <cols>
    <col min="1" max="1" style="28" width="3.00390625" customWidth="1"/>
    <col min="2" max="2" style="28" width="32.00390625" customWidth="1"/>
    <col min="3" max="3" style="28" width="26.00390625" customWidth="1"/>
    <col min="4" max="4" style="28" width="56.421875" customWidth="1"/>
    <col min="5" max="5" width="3.00390625" customWidth="1"/>
    <col min="6" max="6" width="31.421875" customWidth="1"/>
    <col min="7" max="7" width="11.421875" customWidth="1"/>
    <col min="8" max="8" width="18.57421875" customWidth="1"/>
  </cols>
  <sheetData>
    <row r="1" ht="18.75" customHeight="1">
      <c r="B1" s="1" t="s">
        <v>0</v>
      </c>
      <c r="C1" s="1"/>
      <c r="D1" s="1"/>
    </row>
    <row r="2" ht="16.5" customHeight="1">
      <c r="B2" s="2" t="s">
        <v>1</v>
      </c>
      <c r="C2" s="2"/>
      <c r="D2" s="2"/>
    </row>
    <row r="3" ht="15" customHeight="1">
      <c r="B3" s="3" t="s">
        <v>2</v>
      </c>
      <c r="C3" s="3"/>
      <c r="D3" s="3"/>
    </row>
    <row r="4" ht="12.75" customHeight="1">
      <c r="B4" s="4" t="s">
        <v>3</v>
      </c>
      <c r="C4" s="4"/>
      <c r="D4" s="4"/>
    </row>
    <row r="6" ht="15" customHeight="1">
      <c r="B6" s="5" t="s">
        <v>4</v>
      </c>
      <c r="C6" s="5"/>
      <c r="D6" s="5"/>
      <c r="F6" s="6" t="s">
        <v>5</v>
      </c>
      <c r="G6" s="6"/>
      <c r="H6" s="6"/>
    </row>
    <row r="7" ht="14.25" customHeight="1">
      <c r="B7" s="7" t="s">
        <v>6</v>
      </c>
      <c r="C7" s="7" t="s">
        <v>7</v>
      </c>
      <c r="D7" s="7" t="s">
        <v>8</v>
      </c>
      <c r="F7" s="8" t="s">
        <v>9</v>
      </c>
      <c r="G7" s="8" t="s">
        <v>10</v>
      </c>
      <c r="H7" s="8" t="s">
        <v>11</v>
      </c>
    </row>
    <row r="8" ht="15" customHeight="1">
      <c r="B8" s="9" t="s">
        <v>12</v>
      </c>
      <c r="C8" s="10">
        <v>11355000</v>
      </c>
      <c r="D8" s="11" t="s">
        <v>13</v>
      </c>
      <c r="F8" s="12" t="s">
        <v>14</v>
      </c>
      <c r="G8" s="13">
        <v>0.2869757174392936</v>
      </c>
      <c r="H8" s="14">
        <f t="shared" si="0" ref="H8:H23">G8*$C$8</f>
        <v>3258609.27152318</v>
      </c>
    </row>
    <row r="9" ht="15" customHeight="1">
      <c r="B9" s="9" t="s">
        <v>15</v>
      </c>
      <c r="C9" s="15">
        <v>13</v>
      </c>
      <c r="D9" s="11" t="s">
        <v>16</v>
      </c>
      <c r="F9" s="12" t="s">
        <v>17</v>
      </c>
      <c r="G9" s="13">
        <v>0.17483443708609273</v>
      </c>
      <c r="H9" s="14">
        <f t="shared" si="0"/>
        <v>1985245.03311258</v>
      </c>
    </row>
    <row r="10" ht="14.25" customHeight="1">
      <c r="B10" s="16" t="s">
        <v>18</v>
      </c>
      <c r="C10" s="17" t="s">
        <v>19</v>
      </c>
      <c r="D10" s="18" t="s">
        <v>20</v>
      </c>
      <c r="F10" s="12" t="s">
        <v>21</v>
      </c>
      <c r="G10" s="13">
        <v>0.07240618101545254</v>
      </c>
      <c r="H10" s="14">
        <f t="shared" si="0"/>
        <v>822172.185430464</v>
      </c>
    </row>
    <row r="11" ht="14.25" customHeight="1">
      <c r="B11" s="19" t="s">
        <v>22</v>
      </c>
      <c r="C11" s="20" t="s">
        <v>23</v>
      </c>
      <c r="D11" s="21" t="s">
        <v>24</v>
      </c>
      <c r="F11" s="12" t="s">
        <v>25</v>
      </c>
      <c r="G11" s="13">
        <v>0.04768211920529802</v>
      </c>
      <c r="H11" s="14">
        <f t="shared" si="0"/>
        <v>541430.463576159</v>
      </c>
    </row>
    <row r="12" ht="14.25" customHeight="1">
      <c r="B12" s="16" t="s">
        <v>26</v>
      </c>
      <c r="C12" s="17" t="s">
        <v>27</v>
      </c>
      <c r="D12" s="18" t="s">
        <v>28</v>
      </c>
      <c r="F12" s="12" t="s">
        <v>29</v>
      </c>
      <c r="G12" s="13">
        <v>0.027373068432671083</v>
      </c>
      <c r="H12" s="14">
        <f t="shared" si="0"/>
        <v>310821.19205298</v>
      </c>
    </row>
    <row r="13" ht="14.25" customHeight="1">
      <c r="B13" s="19" t="s">
        <v>30</v>
      </c>
      <c r="C13" s="20" t="s">
        <v>31</v>
      </c>
      <c r="D13" s="21" t="s">
        <v>32</v>
      </c>
      <c r="F13" s="12" t="s">
        <v>33</v>
      </c>
      <c r="G13" s="13">
        <v>0.060044150110375276</v>
      </c>
      <c r="H13" s="14">
        <f t="shared" si="0"/>
        <v>681801.324503311</v>
      </c>
    </row>
    <row r="14" ht="14.25" customHeight="1">
      <c r="B14" s="16" t="s">
        <v>34</v>
      </c>
      <c r="C14" s="17" t="s">
        <v>35</v>
      </c>
      <c r="D14" s="18" t="s">
        <v>36</v>
      </c>
      <c r="F14" s="12" t="s">
        <v>37</v>
      </c>
      <c r="G14" s="13">
        <v>0.0565121412803532</v>
      </c>
      <c r="H14" s="14">
        <f t="shared" si="0"/>
        <v>641695.364238411</v>
      </c>
    </row>
    <row r="15" ht="14.25" customHeight="1">
      <c r="B15" s="19" t="s">
        <v>38</v>
      </c>
      <c r="C15" s="20" t="s">
        <v>39</v>
      </c>
      <c r="D15" s="21" t="s">
        <v>40</v>
      </c>
      <c r="F15" s="12" t="s">
        <v>41</v>
      </c>
      <c r="G15" s="13">
        <v>0.025607064017660046</v>
      </c>
      <c r="H15" s="14">
        <f t="shared" si="0"/>
        <v>290768.21192053</v>
      </c>
    </row>
    <row r="16" ht="14.25" customHeight="1">
      <c r="B16" s="16" t="s">
        <v>42</v>
      </c>
      <c r="C16" s="17" t="s">
        <v>43</v>
      </c>
      <c r="D16" s="18" t="s">
        <v>44</v>
      </c>
      <c r="F16" s="12" t="s">
        <v>45</v>
      </c>
      <c r="G16" s="13">
        <v>0.03708609271523179</v>
      </c>
      <c r="H16" s="14">
        <f t="shared" si="0"/>
        <v>421112.582781457</v>
      </c>
    </row>
    <row r="17" ht="14.25" customHeight="1">
      <c r="F17" s="12" t="s">
        <v>46</v>
      </c>
      <c r="G17" s="13">
        <v>0.015894039735099338</v>
      </c>
      <c r="H17" s="14">
        <f t="shared" si="0"/>
        <v>180476.821192053</v>
      </c>
    </row>
    <row r="18" ht="14.25" customHeight="1">
      <c r="B18" s="5" t="s">
        <v>47</v>
      </c>
      <c r="C18" s="5"/>
      <c r="D18" s="5"/>
      <c r="F18" s="12" t="s">
        <v>48</v>
      </c>
      <c r="G18" s="13">
        <v>0.033554083885209716</v>
      </c>
      <c r="H18" s="14">
        <f t="shared" si="0"/>
        <v>381006.622516556</v>
      </c>
    </row>
    <row r="19" ht="14.25" customHeight="1">
      <c r="B19" s="22" t="s">
        <v>49</v>
      </c>
      <c r="C19" s="22"/>
      <c r="D19" s="22"/>
      <c r="F19" s="12" t="s">
        <v>50</v>
      </c>
      <c r="G19" s="13">
        <v>0.01545253863134658</v>
      </c>
      <c r="H19" s="14">
        <f t="shared" si="0"/>
        <v>175463.57615894</v>
      </c>
    </row>
    <row r="20" ht="14.25" customHeight="1">
      <c r="B20" s="23" t="s">
        <v>51</v>
      </c>
      <c r="C20" s="23"/>
      <c r="D20" s="23"/>
      <c r="F20" s="12" t="s">
        <v>52</v>
      </c>
      <c r="G20" s="13">
        <v>0.02119205298013245</v>
      </c>
      <c r="H20" s="14">
        <f t="shared" si="0"/>
        <v>240635.761589404</v>
      </c>
    </row>
    <row r="21" ht="14.25" customHeight="1">
      <c r="B21" s="22" t="s">
        <v>53</v>
      </c>
      <c r="C21" s="22"/>
      <c r="D21" s="22"/>
      <c r="F21" s="12" t="s">
        <v>54</v>
      </c>
      <c r="G21" s="13">
        <v>0.06622516556291391</v>
      </c>
      <c r="H21" s="14">
        <f t="shared" si="0"/>
        <v>751986.754966888</v>
      </c>
    </row>
    <row r="22" ht="14.25" customHeight="1">
      <c r="B22" s="23" t="s">
        <v>55</v>
      </c>
      <c r="C22" s="23"/>
      <c r="D22" s="23"/>
      <c r="F22" s="12" t="s">
        <v>56</v>
      </c>
      <c r="G22" s="13">
        <v>0.008388520971302429</v>
      </c>
      <c r="H22" s="14">
        <f t="shared" si="0"/>
        <v>95251.6556291391</v>
      </c>
    </row>
    <row r="23" ht="14.25" customHeight="1">
      <c r="B23" s="22" t="s">
        <v>57</v>
      </c>
      <c r="C23" s="22"/>
      <c r="D23" s="22"/>
      <c r="F23" s="12" t="s">
        <v>58</v>
      </c>
      <c r="G23" s="13">
        <v>0.05077262693156733</v>
      </c>
      <c r="H23" s="14">
        <f t="shared" si="0"/>
        <v>576523.178807947</v>
      </c>
    </row>
    <row r="24" ht="14.25" customHeight="1">
      <c r="B24" s="23" t="s">
        <v>59</v>
      </c>
      <c r="C24" s="23"/>
      <c r="D24" s="23"/>
      <c r="F24" s="24" t="s">
        <v>60</v>
      </c>
      <c r="G24" s="25">
        <f t="shared" si="1" ref="G24:H24">SUM(G8:G23)</f>
        <v>1</v>
      </c>
      <c r="H24" s="26">
        <f t="shared" si="1"/>
        <v>11355000</v>
      </c>
    </row>
    <row r="25" ht="12.75" customHeight="1">
      <c r="B25" s="22" t="s">
        <v>61</v>
      </c>
      <c r="C25" s="22"/>
      <c r="D25" s="22"/>
    </row>
    <row r="26" ht="12.75" customHeight="1">
      <c r="B26" s="23" t="s">
        <v>62</v>
      </c>
      <c r="C26" s="23"/>
      <c r="D26" s="23"/>
    </row>
    <row r="29" ht="12" customHeight="1">
      <c r="B29" s="27" t="s">
        <v>63</v>
      </c>
      <c r="C29" s="27"/>
      <c r="D29" s="27"/>
    </row>
  </sheetData>
  <mergeCells>
    <mergeCell ref="B1:D1"/>
    <mergeCell ref="B2:D2"/>
    <mergeCell ref="B3:D3"/>
    <mergeCell ref="B4:D4"/>
    <mergeCell ref="B6:D6"/>
    <mergeCell ref="B18:D18"/>
    <mergeCell ref="B19:D19"/>
    <mergeCell ref="B20:D20"/>
    <mergeCell ref="B21:D21"/>
    <mergeCell ref="B22:D22"/>
    <mergeCell ref="B23:D23"/>
    <mergeCell ref="B24:D24"/>
    <mergeCell ref="B25:D25"/>
    <mergeCell ref="B26:D26"/>
    <mergeCell ref="B29:D29"/>
  </mergeCells>
  <printOptions headings="1"/>
  <pageMargins left="0.75" right="0.75" top="1" bottom="1" header="0.51" footer="0.51"/>
  <pageSetup paperSize="9" pageOrder="downThenOver" orientation="portrai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7CCB388-9909-AAB5-3392-B1BA001ADEB8}" mc:Ignorable="x14ac xr xr2 xr3">
  <dimension ref="A1:CV10000"/>
  <sheetViews>
    <sheetView showGridLines="0" topLeftCell="A1" workbookViewId="0">
      <selection activeCell="A1" sqref="A1"/>
    </sheetView>
  </sheetViews>
  <sheetFormatPr defaultRowHeight="15" defaultColWidth="8.8515625" customHeight="1"/>
  <cols>
    <col min="1" max="1" width="2.140625" customWidth="1"/>
    <col min="2" max="2" width="4.28125" customWidth="1"/>
    <col min="3" max="3" width="31.421875" customWidth="1"/>
    <col min="4" max="4" width="57.140625" customWidth="1"/>
    <col min="5" max="6" width="18.57421875" customWidth="1"/>
    <col min="7" max="7" width="12.140625" customWidth="1"/>
  </cols>
  <sheetData>
    <row r="2" ht="18.75" customHeight="1">
      <c r="B2" s="29" t="s">
        <v>0</v>
      </c>
    </row>
    <row r="3" ht="16.5" customHeight="1">
      <c r="B3" s="30" t="s">
        <v>1</v>
      </c>
    </row>
    <row r="4" ht="16.5" customHeight="1">
      <c r="B4" s="31" t="s">
        <v>64</v>
      </c>
    </row>
    <row r="5" ht="14.25" customHeight="1">
      <c r="B5" s="32" t="s">
        <v>3</v>
      </c>
    </row>
    <row r="7" ht="14.25" customHeight="1">
      <c r="B7" s="33" t="s">
        <v>65</v>
      </c>
      <c r="C7" s="34">
        <f>'0. Assumptions'!C8</f>
        <v>11355000</v>
      </c>
      <c r="E7" s="33" t="s">
        <v>66</v>
      </c>
      <c r="F7" s="35">
        <f>'0. Assumptions'!C9</f>
        <v>13</v>
      </c>
      <c r="G7" s="32" t="s">
        <v>67</v>
      </c>
    </row>
    <row r="8" ht="15" customHeight="1">
      <c r="B8" s="36"/>
      <c r="C8" s="36"/>
      <c r="D8" s="36"/>
      <c r="E8" s="36"/>
      <c r="F8" s="36"/>
      <c r="G8" s="36"/>
    </row>
    <row r="9" ht="14.25" customHeight="1">
      <c r="B9" s="37" t="s">
        <v>68</v>
      </c>
      <c r="C9" s="37" t="s">
        <v>69</v>
      </c>
      <c r="D9" s="37" t="s">
        <v>70</v>
      </c>
      <c r="E9" s="37" t="s">
        <v>71</v>
      </c>
      <c r="F9" s="37" t="s">
        <v>72</v>
      </c>
      <c r="G9" s="37" t="s">
        <v>73</v>
      </c>
    </row>
    <row r="10" ht="26.25" customHeight="1">
      <c r="B10" s="38">
        <v>1</v>
      </c>
      <c r="C10" s="39" t="str">
        <f>'0. Assumptions'!F8</f>
        <v>1. Personnel &amp; HR Costs</v>
      </c>
      <c r="D10" s="40" t="s">
        <v>74</v>
      </c>
      <c r="E10" s="41">
        <f>'0. Assumptions'!H8</f>
        <v>3258609.27152318</v>
      </c>
      <c r="F10" s="41">
        <f>E10*'0. Assumptions'!$C$9</f>
        <v>42361920.5298013</v>
      </c>
      <c r="G10" s="42">
        <f>E10/'0. Assumptions'!$C$8</f>
        <v>0.286975717439294</v>
      </c>
    </row>
    <row r="11" ht="26.25" customHeight="1">
      <c r="B11" s="43">
        <v>2</v>
      </c>
      <c r="C11" s="44" t="str">
        <f>'0. Assumptions'!F9</f>
        <v>2. Software Development</v>
      </c>
      <c r="D11" s="45" t="s">
        <v>75</v>
      </c>
      <c r="E11" s="46">
        <f>'0. Assumptions'!H9</f>
        <v>1985245.03311258</v>
      </c>
      <c r="F11" s="46">
        <f>E11*'0. Assumptions'!$C$9</f>
        <v>25808185.4304635</v>
      </c>
      <c r="G11" s="47">
        <f>E11/'0. Assumptions'!$C$8</f>
        <v>0.174834437086092</v>
      </c>
    </row>
    <row r="12" ht="26.25" customHeight="1">
      <c r="B12" s="38">
        <v>3</v>
      </c>
      <c r="C12" s="39" t="str">
        <f>'0. Assumptions'!F10</f>
        <v>3. Blockchain Infrastructure</v>
      </c>
      <c r="D12" s="40" t="s">
        <v>76</v>
      </c>
      <c r="E12" s="41">
        <f>'0. Assumptions'!H10</f>
        <v>822172.185430464</v>
      </c>
      <c r="F12" s="41">
        <f>E12*'0. Assumptions'!$C$9</f>
        <v>10688238.410596</v>
      </c>
      <c r="G12" s="42">
        <f>E12/'0. Assumptions'!$C$8</f>
        <v>0.0724061810154526</v>
      </c>
    </row>
    <row r="13" ht="26.25" customHeight="1">
      <c r="B13" s="43">
        <v>4</v>
      </c>
      <c r="C13" s="44" t="str">
        <f>'0. Assumptions'!F11</f>
        <v>4. Cloud &amp; Hosting (18 months)</v>
      </c>
      <c r="D13" s="45" t="s">
        <v>77</v>
      </c>
      <c r="E13" s="46">
        <f>'0. Assumptions'!H11</f>
        <v>541430.463576159</v>
      </c>
      <c r="F13" s="46">
        <f>E13*'0. Assumptions'!$C$9</f>
        <v>7038596.02649007</v>
      </c>
      <c r="G13" s="47">
        <f>E13/'0. Assumptions'!$C$8</f>
        <v>0.047682119205298</v>
      </c>
    </row>
    <row r="14" ht="26.25" customHeight="1">
      <c r="B14" s="38">
        <v>5</v>
      </c>
      <c r="C14" s="39" t="str">
        <f>'0. Assumptions'!F12</f>
        <v>5. Software Licenses &amp; Tools</v>
      </c>
      <c r="D14" s="40" t="s">
        <v>78</v>
      </c>
      <c r="E14" s="41">
        <f>'0. Assumptions'!H12</f>
        <v>310821.19205298</v>
      </c>
      <c r="F14" s="41">
        <f>E14*'0. Assumptions'!$C$9</f>
        <v>4040675.49668874</v>
      </c>
      <c r="G14" s="42">
        <f>E14/'0. Assumptions'!$C$8</f>
        <v>0.0273730684326711</v>
      </c>
    </row>
    <row r="15" ht="26.25" customHeight="1">
      <c r="B15" s="43">
        <v>6</v>
      </c>
      <c r="C15" s="44" t="str">
        <f>'0. Assumptions'!F13</f>
        <v>6. Hardware &amp; Field Equipment</v>
      </c>
      <c r="D15" s="45" t="s">
        <v>79</v>
      </c>
      <c r="E15" s="46">
        <f>'0. Assumptions'!H13</f>
        <v>681801.324503311</v>
      </c>
      <c r="F15" s="46">
        <f>E15*'0. Assumptions'!$C$9</f>
        <v>8863417.21854304</v>
      </c>
      <c r="G15" s="47">
        <f>E15/'0. Assumptions'!$C$8</f>
        <v>0.0600441501103752</v>
      </c>
    </row>
    <row r="16" ht="26.25" customHeight="1">
      <c r="B16" s="38">
        <v>7</v>
      </c>
      <c r="C16" s="39" t="str">
        <f>'0. Assumptions'!F14</f>
        <v>7. Systems Integration (6 agencies)</v>
      </c>
      <c r="D16" s="40" t="s">
        <v>80</v>
      </c>
      <c r="E16" s="41">
        <f>'0. Assumptions'!H14</f>
        <v>641695.364238411</v>
      </c>
      <c r="F16" s="41">
        <f>E16*'0. Assumptions'!$C$9</f>
        <v>8342039.73509934</v>
      </c>
      <c r="G16" s="42">
        <f>E16/'0. Assumptions'!$C$8</f>
        <v>0.0565121412803532</v>
      </c>
    </row>
    <row r="17" ht="26.25" customHeight="1">
      <c r="B17" s="43">
        <v>8</v>
      </c>
      <c r="C17" s="44" t="str">
        <f>'0. Assumptions'!F15</f>
        <v>8. Testing &amp; Quality Assurance</v>
      </c>
      <c r="D17" s="45" t="s">
        <v>81</v>
      </c>
      <c r="E17" s="46">
        <f>'0. Assumptions'!H15</f>
        <v>290768.21192053</v>
      </c>
      <c r="F17" s="46">
        <f>E17*'0. Assumptions'!$C$9</f>
        <v>3779986.75496689</v>
      </c>
      <c r="G17" s="47">
        <f>E17/'0. Assumptions'!$C$8</f>
        <v>0.0256070640176601</v>
      </c>
    </row>
    <row r="18" ht="26.25" customHeight="1">
      <c r="B18" s="38">
        <v>9</v>
      </c>
      <c r="C18" s="39" t="str">
        <f>'0. Assumptions'!F16</f>
        <v>9. Training &amp; Capacity Building</v>
      </c>
      <c r="D18" s="40" t="s">
        <v>82</v>
      </c>
      <c r="E18" s="41">
        <f>'0. Assumptions'!H16</f>
        <v>421112.582781457</v>
      </c>
      <c r="F18" s="41">
        <f>E18*'0. Assumptions'!$C$9</f>
        <v>5474463.57615894</v>
      </c>
      <c r="G18" s="42">
        <f>E18/'0. Assumptions'!$C$8</f>
        <v>0.0370860927152318</v>
      </c>
    </row>
    <row r="19" ht="26.25" customHeight="1">
      <c r="B19" s="43">
        <v>10</v>
      </c>
      <c r="C19" s="44" t="str">
        <f>'0. Assumptions'!F17</f>
        <v>10. Compliance &amp; Legal</v>
      </c>
      <c r="D19" s="45" t="s">
        <v>83</v>
      </c>
      <c r="E19" s="46">
        <f>'0. Assumptions'!H17</f>
        <v>180476.821192053</v>
      </c>
      <c r="F19" s="46">
        <f>E19*'0. Assumptions'!$C$9</f>
        <v>2346198.67549669</v>
      </c>
      <c r="G19" s="47">
        <f>E19/'0. Assumptions'!$C$8</f>
        <v>0.0158940397350993</v>
      </c>
    </row>
    <row r="20" ht="26.25" customHeight="1">
      <c r="B20" s="38">
        <v>11</v>
      </c>
      <c r="C20" s="39" t="str">
        <f>'0. Assumptions'!F18</f>
        <v>11. Project Management &amp; PMO</v>
      </c>
      <c r="D20" s="40" t="s">
        <v>84</v>
      </c>
      <c r="E20" s="41">
        <f>'0. Assumptions'!H18</f>
        <v>381006.622516556</v>
      </c>
      <c r="F20" s="41">
        <f>E20*'0. Assumptions'!$C$9</f>
        <v>4953086.09271523</v>
      </c>
      <c r="G20" s="42">
        <f>E20/'0. Assumptions'!$C$8</f>
        <v>0.0335540838852097</v>
      </c>
    </row>
    <row r="21" ht="26.25" customHeight="1">
      <c r="B21" s="43">
        <v>12</v>
      </c>
      <c r="C21" s="44" t="str">
        <f>'0. Assumptions'!F19</f>
        <v>12. Pilot Programme</v>
      </c>
      <c r="D21" s="45" t="s">
        <v>85</v>
      </c>
      <c r="E21" s="46">
        <f>'0. Assumptions'!H19</f>
        <v>175463.57615894</v>
      </c>
      <c r="F21" s="46">
        <f>E21*'0. Assumptions'!$C$9</f>
        <v>2281026.49006622</v>
      </c>
      <c r="G21" s="47">
        <f>E21/'0. Assumptions'!$C$8</f>
        <v>0.0154525386313465</v>
      </c>
    </row>
    <row r="22" ht="26.25" customHeight="1">
      <c r="B22" s="38">
        <v>13</v>
      </c>
      <c r="C22" s="39" t="str">
        <f>'0. Assumptions'!F20</f>
        <v>13. National Deployment</v>
      </c>
      <c r="D22" s="40" t="s">
        <v>86</v>
      </c>
      <c r="E22" s="41">
        <f>'0. Assumptions'!H20</f>
        <v>240635.761589404</v>
      </c>
      <c r="F22" s="41">
        <f>E22*'0. Assumptions'!$C$9</f>
        <v>3128264.90066225</v>
      </c>
      <c r="G22" s="42">
        <f>E22/'0. Assumptions'!$C$8</f>
        <v>0.0211920529801325</v>
      </c>
    </row>
    <row r="23" ht="26.25" customHeight="1">
      <c r="B23" s="43">
        <v>14</v>
      </c>
      <c r="C23" s="44" t="str">
        <f>'0. Assumptions'!F21</f>
        <v>14. Stabilisation &amp; Support (12 mths)</v>
      </c>
      <c r="D23" s="45" t="s">
        <v>87</v>
      </c>
      <c r="E23" s="46">
        <f>'0. Assumptions'!H21</f>
        <v>751986.754966888</v>
      </c>
      <c r="F23" s="46">
        <f>E23*'0. Assumptions'!$C$9</f>
        <v>9775827.81456954</v>
      </c>
      <c r="G23" s="47">
        <f>E23/'0. Assumptions'!$C$8</f>
        <v>0.066225165562914</v>
      </c>
    </row>
    <row r="24" ht="26.25" customHeight="1">
      <c r="B24" s="38">
        <v>15</v>
      </c>
      <c r="C24" s="39" t="str">
        <f>'0. Assumptions'!F22</f>
        <v>15. Documentation &amp; Deliverables</v>
      </c>
      <c r="D24" s="40" t="s">
        <v>88</v>
      </c>
      <c r="E24" s="41">
        <f>'0. Assumptions'!H22</f>
        <v>95251.6556291391</v>
      </c>
      <c r="F24" s="41">
        <f>E24*'0. Assumptions'!$C$9</f>
        <v>1238271.52317881</v>
      </c>
      <c r="G24" s="42">
        <f>E24/'0. Assumptions'!$C$8</f>
        <v>0.00838852097130243</v>
      </c>
    </row>
    <row r="25" ht="26.25" customHeight="1">
      <c r="B25" s="43">
        <v>16</v>
      </c>
      <c r="C25" s="44" t="str">
        <f>'0. Assumptions'!F23</f>
        <v>16. Contingency (10%)</v>
      </c>
      <c r="D25" s="45" t="s">
        <v>89</v>
      </c>
      <c r="E25" s="46">
        <f>'0. Assumptions'!H23</f>
        <v>576523.178807947</v>
      </c>
      <c r="F25" s="46">
        <f>E25*'0. Assumptions'!$C$9</f>
        <v>7494801.32450331</v>
      </c>
      <c r="G25" s="47">
        <f>E25/'0. Assumptions'!$C$8</f>
        <v>0.0507726269315673</v>
      </c>
    </row>
    <row r="26" ht="15" customHeight="1">
      <c r="B26" s="48"/>
      <c r="C26" s="48" t="s">
        <v>90</v>
      </c>
      <c r="D26" s="48"/>
      <c r="E26" s="49">
        <f t="shared" si="0" ref="E26:G26">SUM(E10:E25)</f>
        <v>11355000</v>
      </c>
      <c r="F26" s="49">
        <f t="shared" si="0"/>
        <v>147615000</v>
      </c>
      <c r="G26" s="50">
        <f t="shared" si="0"/>
        <v>1</v>
      </c>
    </row>
    <row r="28" ht="14.25" customHeight="1">
      <c r="B28" s="33" t="s">
        <v>91</v>
      </c>
    </row>
    <row r="29" ht="12.75" customHeight="1">
      <c r="B29" s="51" t="s">
        <v>92</v>
      </c>
    </row>
    <row r="30" ht="12.75" customHeight="1">
      <c r="B30" s="51" t="s">
        <v>93</v>
      </c>
    </row>
    <row r="31" ht="12.75" customHeight="1">
      <c r="B31" s="51" t="s">
        <v>94</v>
      </c>
    </row>
    <row r="32" ht="12.75" customHeight="1">
      <c r="B32" s="51" t="s">
        <v>95</v>
      </c>
    </row>
    <row r="33" ht="12.75" customHeight="1">
      <c r="B33" s="51" t="s">
        <v>96</v>
      </c>
    </row>
    <row r="35" ht="12.75" customHeight="1">
      <c r="B35" s="52" t="s">
        <v>97</v>
      </c>
    </row>
  </sheetData>
  <printOptions/>
  <pageMargins left="0.7" right="0.7" top="0.75" bottom="0.75" header="0.3" footer="0.3"/>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B166E08-9BE9-3BB8-7D78-F90CF4358B35}" mc:Ignorable="x14ac xr xr2 xr3">
  <dimension ref="A1:CV10000"/>
  <sheetViews>
    <sheetView topLeftCell="A1" workbookViewId="0"/>
  </sheetViews>
  <sheetFormatPr defaultRowHeight="15" defaultColWidth="8.7109375" customHeight="1"/>
  <cols>
    <col min="1" max="1" style="28" width="5.00390625" customWidth="1"/>
    <col min="2" max="2" style="28" width="45.00390625" customWidth="1"/>
    <col min="3" max="5" style="28" width="22.00390625" customWidth="1"/>
    <col min="6" max="6" style="28" width="5.00390625" customWidth="1"/>
  </cols>
  <sheetData>
    <row r="1" ht="15" customHeight="1">
      <c r="A1" s="53" t="s">
        <v>98</v>
      </c>
      <c r="B1" s="53"/>
      <c r="C1" s="53"/>
      <c r="D1" s="53"/>
      <c r="E1" s="53"/>
      <c r="F1" s="53"/>
    </row>
    <row r="2" ht="15" customHeight="1">
      <c r="A2" s="53"/>
      <c r="B2" s="53"/>
      <c r="C2" s="53"/>
      <c r="D2" s="53"/>
      <c r="E2" s="53"/>
      <c r="F2" s="53"/>
    </row>
    <row r="3" ht="15" customHeight="1">
      <c r="A3" s="53"/>
      <c r="B3" s="53"/>
      <c r="C3" s="53"/>
      <c r="D3" s="53"/>
      <c r="E3" s="53"/>
      <c r="F3" s="53"/>
    </row>
    <row r="5" ht="14.25" customHeight="1">
      <c r="B5" s="54" t="s">
        <v>99</v>
      </c>
      <c r="C5" s="55" t="s">
        <v>100</v>
      </c>
      <c r="D5" s="55"/>
      <c r="E5" s="55"/>
    </row>
    <row r="6" ht="14.25" customHeight="1">
      <c r="B6" s="54" t="s">
        <v>101</v>
      </c>
      <c r="C6" s="55" t="s">
        <v>102</v>
      </c>
      <c r="D6" s="55"/>
      <c r="E6" s="55"/>
    </row>
    <row r="7" ht="14.25" customHeight="1">
      <c r="B7" s="54" t="s">
        <v>103</v>
      </c>
      <c r="C7" s="55" t="str">
        <f>"USD (with GHS equivalent at "&amp;TEXT('0. Assumptions'!C9,"0.00")&amp;" USD/GHS)"</f>
        <v>USD (with GHS equivalent at 13.00 USD/GHS)</v>
      </c>
      <c r="D7" s="55"/>
      <c r="E7" s="55"/>
    </row>
    <row r="8" ht="14.25" customHeight="1">
      <c r="B8" s="54" t="s">
        <v>66</v>
      </c>
      <c r="C8" s="55" t="str">
        <f>"1 USD = "&amp;TEXT('0. Assumptions'!C9,"0.00")&amp;" GHS  (Indicative – April 2026)"</f>
        <v>1 USD = 13.00 GHS  (Indicative – April 2026)</v>
      </c>
      <c r="D8" s="55"/>
      <c r="E8" s="55"/>
    </row>
    <row r="9" ht="14.25" customHeight="1">
      <c r="B9" s="54" t="s">
        <v>106</v>
      </c>
      <c r="C9" s="55" t="s">
        <v>19</v>
      </c>
      <c r="D9" s="55"/>
      <c r="E9" s="55"/>
    </row>
    <row r="10" ht="14.25" customHeight="1">
      <c r="B10" s="54" t="s">
        <v>107</v>
      </c>
      <c r="C10" s="55" t="s">
        <v>108</v>
      </c>
      <c r="D10" s="55"/>
      <c r="E10" s="55"/>
    </row>
    <row r="12" ht="16.5" customHeight="1">
      <c r="A12" s="56" t="s">
        <v>109</v>
      </c>
      <c r="B12" s="56"/>
      <c r="C12" s="56"/>
      <c r="D12" s="56"/>
      <c r="E12" s="56"/>
      <c r="F12" s="56"/>
    </row>
    <row r="13" ht="15" customHeight="1">
      <c r="B13" s="57" t="s">
        <v>69</v>
      </c>
      <c r="C13" s="57" t="s">
        <v>71</v>
      </c>
      <c r="D13" s="57" t="s">
        <v>110</v>
      </c>
      <c r="E13" s="57" t="s">
        <v>73</v>
      </c>
    </row>
    <row r="14" ht="14.25" customHeight="1">
      <c r="B14" s="58" t="s">
        <v>14</v>
      </c>
      <c r="C14" s="59">
        <f>'0. Assumptions'!H8</f>
        <v>3258609.27152318</v>
      </c>
      <c r="D14" s="60">
        <f>C14*'0. Assumptions'!$C$9</f>
        <v>42361920.5298013</v>
      </c>
      <c r="E14" s="61">
        <f>C14/C30</f>
        <v>0.286975717439294</v>
      </c>
    </row>
    <row r="15" ht="14.25" customHeight="1">
      <c r="B15" s="62" t="s">
        <v>17</v>
      </c>
      <c r="C15" s="63">
        <f>'0. Assumptions'!H9</f>
        <v>1985245.03311258</v>
      </c>
      <c r="D15" s="64">
        <f>C15*'0. Assumptions'!$C$9</f>
        <v>25808185.4304635</v>
      </c>
      <c r="E15" s="65">
        <f>C15/C30</f>
        <v>0.174834437086092</v>
      </c>
    </row>
    <row r="16" ht="14.25" customHeight="1">
      <c r="B16" s="58" t="s">
        <v>21</v>
      </c>
      <c r="C16" s="59">
        <f>'0. Assumptions'!H10</f>
        <v>822172.185430464</v>
      </c>
      <c r="D16" s="60">
        <f>C16*'0. Assumptions'!$C$9</f>
        <v>10688238.410596</v>
      </c>
      <c r="E16" s="61">
        <f>C16/C30</f>
        <v>0.0724061810154526</v>
      </c>
    </row>
    <row r="17" ht="14.25" customHeight="1">
      <c r="B17" s="62" t="s">
        <v>25</v>
      </c>
      <c r="C17" s="63">
        <f>'0. Assumptions'!H11</f>
        <v>541430.463576159</v>
      </c>
      <c r="D17" s="64">
        <f>C17*'0. Assumptions'!$C$9</f>
        <v>7038596.02649007</v>
      </c>
      <c r="E17" s="65">
        <f>C17/C30</f>
        <v>0.047682119205298</v>
      </c>
    </row>
    <row r="18" ht="14.25" customHeight="1">
      <c r="B18" s="58" t="s">
        <v>29</v>
      </c>
      <c r="C18" s="59">
        <f>'0. Assumptions'!H12</f>
        <v>310821.19205298</v>
      </c>
      <c r="D18" s="60">
        <f>C18*'0. Assumptions'!$C$9</f>
        <v>4040675.49668874</v>
      </c>
      <c r="E18" s="61">
        <f>C18/C30</f>
        <v>0.0273730684326711</v>
      </c>
    </row>
    <row r="19" ht="14.25" customHeight="1">
      <c r="B19" s="62" t="s">
        <v>33</v>
      </c>
      <c r="C19" s="63">
        <f>'0. Assumptions'!H13</f>
        <v>681801.324503311</v>
      </c>
      <c r="D19" s="64">
        <f>C19*'0. Assumptions'!$C$9</f>
        <v>8863417.21854304</v>
      </c>
      <c r="E19" s="65">
        <f>C19/C30</f>
        <v>0.0600441501103752</v>
      </c>
    </row>
    <row r="20" ht="14.25" customHeight="1">
      <c r="B20" s="58" t="s">
        <v>37</v>
      </c>
      <c r="C20" s="59">
        <f>'0. Assumptions'!H14</f>
        <v>641695.364238411</v>
      </c>
      <c r="D20" s="60">
        <f>C20*'0. Assumptions'!$C$9</f>
        <v>8342039.73509934</v>
      </c>
      <c r="E20" s="61">
        <f>C20/C30</f>
        <v>0.0565121412803532</v>
      </c>
    </row>
    <row r="21" ht="14.25" customHeight="1">
      <c r="B21" s="62" t="s">
        <v>41</v>
      </c>
      <c r="C21" s="63">
        <f>'0. Assumptions'!H15</f>
        <v>290768.21192053</v>
      </c>
      <c r="D21" s="64">
        <f>C21*'0. Assumptions'!$C$9</f>
        <v>3779986.75496689</v>
      </c>
      <c r="E21" s="65">
        <f>C21/C30</f>
        <v>0.0256070640176601</v>
      </c>
    </row>
    <row r="22" ht="14.25" customHeight="1">
      <c r="B22" s="58" t="s">
        <v>45</v>
      </c>
      <c r="C22" s="59">
        <f>'0. Assumptions'!H16</f>
        <v>421112.582781457</v>
      </c>
      <c r="D22" s="60">
        <f>C22*'0. Assumptions'!$C$9</f>
        <v>5474463.57615894</v>
      </c>
      <c r="E22" s="61">
        <f>C22/C30</f>
        <v>0.0370860927152318</v>
      </c>
    </row>
    <row r="23" ht="14.25" customHeight="1">
      <c r="B23" s="62" t="s">
        <v>46</v>
      </c>
      <c r="C23" s="63">
        <f>'0. Assumptions'!H17</f>
        <v>180476.821192053</v>
      </c>
      <c r="D23" s="64">
        <f>C23*'0. Assumptions'!$C$9</f>
        <v>2346198.67549669</v>
      </c>
      <c r="E23" s="65">
        <f>C23/C30</f>
        <v>0.0158940397350993</v>
      </c>
    </row>
    <row r="24" ht="14.25" customHeight="1">
      <c r="B24" s="58" t="s">
        <v>48</v>
      </c>
      <c r="C24" s="59">
        <f>'0. Assumptions'!H18</f>
        <v>381006.622516556</v>
      </c>
      <c r="D24" s="60">
        <f>C24*'0. Assumptions'!$C$9</f>
        <v>4953086.09271523</v>
      </c>
      <c r="E24" s="61">
        <f>C24/C30</f>
        <v>0.0335540838852097</v>
      </c>
    </row>
    <row r="25" ht="14.25" customHeight="1">
      <c r="B25" s="62" t="s">
        <v>50</v>
      </c>
      <c r="C25" s="63">
        <f>'0. Assumptions'!H19</f>
        <v>175463.57615894</v>
      </c>
      <c r="D25" s="64">
        <f>C25*'0. Assumptions'!$C$9</f>
        <v>2281026.49006622</v>
      </c>
      <c r="E25" s="65">
        <f>C25/C30</f>
        <v>0.0154525386313465</v>
      </c>
    </row>
    <row r="26" ht="14.25" customHeight="1">
      <c r="B26" s="58" t="s">
        <v>52</v>
      </c>
      <c r="C26" s="59">
        <f>'0. Assumptions'!H20</f>
        <v>240635.761589404</v>
      </c>
      <c r="D26" s="60">
        <f>C26*'0. Assumptions'!$C$9</f>
        <v>3128264.90066225</v>
      </c>
      <c r="E26" s="61">
        <f>C26/C30</f>
        <v>0.0211920529801325</v>
      </c>
    </row>
    <row r="27" ht="14.25" customHeight="1">
      <c r="B27" s="62" t="s">
        <v>54</v>
      </c>
      <c r="C27" s="63">
        <f>'0. Assumptions'!H21</f>
        <v>751986.754966888</v>
      </c>
      <c r="D27" s="64">
        <f>C27*'0. Assumptions'!$C$9</f>
        <v>9775827.81456954</v>
      </c>
      <c r="E27" s="65">
        <f>C27/C30</f>
        <v>0.066225165562914</v>
      </c>
    </row>
    <row r="28" ht="14.25" customHeight="1">
      <c r="B28" s="58" t="s">
        <v>56</v>
      </c>
      <c r="C28" s="59">
        <f>'0. Assumptions'!H22</f>
        <v>95251.6556291391</v>
      </c>
      <c r="D28" s="60">
        <f>C28*'0. Assumptions'!$C$9</f>
        <v>1238271.52317881</v>
      </c>
      <c r="E28" s="61">
        <f>C28/C30</f>
        <v>0.00838852097130243</v>
      </c>
    </row>
    <row r="29" ht="14.25" customHeight="1">
      <c r="B29" s="62" t="s">
        <v>58</v>
      </c>
      <c r="C29" s="63">
        <f>'0. Assumptions'!H23</f>
        <v>576523.178807947</v>
      </c>
      <c r="D29" s="64">
        <f>C29*'0. Assumptions'!$C$9</f>
        <v>7494801.32450331</v>
      </c>
      <c r="E29" s="65">
        <f>C29/C30</f>
        <v>0.0507726269315673</v>
      </c>
    </row>
    <row r="30" ht="15" customHeight="1">
      <c r="B30" s="66" t="s">
        <v>90</v>
      </c>
      <c r="C30" s="67">
        <f t="shared" si="0" ref="C30:D30">SUM(C14:C29)</f>
        <v>11355000</v>
      </c>
      <c r="D30" s="67">
        <f t="shared" si="0"/>
        <v>147615000</v>
      </c>
      <c r="E30" s="66" t="s">
        <v>111</v>
      </c>
    </row>
  </sheetData>
  <mergeCells>
    <mergeCell ref="A1:F3"/>
    <mergeCell ref="C5:E5"/>
    <mergeCell ref="C6:E6"/>
    <mergeCell ref="C7:E7"/>
    <mergeCell ref="C8:E8"/>
    <mergeCell ref="C9:E9"/>
    <mergeCell ref="C10:E10"/>
    <mergeCell ref="A12:F12"/>
  </mergeCells>
  <printOptions headings="1"/>
  <pageMargins left="0.75" right="0.75" top="1" bottom="1" header="0.51" footer="0.51"/>
  <pageSetup paperSize="9" pageOrder="downThenOver" orientation="portrai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68F00C4-0144-D3C8-51A4-276E812A4BA8}" mc:Ignorable="x14ac xr xr2 xr3">
  <dimension ref="A1:CV10000"/>
  <sheetViews>
    <sheetView topLeftCell="A59" workbookViewId="0">
      <selection activeCell="B67" sqref="B67:G67"/>
    </sheetView>
  </sheetViews>
  <sheetFormatPr defaultRowHeight="15" defaultColWidth="8.7109375" customHeight="1"/>
  <cols>
    <col min="1" max="1" style="28" width="5.00390625" customWidth="1"/>
    <col min="2" max="2" style="28" width="38.00390625" customWidth="1"/>
    <col min="3" max="3" style="28" width="12.00390625" customWidth="1"/>
    <col min="4" max="4" style="28" width="10.00390625" customWidth="1"/>
    <col min="5" max="5" style="28" width="14.00390625" customWidth="1"/>
    <col min="6" max="6" style="28" width="16.00390625" customWidth="1"/>
    <col min="7" max="7" style="28" width="17.421875" customWidth="1"/>
  </cols>
  <sheetData>
    <row r="1" ht="17.25" customHeight="1">
      <c r="A1" s="68" t="s">
        <v>112</v>
      </c>
      <c r="B1" s="68"/>
      <c r="C1" s="68"/>
      <c r="D1" s="68"/>
      <c r="E1" s="68"/>
      <c r="F1" s="68"/>
      <c r="G1" s="68"/>
    </row>
    <row r="3" ht="27.75" customHeight="1">
      <c r="B3" s="57" t="s">
        <v>113</v>
      </c>
      <c r="C3" s="57" t="s">
        <v>114</v>
      </c>
      <c r="D3" s="57" t="s">
        <v>115</v>
      </c>
      <c r="E3" s="57" t="s">
        <v>116</v>
      </c>
      <c r="F3" s="57" t="s">
        <v>117</v>
      </c>
      <c r="G3" s="57" t="s">
        <v>118</v>
      </c>
    </row>
    <row r="4" ht="15" customHeight="1">
      <c r="A4" s="69" t="s">
        <v>119</v>
      </c>
      <c r="B4" s="69"/>
      <c r="C4" s="69"/>
      <c r="D4" s="69"/>
      <c r="E4" s="69"/>
      <c r="F4" s="69"/>
      <c r="G4" s="69"/>
    </row>
    <row r="5" ht="14.25" customHeight="1">
      <c r="B5" s="58" t="s">
        <v>120</v>
      </c>
      <c r="C5" s="59">
        <v>12000</v>
      </c>
      <c r="D5" s="59">
        <v>1</v>
      </c>
      <c r="E5" s="59">
        <v>8</v>
      </c>
      <c r="F5" s="70">
        <f t="shared" si="0" ref="F5:F57">C5*D5*E5</f>
        <v>96000</v>
      </c>
      <c r="G5" s="60">
        <f>F5*'0. Assumptions'!$C$9</f>
        <v>1248000</v>
      </c>
    </row>
    <row r="6" ht="14.25" customHeight="1">
      <c r="B6" s="62" t="s">
        <v>121</v>
      </c>
      <c r="C6" s="63">
        <v>9000</v>
      </c>
      <c r="D6" s="63">
        <v>2</v>
      </c>
      <c r="E6" s="63">
        <v>6</v>
      </c>
      <c r="F6" s="71">
        <f t="shared" si="0"/>
        <v>108000</v>
      </c>
      <c r="G6" s="64">
        <f>F6*'0. Assumptions'!$C$9</f>
        <v>1404000</v>
      </c>
    </row>
    <row r="7" ht="14.25" customHeight="1">
      <c r="B7" s="58" t="s">
        <v>122</v>
      </c>
      <c r="C7" s="59">
        <v>8500</v>
      </c>
      <c r="D7" s="59">
        <v>2</v>
      </c>
      <c r="E7" s="59">
        <v>6</v>
      </c>
      <c r="F7" s="70">
        <f t="shared" si="0"/>
        <v>102000</v>
      </c>
      <c r="G7" s="60">
        <f>F7*'0. Assumptions'!$C$9</f>
        <v>1326000</v>
      </c>
    </row>
    <row r="8" ht="14.25" customHeight="1">
      <c r="B8" s="62" t="s">
        <v>123</v>
      </c>
      <c r="C8" s="63">
        <v>7000</v>
      </c>
      <c r="D8" s="63">
        <v>2</v>
      </c>
      <c r="E8" s="63">
        <v>6</v>
      </c>
      <c r="F8" s="71">
        <f t="shared" si="0"/>
        <v>84000</v>
      </c>
      <c r="G8" s="64">
        <f>F8*'0. Assumptions'!$C$9</f>
        <v>1092000</v>
      </c>
    </row>
    <row r="9" ht="14.25" customHeight="1">
      <c r="B9" s="58" t="s">
        <v>124</v>
      </c>
      <c r="C9" s="59">
        <v>7500</v>
      </c>
      <c r="D9" s="59">
        <v>2</v>
      </c>
      <c r="E9" s="59">
        <v>6</v>
      </c>
      <c r="F9" s="70">
        <f t="shared" si="0"/>
        <v>90000</v>
      </c>
      <c r="G9" s="60">
        <f>F9*'0. Assumptions'!$C$9</f>
        <v>1170000</v>
      </c>
    </row>
    <row r="10" ht="14.25" customHeight="1">
      <c r="B10" s="62" t="s">
        <v>125</v>
      </c>
      <c r="C10" s="63">
        <v>9500</v>
      </c>
      <c r="D10" s="63">
        <v>1</v>
      </c>
      <c r="E10" s="63">
        <v>5</v>
      </c>
      <c r="F10" s="71">
        <f t="shared" si="0"/>
        <v>47500</v>
      </c>
      <c r="G10" s="64">
        <f>F10*'0. Assumptions'!$C$9</f>
        <v>617500</v>
      </c>
    </row>
    <row r="11" ht="14.25" customHeight="1">
      <c r="B11" s="58" t="s">
        <v>126</v>
      </c>
      <c r="C11" s="59">
        <v>8000</v>
      </c>
      <c r="D11" s="59">
        <v>2</v>
      </c>
      <c r="E11" s="59">
        <v>7</v>
      </c>
      <c r="F11" s="70">
        <f t="shared" si="0"/>
        <v>112000</v>
      </c>
      <c r="G11" s="60">
        <f>F11*'0. Assumptions'!$C$9</f>
        <v>1456000</v>
      </c>
    </row>
    <row r="12" ht="14.25" customHeight="1">
      <c r="B12" s="62" t="s">
        <v>127</v>
      </c>
      <c r="C12" s="63">
        <v>7000</v>
      </c>
      <c r="D12" s="63">
        <v>1</v>
      </c>
      <c r="E12" s="63">
        <v>6</v>
      </c>
      <c r="F12" s="71">
        <f t="shared" si="0"/>
        <v>42000</v>
      </c>
      <c r="G12" s="64">
        <f>F12*'0. Assumptions'!$C$9</f>
        <v>546000</v>
      </c>
    </row>
    <row r="13" ht="14.25" customHeight="1">
      <c r="B13" s="58" t="s">
        <v>128</v>
      </c>
      <c r="C13" s="59">
        <v>8500</v>
      </c>
      <c r="D13" s="59">
        <v>1</v>
      </c>
      <c r="E13" s="59">
        <v>6</v>
      </c>
      <c r="F13" s="70">
        <f t="shared" si="0"/>
        <v>51000</v>
      </c>
      <c r="G13" s="60">
        <f>F13*'0. Assumptions'!$C$9</f>
        <v>663000</v>
      </c>
    </row>
    <row r="14" ht="38.25" customHeight="1">
      <c r="B14" s="72" t="s">
        <v>129</v>
      </c>
      <c r="C14" s="73"/>
      <c r="D14" s="73"/>
      <c r="E14" s="73"/>
      <c r="F14" s="74">
        <f>SUM(F5:F13)</f>
        <v>732500</v>
      </c>
      <c r="G14" s="75">
        <f>F14*'0. Assumptions'!$C$9</f>
        <v>9522500</v>
      </c>
    </row>
    <row r="15" ht="15" customHeight="1">
      <c r="A15" s="69" t="s">
        <v>130</v>
      </c>
      <c r="B15" s="69"/>
      <c r="C15" s="69"/>
      <c r="D15" s="69"/>
      <c r="E15" s="69"/>
      <c r="F15" s="69"/>
      <c r="G15" s="69"/>
    </row>
    <row r="16" ht="14.25" customHeight="1">
      <c r="B16" s="58" t="s">
        <v>131</v>
      </c>
      <c r="C16" s="59">
        <v>7500</v>
      </c>
      <c r="D16" s="59">
        <v>1</v>
      </c>
      <c r="E16" s="59">
        <v>5</v>
      </c>
      <c r="F16" s="70">
        <f t="shared" si="0"/>
        <v>37500</v>
      </c>
      <c r="G16" s="60">
        <f>F16*'0. Assumptions'!$C$9</f>
        <v>487500</v>
      </c>
    </row>
    <row r="17" ht="14.25" customHeight="1">
      <c r="B17" s="62" t="s">
        <v>132</v>
      </c>
      <c r="C17" s="63">
        <v>5500</v>
      </c>
      <c r="D17" s="63">
        <v>3</v>
      </c>
      <c r="E17" s="63">
        <v>5</v>
      </c>
      <c r="F17" s="71">
        <f t="shared" si="0"/>
        <v>82500</v>
      </c>
      <c r="G17" s="64">
        <f>F17*'0. Assumptions'!$C$9</f>
        <v>1072500</v>
      </c>
    </row>
    <row r="18" ht="14.25" customHeight="1">
      <c r="B18" s="58" t="s">
        <v>133</v>
      </c>
      <c r="C18" s="59">
        <v>6500</v>
      </c>
      <c r="D18" s="59">
        <v>1</v>
      </c>
      <c r="E18" s="59">
        <v>4</v>
      </c>
      <c r="F18" s="70">
        <f t="shared" si="0"/>
        <v>26000</v>
      </c>
      <c r="G18" s="60">
        <f>F18*'0. Assumptions'!$C$9</f>
        <v>338000</v>
      </c>
    </row>
    <row r="19" ht="14.25" customHeight="1">
      <c r="B19" s="62" t="s">
        <v>134</v>
      </c>
      <c r="C19" s="63">
        <v>8000</v>
      </c>
      <c r="D19" s="63">
        <v>1</v>
      </c>
      <c r="E19" s="63">
        <v>2</v>
      </c>
      <c r="F19" s="71">
        <f t="shared" si="0"/>
        <v>16000</v>
      </c>
      <c r="G19" s="64">
        <f>F19*'0. Assumptions'!$C$9</f>
        <v>208000</v>
      </c>
    </row>
    <row r="20" ht="14.25" customHeight="1">
      <c r="B20" s="72" t="s">
        <v>135</v>
      </c>
      <c r="C20" s="73"/>
      <c r="D20" s="73"/>
      <c r="E20" s="73"/>
      <c r="F20" s="74">
        <f t="shared" si="1" ref="F20:F58">SUM(F16:F19)</f>
        <v>162000</v>
      </c>
      <c r="G20" s="75">
        <f>F20*'0. Assumptions'!$C$9</f>
        <v>2106000</v>
      </c>
    </row>
    <row r="21" ht="15" customHeight="1">
      <c r="A21" s="69" t="s">
        <v>136</v>
      </c>
      <c r="B21" s="69"/>
      <c r="C21" s="69"/>
      <c r="D21" s="69"/>
      <c r="E21" s="69"/>
      <c r="F21" s="69"/>
      <c r="G21" s="69"/>
    </row>
    <row r="22" ht="14.25" customHeight="1">
      <c r="B22" s="58" t="s">
        <v>137</v>
      </c>
      <c r="C22" s="59">
        <v>7000</v>
      </c>
      <c r="D22" s="59">
        <v>1</v>
      </c>
      <c r="E22" s="59">
        <v>5</v>
      </c>
      <c r="F22" s="70">
        <f t="shared" si="0"/>
        <v>35000</v>
      </c>
      <c r="G22" s="60">
        <f>F22*'0. Assumptions'!$C$9</f>
        <v>455000</v>
      </c>
    </row>
    <row r="23" ht="14.25" customHeight="1">
      <c r="B23" s="62" t="s">
        <v>138</v>
      </c>
      <c r="C23" s="63">
        <v>4500</v>
      </c>
      <c r="D23" s="63">
        <v>1</v>
      </c>
      <c r="E23" s="63">
        <v>4</v>
      </c>
      <c r="F23" s="71">
        <f t="shared" si="0"/>
        <v>18000</v>
      </c>
      <c r="G23" s="64">
        <f>F23*'0. Assumptions'!$C$9</f>
        <v>234000</v>
      </c>
    </row>
    <row r="24" ht="14.25" customHeight="1">
      <c r="B24" s="58" t="s">
        <v>139</v>
      </c>
      <c r="C24" s="59">
        <v>7000</v>
      </c>
      <c r="D24" s="59">
        <v>2</v>
      </c>
      <c r="E24" s="59">
        <v>6</v>
      </c>
      <c r="F24" s="70">
        <f t="shared" si="0"/>
        <v>84000</v>
      </c>
      <c r="G24" s="60">
        <f>F24*'0. Assumptions'!$C$9</f>
        <v>1092000</v>
      </c>
    </row>
    <row r="25" ht="14.25" customHeight="1">
      <c r="B25" s="62" t="s">
        <v>140</v>
      </c>
      <c r="C25" s="63">
        <v>6000</v>
      </c>
      <c r="D25" s="63">
        <v>1</v>
      </c>
      <c r="E25" s="63">
        <v>4</v>
      </c>
      <c r="F25" s="71">
        <f t="shared" si="0"/>
        <v>24000</v>
      </c>
      <c r="G25" s="64">
        <f>F25*'0. Assumptions'!$C$9</f>
        <v>312000</v>
      </c>
    </row>
    <row r="26" ht="14.25" customHeight="1">
      <c r="B26" s="58" t="s">
        <v>141</v>
      </c>
      <c r="C26" s="59">
        <v>9000</v>
      </c>
      <c r="D26" s="59">
        <v>1</v>
      </c>
      <c r="E26" s="59">
        <v>4</v>
      </c>
      <c r="F26" s="70">
        <f t="shared" si="0"/>
        <v>36000</v>
      </c>
      <c r="G26" s="60">
        <f>F26*'0. Assumptions'!$C$9</f>
        <v>468000</v>
      </c>
    </row>
    <row r="27" ht="26.25" customHeight="1">
      <c r="B27" s="72" t="s">
        <v>142</v>
      </c>
      <c r="C27" s="73"/>
      <c r="D27" s="73"/>
      <c r="E27" s="73"/>
      <c r="F27" s="74">
        <f t="shared" si="2" ref="F27:F47">SUM(F22:F26)</f>
        <v>197000</v>
      </c>
      <c r="G27" s="75">
        <f>F27*'0. Assumptions'!$C$9</f>
        <v>2561000</v>
      </c>
    </row>
    <row r="28" ht="15" customHeight="1">
      <c r="A28" s="69" t="s">
        <v>143</v>
      </c>
      <c r="B28" s="69"/>
      <c r="C28" s="69"/>
      <c r="D28" s="69"/>
      <c r="E28" s="69"/>
      <c r="F28" s="69"/>
      <c r="G28" s="69"/>
    </row>
    <row r="29" ht="14.25" customHeight="1">
      <c r="B29" s="58" t="s">
        <v>144</v>
      </c>
      <c r="C29" s="59">
        <v>9000</v>
      </c>
      <c r="D29" s="59">
        <v>1</v>
      </c>
      <c r="E29" s="59">
        <v>5</v>
      </c>
      <c r="F29" s="70">
        <f t="shared" si="0"/>
        <v>45000</v>
      </c>
      <c r="G29" s="60">
        <f>F29*'0. Assumptions'!$C$9</f>
        <v>585000</v>
      </c>
    </row>
    <row r="30" ht="14.25" customHeight="1">
      <c r="B30" s="62" t="s">
        <v>145</v>
      </c>
      <c r="C30" s="63">
        <v>7000</v>
      </c>
      <c r="D30" s="63">
        <v>2</v>
      </c>
      <c r="E30" s="63">
        <v>5</v>
      </c>
      <c r="F30" s="71">
        <f t="shared" si="0"/>
        <v>70000</v>
      </c>
      <c r="G30" s="64">
        <f>F30*'0. Assumptions'!$C$9</f>
        <v>910000</v>
      </c>
    </row>
    <row r="31" ht="14.25" customHeight="1">
      <c r="B31" s="58" t="s">
        <v>146</v>
      </c>
      <c r="C31" s="59">
        <v>7000</v>
      </c>
      <c r="D31" s="59">
        <v>1</v>
      </c>
      <c r="E31" s="59">
        <v>6</v>
      </c>
      <c r="F31" s="70">
        <f t="shared" si="0"/>
        <v>42000</v>
      </c>
      <c r="G31" s="60">
        <f>F31*'0. Assumptions'!$C$9</f>
        <v>546000</v>
      </c>
    </row>
    <row r="32" ht="14.25" customHeight="1">
      <c r="B32" s="62" t="s">
        <v>147</v>
      </c>
      <c r="C32" s="63">
        <v>7500</v>
      </c>
      <c r="D32" s="63">
        <v>1</v>
      </c>
      <c r="E32" s="63">
        <v>4</v>
      </c>
      <c r="F32" s="71">
        <f t="shared" si="0"/>
        <v>30000</v>
      </c>
      <c r="G32" s="64">
        <f>F32*'0. Assumptions'!$C$9</f>
        <v>390000</v>
      </c>
    </row>
    <row r="33" ht="26.25" customHeight="1">
      <c r="B33" s="72" t="s">
        <v>148</v>
      </c>
      <c r="C33" s="73"/>
      <c r="D33" s="73"/>
      <c r="E33" s="73"/>
      <c r="F33" s="74">
        <f t="shared" si="1"/>
        <v>187000</v>
      </c>
      <c r="G33" s="75">
        <f>F33*'0. Assumptions'!$C$9</f>
        <v>2431000</v>
      </c>
    </row>
    <row r="34" ht="15" customHeight="1">
      <c r="A34" s="69" t="s">
        <v>149</v>
      </c>
      <c r="B34" s="69"/>
      <c r="C34" s="69"/>
      <c r="D34" s="69"/>
      <c r="E34" s="69"/>
      <c r="F34" s="69"/>
      <c r="G34" s="69"/>
    </row>
    <row r="35" ht="14.25" customHeight="1">
      <c r="B35" s="58" t="s">
        <v>150</v>
      </c>
      <c r="C35" s="59">
        <v>6500</v>
      </c>
      <c r="D35" s="59">
        <v>1</v>
      </c>
      <c r="E35" s="59">
        <v>6</v>
      </c>
      <c r="F35" s="70">
        <f t="shared" si="0"/>
        <v>39000</v>
      </c>
      <c r="G35" s="60">
        <f>F35*'0. Assumptions'!$C$9</f>
        <v>507000</v>
      </c>
    </row>
    <row r="36" ht="14.25" customHeight="1">
      <c r="B36" s="62" t="s">
        <v>151</v>
      </c>
      <c r="C36" s="63">
        <v>4500</v>
      </c>
      <c r="D36" s="63">
        <v>4</v>
      </c>
      <c r="E36" s="63">
        <v>4</v>
      </c>
      <c r="F36" s="71">
        <f t="shared" si="0"/>
        <v>72000</v>
      </c>
      <c r="G36" s="64">
        <f>F36*'0. Assumptions'!$C$9</f>
        <v>936000</v>
      </c>
    </row>
    <row r="37" ht="14.25" customHeight="1">
      <c r="B37" s="58" t="s">
        <v>152</v>
      </c>
      <c r="C37" s="59">
        <v>8000</v>
      </c>
      <c r="D37" s="59">
        <v>1</v>
      </c>
      <c r="E37" s="59">
        <v>4</v>
      </c>
      <c r="F37" s="70">
        <f t="shared" si="0"/>
        <v>32000</v>
      </c>
      <c r="G37" s="60">
        <f>F37*'0. Assumptions'!$C$9</f>
        <v>416000</v>
      </c>
    </row>
    <row r="38" ht="14.25" customHeight="1">
      <c r="B38" s="62" t="s">
        <v>153</v>
      </c>
      <c r="C38" s="63">
        <v>5000</v>
      </c>
      <c r="D38" s="63">
        <v>1</v>
      </c>
      <c r="E38" s="63">
        <v>6</v>
      </c>
      <c r="F38" s="71">
        <f t="shared" si="0"/>
        <v>30000</v>
      </c>
      <c r="G38" s="64">
        <f>F38*'0. Assumptions'!$C$9</f>
        <v>390000</v>
      </c>
    </row>
    <row r="39" ht="14.25" customHeight="1">
      <c r="B39" s="58" t="s">
        <v>154</v>
      </c>
      <c r="C39" s="59">
        <v>5500</v>
      </c>
      <c r="D39" s="59">
        <v>1</v>
      </c>
      <c r="E39" s="59">
        <v>3</v>
      </c>
      <c r="F39" s="70">
        <f t="shared" si="0"/>
        <v>16500</v>
      </c>
      <c r="G39" s="60">
        <f>F39*'0. Assumptions'!$C$9</f>
        <v>214500</v>
      </c>
    </row>
    <row r="40" ht="26.25" customHeight="1">
      <c r="B40" s="72" t="s">
        <v>155</v>
      </c>
      <c r="C40" s="73"/>
      <c r="D40" s="73"/>
      <c r="E40" s="73"/>
      <c r="F40" s="74">
        <f t="shared" si="2"/>
        <v>189500</v>
      </c>
      <c r="G40" s="75">
        <f>F40*'0. Assumptions'!$C$9</f>
        <v>2463500</v>
      </c>
    </row>
    <row r="41" ht="15" customHeight="1">
      <c r="A41" s="69" t="s">
        <v>156</v>
      </c>
      <c r="B41" s="69"/>
      <c r="C41" s="69"/>
      <c r="D41" s="69"/>
      <c r="E41" s="69"/>
      <c r="F41" s="69"/>
      <c r="G41" s="69"/>
    </row>
    <row r="42" ht="14.25" customHeight="1">
      <c r="B42" s="58" t="s">
        <v>157</v>
      </c>
      <c r="C42" s="59">
        <v>10000</v>
      </c>
      <c r="D42" s="59">
        <v>1</v>
      </c>
      <c r="E42" s="59">
        <v>18</v>
      </c>
      <c r="F42" s="70">
        <f t="shared" si="0"/>
        <v>180000</v>
      </c>
      <c r="G42" s="60">
        <f>F42*'0. Assumptions'!$C$9</f>
        <v>2340000</v>
      </c>
    </row>
    <row r="43" ht="14.25" customHeight="1">
      <c r="B43" s="62" t="s">
        <v>158</v>
      </c>
      <c r="C43" s="63">
        <v>7500</v>
      </c>
      <c r="D43" s="63">
        <v>1</v>
      </c>
      <c r="E43" s="63">
        <v>18</v>
      </c>
      <c r="F43" s="71">
        <f t="shared" si="0"/>
        <v>135000</v>
      </c>
      <c r="G43" s="64">
        <f>F43*'0. Assumptions'!$C$9</f>
        <v>1755000</v>
      </c>
    </row>
    <row r="44" ht="14.25" customHeight="1">
      <c r="B44" s="58" t="s">
        <v>159</v>
      </c>
      <c r="C44" s="59">
        <v>5000</v>
      </c>
      <c r="D44" s="59">
        <v>1</v>
      </c>
      <c r="E44" s="59">
        <v>18</v>
      </c>
      <c r="F44" s="70">
        <f t="shared" si="0"/>
        <v>90000</v>
      </c>
      <c r="G44" s="60">
        <f>F44*'0. Assumptions'!$C$9</f>
        <v>1170000</v>
      </c>
    </row>
    <row r="45" ht="14.25" customHeight="1">
      <c r="B45" s="62" t="s">
        <v>160</v>
      </c>
      <c r="C45" s="63">
        <v>3500</v>
      </c>
      <c r="D45" s="63">
        <v>1</v>
      </c>
      <c r="E45" s="63">
        <v>18</v>
      </c>
      <c r="F45" s="71">
        <f t="shared" si="0"/>
        <v>63000</v>
      </c>
      <c r="G45" s="64">
        <f>F45*'0. Assumptions'!$C$9</f>
        <v>819000</v>
      </c>
    </row>
    <row r="46" ht="14.25" customHeight="1">
      <c r="B46" s="58" t="s">
        <v>161</v>
      </c>
      <c r="C46" s="59">
        <v>6500</v>
      </c>
      <c r="D46" s="59">
        <v>1</v>
      </c>
      <c r="E46" s="59">
        <v>18</v>
      </c>
      <c r="F46" s="70">
        <f t="shared" si="0"/>
        <v>117000</v>
      </c>
      <c r="G46" s="60">
        <f>F46*'0. Assumptions'!$C$9</f>
        <v>1521000</v>
      </c>
    </row>
    <row r="47" ht="14.25" customHeight="1">
      <c r="B47" s="72" t="s">
        <v>162</v>
      </c>
      <c r="C47" s="73"/>
      <c r="D47" s="73"/>
      <c r="E47" s="73"/>
      <c r="F47" s="74">
        <f t="shared" si="2"/>
        <v>585000</v>
      </c>
      <c r="G47" s="75">
        <f>F47*'0. Assumptions'!$C$9</f>
        <v>7605000</v>
      </c>
    </row>
    <row r="48" ht="15" customHeight="1">
      <c r="A48" s="69" t="s">
        <v>163</v>
      </c>
      <c r="B48" s="69"/>
      <c r="C48" s="69"/>
      <c r="D48" s="69"/>
      <c r="E48" s="69"/>
      <c r="F48" s="69"/>
      <c r="G48" s="69"/>
    </row>
    <row r="49" ht="26.25" customHeight="1">
      <c r="B49" s="58" t="s">
        <v>164</v>
      </c>
      <c r="C49" s="59">
        <v>7000</v>
      </c>
      <c r="D49" s="59">
        <v>1</v>
      </c>
      <c r="E49" s="59">
        <v>12</v>
      </c>
      <c r="F49" s="70">
        <f t="shared" si="0"/>
        <v>84000</v>
      </c>
      <c r="G49" s="60">
        <f>F49*'0. Assumptions'!$C$9</f>
        <v>1092000</v>
      </c>
    </row>
    <row r="50" ht="14.25" customHeight="1">
      <c r="B50" s="62" t="s">
        <v>165</v>
      </c>
      <c r="C50" s="63">
        <v>8000</v>
      </c>
      <c r="D50" s="63">
        <v>1</v>
      </c>
      <c r="E50" s="63">
        <v>8</v>
      </c>
      <c r="F50" s="71">
        <f t="shared" si="0"/>
        <v>64000</v>
      </c>
      <c r="G50" s="64">
        <f>F50*'0. Assumptions'!$C$9</f>
        <v>832000</v>
      </c>
    </row>
    <row r="51" ht="14.25" customHeight="1">
      <c r="B51" s="58" t="s">
        <v>166</v>
      </c>
      <c r="C51" s="59">
        <v>8500</v>
      </c>
      <c r="D51" s="59">
        <v>1</v>
      </c>
      <c r="E51" s="59">
        <v>6</v>
      </c>
      <c r="F51" s="70">
        <f t="shared" si="0"/>
        <v>51000</v>
      </c>
      <c r="G51" s="60">
        <f>F51*'0. Assumptions'!$C$9</f>
        <v>663000</v>
      </c>
    </row>
    <row r="52" ht="14.25" customHeight="1">
      <c r="B52" s="72" t="s">
        <v>167</v>
      </c>
      <c r="C52" s="73"/>
      <c r="D52" s="73"/>
      <c r="E52" s="73"/>
      <c r="F52" s="74">
        <f>SUM(F49:F51)</f>
        <v>199000</v>
      </c>
      <c r="G52" s="75">
        <f>F52*'0. Assumptions'!$C$9</f>
        <v>2587000</v>
      </c>
    </row>
    <row r="53" ht="15" customHeight="1">
      <c r="A53" s="69" t="s">
        <v>168</v>
      </c>
      <c r="B53" s="69"/>
      <c r="C53" s="69"/>
      <c r="D53" s="69"/>
      <c r="E53" s="69"/>
      <c r="F53" s="69"/>
      <c r="G53" s="69"/>
    </row>
    <row r="54" ht="14.25" customHeight="1">
      <c r="B54" s="58" t="s">
        <v>169</v>
      </c>
      <c r="C54" s="59">
        <v>6000</v>
      </c>
      <c r="D54" s="59">
        <v>3</v>
      </c>
      <c r="E54" s="59">
        <v>12</v>
      </c>
      <c r="F54" s="70">
        <f t="shared" si="0"/>
        <v>216000</v>
      </c>
      <c r="G54" s="60">
        <f>F54*'0. Assumptions'!$C$9</f>
        <v>2808000</v>
      </c>
    </row>
    <row r="55" ht="14.25" customHeight="1">
      <c r="B55" s="62" t="s">
        <v>170</v>
      </c>
      <c r="C55" s="63">
        <v>5500</v>
      </c>
      <c r="D55" s="63">
        <v>2</v>
      </c>
      <c r="E55" s="63">
        <v>12</v>
      </c>
      <c r="F55" s="71">
        <f t="shared" si="0"/>
        <v>132000</v>
      </c>
      <c r="G55" s="64">
        <f>F55*'0. Assumptions'!$C$9</f>
        <v>1716000</v>
      </c>
    </row>
    <row r="56" ht="14.25" customHeight="1">
      <c r="B56" s="58" t="s">
        <v>171</v>
      </c>
      <c r="C56" s="59">
        <v>3000</v>
      </c>
      <c r="D56" s="59">
        <v>4</v>
      </c>
      <c r="E56" s="59">
        <v>12</v>
      </c>
      <c r="F56" s="70">
        <f t="shared" si="0"/>
        <v>144000</v>
      </c>
      <c r="G56" s="60">
        <f>F56*'0. Assumptions'!$C$9</f>
        <v>1872000</v>
      </c>
    </row>
    <row r="57" ht="14.25" customHeight="1">
      <c r="B57" s="62" t="s">
        <v>172</v>
      </c>
      <c r="C57" s="63">
        <v>6000</v>
      </c>
      <c r="D57" s="63">
        <v>1</v>
      </c>
      <c r="E57" s="63">
        <v>12</v>
      </c>
      <c r="F57" s="71">
        <f t="shared" si="0"/>
        <v>72000</v>
      </c>
      <c r="G57" s="64">
        <f>F57*'0. Assumptions'!$C$9</f>
        <v>936000</v>
      </c>
    </row>
    <row r="58" ht="26.25" customHeight="1">
      <c r="B58" s="72" t="s">
        <v>173</v>
      </c>
      <c r="C58" s="73"/>
      <c r="D58" s="73"/>
      <c r="E58" s="73"/>
      <c r="F58" s="74">
        <f t="shared" si="1"/>
        <v>564000</v>
      </c>
      <c r="G58" s="75">
        <f>F58*'0. Assumptions'!$C$9</f>
        <v>7332000</v>
      </c>
    </row>
    <row r="59" ht="15" customHeight="1">
      <c r="A59" s="76" t="s">
        <v>174</v>
      </c>
      <c r="B59" s="76"/>
      <c r="C59" s="76"/>
      <c r="D59" s="76"/>
      <c r="E59" s="76"/>
      <c r="F59" s="76"/>
      <c r="G59" s="76"/>
    </row>
    <row r="60" ht="26.25" customHeight="1">
      <c r="B60" s="58" t="s">
        <v>175</v>
      </c>
      <c r="C60" s="77"/>
      <c r="D60" s="77"/>
      <c r="E60" s="77"/>
      <c r="F60" s="59">
        <v>245000</v>
      </c>
      <c r="G60" s="60">
        <f>F60*'0. Assumptions'!$C$9</f>
        <v>3185000</v>
      </c>
    </row>
    <row r="61" ht="26.25" customHeight="1">
      <c r="B61" s="62" t="s">
        <v>176</v>
      </c>
      <c r="C61" s="78"/>
      <c r="D61" s="78"/>
      <c r="E61" s="78"/>
      <c r="F61" s="63">
        <v>94000</v>
      </c>
      <c r="G61" s="64">
        <f>F61*'0. Assumptions'!$C$9</f>
        <v>1222000</v>
      </c>
    </row>
    <row r="62" ht="26.25" customHeight="1">
      <c r="B62" s="58" t="s">
        <v>177</v>
      </c>
      <c r="C62" s="77"/>
      <c r="D62" s="77"/>
      <c r="E62" s="77"/>
      <c r="F62" s="59">
        <v>108000</v>
      </c>
      <c r="G62" s="60">
        <f>F62*'0. Assumptions'!$C$9</f>
        <v>1404000</v>
      </c>
    </row>
    <row r="63" ht="14.25" customHeight="1">
      <c r="B63" s="62" t="s">
        <v>178</v>
      </c>
      <c r="C63" s="78"/>
      <c r="D63" s="78"/>
      <c r="E63" s="78"/>
      <c r="F63" s="63">
        <v>65000</v>
      </c>
      <c r="G63" s="64">
        <f>F63*'0. Assumptions'!$C$9</f>
        <v>845000</v>
      </c>
    </row>
    <row r="64" ht="14.25" customHeight="1">
      <c r="B64" s="58" t="s">
        <v>179</v>
      </c>
      <c r="C64" s="77"/>
      <c r="D64" s="77"/>
      <c r="E64" s="77"/>
      <c r="F64" s="59">
        <v>28000</v>
      </c>
      <c r="G64" s="60">
        <f>F64*'0. Assumptions'!$C$9</f>
        <v>364000</v>
      </c>
    </row>
    <row r="65" ht="15" customHeight="1">
      <c r="B65" s="79" t="s">
        <v>180</v>
      </c>
      <c r="C65" s="79"/>
      <c r="D65" s="79"/>
      <c r="E65" s="79"/>
      <c r="F65" s="67">
        <f>F14+F20+F27+F33+F40+F47+F52+F58+SUM(F60:F64)</f>
        <v>3356000</v>
      </c>
      <c r="G65" s="67">
        <f>F65*'0. Assumptions'!$C$9</f>
        <v>43628000</v>
      </c>
    </row>
    <row r="67" ht="12.75" customHeight="1">
      <c r="B67" s="80" t="str">
        <f>"NOTE: Blue text = hardcoded inputs (rates, headcount, duration). Black text = formulas. Green text = GHS conversions at 1 USD = "&amp;TEXT('0. Assumptions'!C9,"0.00")&amp;" GHS (indicative)."</f>
        <v>NOTE: Blue text = hardcoded inputs (rates, headcount, duration). Black text = formulas. Green text = GHS conversions at 1 USD = 13.00 GHS (indicative).</v>
      </c>
      <c r="C67" s="80"/>
      <c r="D67" s="80"/>
      <c r="E67" s="80"/>
      <c r="F67" s="80"/>
      <c r="G67" s="80"/>
    </row>
  </sheetData>
  <mergeCells>
    <mergeCell ref="A1:G1"/>
    <mergeCell ref="A4:G4"/>
    <mergeCell ref="A15:G15"/>
    <mergeCell ref="A21:G21"/>
    <mergeCell ref="A28:G28"/>
    <mergeCell ref="A34:G34"/>
    <mergeCell ref="A41:G41"/>
    <mergeCell ref="A48:G48"/>
    <mergeCell ref="A53:G53"/>
    <mergeCell ref="A59:G59"/>
    <mergeCell ref="B65:E65"/>
    <mergeCell ref="B67:G67"/>
  </mergeCells>
  <printOptions headings="1"/>
  <pageMargins left="0.75" right="0.75" top="1" bottom="1" header="0.51" footer="0.51"/>
  <pageSetup paperSize="9" pageOrder="downThenOver" orientation="portrai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EE3BB68-F0F8-F348-A091-81891A2365B8}" mc:Ignorable="x14ac xr xr2 xr3">
  <dimension ref="A1:CV10000"/>
  <sheetViews>
    <sheetView topLeftCell="A1" workbookViewId="0">
      <selection activeCell="A1" sqref="A1"/>
    </sheetView>
  </sheetViews>
  <sheetFormatPr defaultRowHeight="15" defaultColWidth="8.7109375" customHeight="1"/>
  <cols>
    <col min="1" max="1" style="28" width="5.00390625" customWidth="1"/>
    <col min="2" max="2" style="28" width="50.00390625" customWidth="1"/>
    <col min="3" max="4" style="28" width="20.00390625" customWidth="1"/>
    <col min="5" max="5" style="28" width="5.00390625" customWidth="1"/>
  </cols>
  <sheetData>
    <row r="1" ht="27.75" customHeight="1">
      <c r="A1" s="68" t="s">
        <v>182</v>
      </c>
      <c r="B1" s="68"/>
      <c r="C1" s="68"/>
      <c r="D1" s="68"/>
      <c r="E1" s="68"/>
    </row>
    <row r="3" ht="19.5" customHeight="1">
      <c r="B3" s="57" t="s">
        <v>183</v>
      </c>
      <c r="C3" s="57" t="s">
        <v>184</v>
      </c>
      <c r="D3" s="57" t="s">
        <v>185</v>
      </c>
    </row>
    <row r="4" ht="18" customHeight="1">
      <c r="A4" s="69" t="s">
        <v>186</v>
      </c>
      <c r="B4" s="69"/>
      <c r="C4" s="69"/>
      <c r="D4" s="69"/>
      <c r="E4" s="69"/>
    </row>
    <row r="5" ht="15" customHeight="1">
      <c r="B5" s="58" t="s">
        <v>187</v>
      </c>
      <c r="C5" s="59">
        <v>85000</v>
      </c>
      <c r="D5" s="60">
        <f>C5*'0. Assumptions'!$C$9</f>
        <v>1105000</v>
      </c>
    </row>
    <row r="6" ht="15" customHeight="1">
      <c r="B6" s="62" t="s">
        <v>188</v>
      </c>
      <c r="C6" s="63">
        <v>55000</v>
      </c>
      <c r="D6" s="64">
        <f>C6*'0. Assumptions'!$C$9</f>
        <v>715000</v>
      </c>
    </row>
    <row r="7" ht="15" customHeight="1">
      <c r="B7" s="58" t="s">
        <v>189</v>
      </c>
      <c r="C7" s="59">
        <v>45000</v>
      </c>
      <c r="D7" s="60">
        <f>C7*'0. Assumptions'!$C$9</f>
        <v>585000</v>
      </c>
    </row>
    <row r="8" ht="15" customHeight="1">
      <c r="B8" s="62" t="s">
        <v>190</v>
      </c>
      <c r="C8" s="63">
        <v>30000</v>
      </c>
      <c r="D8" s="64">
        <f>C8*'0. Assumptions'!$C$9</f>
        <v>390000</v>
      </c>
    </row>
    <row r="9" ht="15" customHeight="1">
      <c r="B9" s="58" t="s">
        <v>191</v>
      </c>
      <c r="C9" s="59">
        <v>25000</v>
      </c>
      <c r="D9" s="60">
        <f>C9*'0. Assumptions'!$C$9</f>
        <v>325000</v>
      </c>
    </row>
    <row r="10" ht="15" customHeight="1">
      <c r="B10" s="62" t="s">
        <v>192</v>
      </c>
      <c r="C10" s="63">
        <v>35000</v>
      </c>
      <c r="D10" s="64">
        <f>C10*'0. Assumptions'!$C$9</f>
        <v>455000</v>
      </c>
    </row>
    <row r="11" ht="15" customHeight="1">
      <c r="B11" s="58" t="s">
        <v>193</v>
      </c>
      <c r="C11" s="59">
        <v>40000</v>
      </c>
      <c r="D11" s="60">
        <f>C11*'0. Assumptions'!$C$9</f>
        <v>520000</v>
      </c>
    </row>
    <row r="12" ht="15.75" customHeight="1">
      <c r="B12" s="72" t="s">
        <v>194</v>
      </c>
      <c r="C12" s="74">
        <f t="shared" si="0" ref="C12:C35">SUM(C5:C11)</f>
        <v>315000</v>
      </c>
      <c r="D12" s="75">
        <f>C12*'0. Assumptions'!$C$9</f>
        <v>4095000</v>
      </c>
    </row>
    <row r="13" ht="18" customHeight="1">
      <c r="A13" s="69" t="s">
        <v>195</v>
      </c>
      <c r="B13" s="69"/>
      <c r="C13" s="69"/>
      <c r="D13" s="69"/>
      <c r="E13" s="69"/>
    </row>
    <row r="14" ht="15" customHeight="1">
      <c r="B14" s="58" t="s">
        <v>196</v>
      </c>
      <c r="C14" s="59">
        <v>120000</v>
      </c>
      <c r="D14" s="60">
        <f>C14*'0. Assumptions'!$C$9</f>
        <v>1560000</v>
      </c>
    </row>
    <row r="15" ht="15" customHeight="1">
      <c r="B15" s="62" t="s">
        <v>197</v>
      </c>
      <c r="C15" s="63">
        <v>95000</v>
      </c>
      <c r="D15" s="64">
        <f>C15*'0. Assumptions'!$C$9</f>
        <v>1235000</v>
      </c>
    </row>
    <row r="16" ht="15" customHeight="1">
      <c r="B16" s="58" t="s">
        <v>198</v>
      </c>
      <c r="C16" s="59">
        <v>150000</v>
      </c>
      <c r="D16" s="60">
        <f>C16*'0. Assumptions'!$C$9</f>
        <v>1950000</v>
      </c>
    </row>
    <row r="17" ht="15" customHeight="1">
      <c r="B17" s="62" t="s">
        <v>199</v>
      </c>
      <c r="C17" s="63">
        <v>80000</v>
      </c>
      <c r="D17" s="64">
        <f>C17*'0. Assumptions'!$C$9</f>
        <v>1040000</v>
      </c>
    </row>
    <row r="18" ht="15" customHeight="1">
      <c r="B18" s="58" t="s">
        <v>200</v>
      </c>
      <c r="C18" s="59">
        <v>70000</v>
      </c>
      <c r="D18" s="60">
        <f>C18*'0. Assumptions'!$C$9</f>
        <v>910000</v>
      </c>
    </row>
    <row r="19" ht="15" customHeight="1">
      <c r="B19" s="62" t="s">
        <v>201</v>
      </c>
      <c r="C19" s="63">
        <v>55000</v>
      </c>
      <c r="D19" s="64">
        <f>C19*'0. Assumptions'!$C$9</f>
        <v>715000</v>
      </c>
    </row>
    <row r="20" ht="15" customHeight="1">
      <c r="B20" s="58" t="s">
        <v>202</v>
      </c>
      <c r="C20" s="59">
        <v>85000</v>
      </c>
      <c r="D20" s="60">
        <f>C20*'0. Assumptions'!$C$9</f>
        <v>1105000</v>
      </c>
    </row>
    <row r="21" ht="15" customHeight="1">
      <c r="B21" s="62" t="s">
        <v>203</v>
      </c>
      <c r="C21" s="63">
        <v>75000</v>
      </c>
      <c r="D21" s="64">
        <f>C21*'0. Assumptions'!$C$9</f>
        <v>975000</v>
      </c>
    </row>
    <row r="22" ht="15" customHeight="1">
      <c r="B22" s="58" t="s">
        <v>204</v>
      </c>
      <c r="C22" s="59">
        <v>60000</v>
      </c>
      <c r="D22" s="60">
        <f>C22*'0. Assumptions'!$C$9</f>
        <v>780000</v>
      </c>
    </row>
    <row r="23" ht="15" customHeight="1">
      <c r="B23" s="62" t="s">
        <v>205</v>
      </c>
      <c r="C23" s="63">
        <v>30000</v>
      </c>
      <c r="D23" s="64">
        <f>C23*'0. Assumptions'!$C$9</f>
        <v>390000</v>
      </c>
    </row>
    <row r="24" ht="15" customHeight="1">
      <c r="B24" s="58" t="s">
        <v>206</v>
      </c>
      <c r="C24" s="59">
        <v>40000</v>
      </c>
      <c r="D24" s="60">
        <f>C24*'0. Assumptions'!$C$9</f>
        <v>520000</v>
      </c>
    </row>
    <row r="25" ht="15" customHeight="1">
      <c r="B25" s="62" t="s">
        <v>207</v>
      </c>
      <c r="C25" s="63">
        <v>35000</v>
      </c>
      <c r="D25" s="64">
        <f>C25*'0. Assumptions'!$C$9</f>
        <v>455000</v>
      </c>
    </row>
    <row r="26" ht="15.75" customHeight="1">
      <c r="B26" s="72" t="s">
        <v>208</v>
      </c>
      <c r="C26" s="74">
        <f>SUM(C14:C25)</f>
        <v>895000</v>
      </c>
      <c r="D26" s="75">
        <f>C26*'0. Assumptions'!$C$9</f>
        <v>11635000</v>
      </c>
    </row>
    <row r="27" ht="18" customHeight="1">
      <c r="A27" s="69" t="s">
        <v>209</v>
      </c>
      <c r="B27" s="69"/>
      <c r="C27" s="69"/>
      <c r="D27" s="69"/>
      <c r="E27" s="69"/>
    </row>
    <row r="28" ht="15" customHeight="1">
      <c r="B28" s="58" t="s">
        <v>210</v>
      </c>
      <c r="C28" s="59">
        <v>80000</v>
      </c>
      <c r="D28" s="60">
        <f>C28*'0. Assumptions'!$C$9</f>
        <v>1040000</v>
      </c>
    </row>
    <row r="29" ht="15" customHeight="1">
      <c r="B29" s="62" t="s">
        <v>211</v>
      </c>
      <c r="C29" s="63">
        <v>65000</v>
      </c>
      <c r="D29" s="64">
        <f>C29*'0. Assumptions'!$C$9</f>
        <v>845000</v>
      </c>
    </row>
    <row r="30" ht="15" customHeight="1">
      <c r="B30" s="58" t="s">
        <v>212</v>
      </c>
      <c r="C30" s="59">
        <v>45000</v>
      </c>
      <c r="D30" s="60">
        <f>C30*'0. Assumptions'!$C$9</f>
        <v>585000</v>
      </c>
    </row>
    <row r="31" ht="15" customHeight="1">
      <c r="B31" s="62" t="s">
        <v>213</v>
      </c>
      <c r="C31" s="63">
        <v>25000</v>
      </c>
      <c r="D31" s="64">
        <f>C31*'0. Assumptions'!$C$9</f>
        <v>325000</v>
      </c>
    </row>
    <row r="32" ht="15" customHeight="1">
      <c r="B32" s="58" t="s">
        <v>214</v>
      </c>
      <c r="C32" s="59">
        <v>20000</v>
      </c>
      <c r="D32" s="60">
        <f>C32*'0. Assumptions'!$C$9</f>
        <v>260000</v>
      </c>
    </row>
    <row r="33" ht="15" customHeight="1">
      <c r="B33" s="62" t="s">
        <v>215</v>
      </c>
      <c r="C33" s="63">
        <v>30000</v>
      </c>
      <c r="D33" s="64">
        <f>C33*'0. Assumptions'!$C$9</f>
        <v>390000</v>
      </c>
    </row>
    <row r="34" ht="15" customHeight="1">
      <c r="B34" s="58" t="s">
        <v>216</v>
      </c>
      <c r="C34" s="59">
        <v>20000</v>
      </c>
      <c r="D34" s="60">
        <f>C34*'0. Assumptions'!$C$9</f>
        <v>260000</v>
      </c>
    </row>
    <row r="35" ht="15.75" customHeight="1">
      <c r="B35" s="72" t="s">
        <v>217</v>
      </c>
      <c r="C35" s="74">
        <f t="shared" si="0"/>
        <v>285000</v>
      </c>
      <c r="D35" s="75">
        <f>C35*'0. Assumptions'!$C$9</f>
        <v>3705000</v>
      </c>
    </row>
    <row r="36" ht="18" customHeight="1">
      <c r="A36" s="69" t="s">
        <v>218</v>
      </c>
      <c r="B36" s="69"/>
      <c r="C36" s="69"/>
      <c r="D36" s="69"/>
      <c r="E36" s="69"/>
    </row>
    <row r="37" ht="15" customHeight="1">
      <c r="B37" s="58" t="s">
        <v>219</v>
      </c>
      <c r="C37" s="59">
        <v>25000</v>
      </c>
      <c r="D37" s="60">
        <f>C37*'0. Assumptions'!$C$9</f>
        <v>325000</v>
      </c>
    </row>
    <row r="38" ht="15" customHeight="1">
      <c r="B38" s="62" t="s">
        <v>220</v>
      </c>
      <c r="C38" s="63">
        <v>35000</v>
      </c>
      <c r="D38" s="64">
        <f>C38*'0. Assumptions'!$C$9</f>
        <v>455000</v>
      </c>
    </row>
    <row r="39" ht="15" customHeight="1">
      <c r="B39" s="58" t="s">
        <v>221</v>
      </c>
      <c r="C39" s="59">
        <v>20000</v>
      </c>
      <c r="D39" s="60">
        <f>C39*'0. Assumptions'!$C$9</f>
        <v>260000</v>
      </c>
    </row>
    <row r="40" ht="15" customHeight="1">
      <c r="B40" s="62" t="s">
        <v>222</v>
      </c>
      <c r="C40" s="63">
        <v>30000</v>
      </c>
      <c r="D40" s="64">
        <f>C40*'0. Assumptions'!$C$9</f>
        <v>390000</v>
      </c>
    </row>
    <row r="41" ht="15" customHeight="1">
      <c r="B41" s="58" t="s">
        <v>223</v>
      </c>
      <c r="C41" s="59">
        <v>15000</v>
      </c>
      <c r="D41" s="60">
        <f>C41*'0. Assumptions'!$C$9</f>
        <v>195000</v>
      </c>
    </row>
    <row r="42" ht="15" customHeight="1">
      <c r="B42" s="62" t="s">
        <v>224</v>
      </c>
      <c r="C42" s="63">
        <v>18000</v>
      </c>
      <c r="D42" s="64">
        <f>C42*'0. Assumptions'!$C$9</f>
        <v>234000</v>
      </c>
    </row>
    <row r="43" ht="15.75" customHeight="1">
      <c r="B43" s="72" t="s">
        <v>225</v>
      </c>
      <c r="C43" s="74">
        <f>SUM(C37:C42)</f>
        <v>143000</v>
      </c>
      <c r="D43" s="75">
        <f>C43*'0. Assumptions'!$C$9</f>
        <v>1859000</v>
      </c>
    </row>
    <row r="44" ht="18" customHeight="1">
      <c r="A44" s="69" t="s">
        <v>226</v>
      </c>
      <c r="B44" s="69"/>
      <c r="C44" s="69"/>
      <c r="D44" s="69"/>
      <c r="E44" s="69"/>
    </row>
    <row r="45" ht="15" customHeight="1">
      <c r="B45" s="58" t="s">
        <v>227</v>
      </c>
      <c r="C45" s="59">
        <v>40000</v>
      </c>
      <c r="D45" s="60">
        <f>C45*'0. Assumptions'!$C$9</f>
        <v>520000</v>
      </c>
    </row>
    <row r="46" ht="15" customHeight="1">
      <c r="B46" s="62" t="s">
        <v>228</v>
      </c>
      <c r="C46" s="63">
        <v>25000</v>
      </c>
      <c r="D46" s="64">
        <f>C46*'0. Assumptions'!$C$9</f>
        <v>325000</v>
      </c>
    </row>
    <row r="47" ht="15" customHeight="1">
      <c r="B47" s="58" t="s">
        <v>229</v>
      </c>
      <c r="C47" s="59">
        <v>30000</v>
      </c>
      <c r="D47" s="60">
        <f>C47*'0. Assumptions'!$C$9</f>
        <v>390000</v>
      </c>
    </row>
    <row r="48" ht="15" customHeight="1">
      <c r="B48" s="62" t="s">
        <v>230</v>
      </c>
      <c r="C48" s="63">
        <v>18000</v>
      </c>
      <c r="D48" s="64">
        <f>C48*'0. Assumptions'!$C$9</f>
        <v>234000</v>
      </c>
    </row>
    <row r="49" ht="15.75" customHeight="1">
      <c r="B49" s="72" t="s">
        <v>231</v>
      </c>
      <c r="C49" s="74">
        <f>SUM(C45:C48)</f>
        <v>113000</v>
      </c>
      <c r="D49" s="75">
        <f>C49*'0. Assumptions'!$C$9</f>
        <v>1469000</v>
      </c>
    </row>
    <row r="50" ht="18" customHeight="1">
      <c r="A50" s="69" t="s">
        <v>232</v>
      </c>
      <c r="B50" s="69"/>
      <c r="C50" s="69"/>
      <c r="D50" s="69"/>
      <c r="E50" s="69"/>
    </row>
    <row r="51" ht="15" customHeight="1">
      <c r="B51" s="58" t="s">
        <v>233</v>
      </c>
      <c r="C51" s="59">
        <v>45000</v>
      </c>
      <c r="D51" s="60">
        <f>C51*'0. Assumptions'!$C$9</f>
        <v>585000</v>
      </c>
    </row>
    <row r="52" ht="15" customHeight="1">
      <c r="B52" s="62" t="s">
        <v>234</v>
      </c>
      <c r="C52" s="63">
        <v>22000</v>
      </c>
      <c r="D52" s="64">
        <f>C52*'0. Assumptions'!$C$9</f>
        <v>286000</v>
      </c>
    </row>
    <row r="53" ht="15" customHeight="1">
      <c r="B53" s="58" t="s">
        <v>235</v>
      </c>
      <c r="C53" s="59">
        <v>25000</v>
      </c>
      <c r="D53" s="60">
        <f>C53*'0. Assumptions'!$C$9</f>
        <v>325000</v>
      </c>
    </row>
    <row r="54" ht="15.75" customHeight="1">
      <c r="B54" s="72" t="s">
        <v>236</v>
      </c>
      <c r="C54" s="74">
        <f>SUM(C51:C53)</f>
        <v>92000</v>
      </c>
      <c r="D54" s="75">
        <f>C54*'0. Assumptions'!$C$9</f>
        <v>1196000</v>
      </c>
    </row>
    <row r="55" ht="18" customHeight="1">
      <c r="A55" s="69" t="s">
        <v>237</v>
      </c>
      <c r="B55" s="69"/>
      <c r="C55" s="69"/>
      <c r="D55" s="69"/>
      <c r="E55" s="69"/>
    </row>
    <row r="56" ht="15" customHeight="1">
      <c r="B56" s="58" t="s">
        <v>238</v>
      </c>
      <c r="C56" s="59">
        <v>80000</v>
      </c>
      <c r="D56" s="60">
        <f>C56*'0. Assumptions'!$C$9</f>
        <v>1040000</v>
      </c>
    </row>
    <row r="57" ht="15" customHeight="1">
      <c r="B57" s="62" t="s">
        <v>239</v>
      </c>
      <c r="C57" s="63">
        <v>40000</v>
      </c>
      <c r="D57" s="64">
        <f>C57*'0. Assumptions'!$C$9</f>
        <v>520000</v>
      </c>
    </row>
    <row r="58" ht="15" customHeight="1">
      <c r="B58" s="58" t="s">
        <v>240</v>
      </c>
      <c r="C58" s="59">
        <v>25000</v>
      </c>
      <c r="D58" s="60">
        <f>C58*'0. Assumptions'!$C$9</f>
        <v>325000</v>
      </c>
    </row>
    <row r="59" ht="15" customHeight="1">
      <c r="B59" s="62" t="s">
        <v>241</v>
      </c>
      <c r="C59" s="63">
        <v>20000</v>
      </c>
      <c r="D59" s="64">
        <f>C59*'0. Assumptions'!$C$9</f>
        <v>260000</v>
      </c>
    </row>
    <row r="60" ht="15" customHeight="1">
      <c r="B60" s="58" t="s">
        <v>242</v>
      </c>
      <c r="C60" s="59">
        <v>15000</v>
      </c>
      <c r="D60" s="60">
        <f>C60*'0. Assumptions'!$C$9</f>
        <v>195000</v>
      </c>
    </row>
    <row r="61" ht="15.75" customHeight="1">
      <c r="B61" s="72" t="s">
        <v>243</v>
      </c>
      <c r="C61" s="74">
        <f>SUM(C56:C60)</f>
        <v>180000</v>
      </c>
      <c r="D61" s="75">
        <f>C61*'0. Assumptions'!$C$9</f>
        <v>2340000</v>
      </c>
    </row>
    <row r="62" ht="21.75" customHeight="1">
      <c r="B62" s="66" t="s">
        <v>244</v>
      </c>
      <c r="C62" s="67">
        <f>C12+C26+C35+C43+C49+C54+C61</f>
        <v>2023000</v>
      </c>
      <c r="D62" s="67">
        <f>C62*'0. Assumptions'!$C$9</f>
        <v>26299000</v>
      </c>
    </row>
  </sheetData>
  <mergeCells>
    <mergeCell ref="A1:E1"/>
    <mergeCell ref="A4:E4"/>
    <mergeCell ref="A13:E13"/>
    <mergeCell ref="A27:E27"/>
    <mergeCell ref="A36:E36"/>
    <mergeCell ref="A44:E44"/>
    <mergeCell ref="A50:E50"/>
    <mergeCell ref="A55:E55"/>
  </mergeCells>
  <printOptions headings="1"/>
  <pageMargins left="0.75" right="0.75" top="1" bottom="1" header="0.51" footer="0.51"/>
  <pageSetup paperSize="9" pageOrder="downThenOver" orientation="portrai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E9AF6F8-9BF8-266A-7984-26E607C5D978}" mc:Ignorable="x14ac xr xr2 xr3">
  <dimension ref="A1:CV10000"/>
  <sheetViews>
    <sheetView topLeftCell="A31" workbookViewId="0">
      <selection activeCell="A1" sqref="A1"/>
    </sheetView>
  </sheetViews>
  <sheetFormatPr defaultRowHeight="15" defaultColWidth="8.7109375" customHeight="1"/>
  <cols>
    <col min="1" max="1" style="28" width="5.00390625" customWidth="1"/>
    <col min="2" max="2" style="28" width="45.00390625" customWidth="1"/>
    <col min="3" max="3" style="28" width="15.00390625" customWidth="1"/>
    <col min="4" max="4" style="28" width="10.00390625" customWidth="1"/>
    <col min="5" max="6" style="28" width="15.00390625" customWidth="1"/>
    <col min="7" max="7" style="28" width="5.00390625" customWidth="1"/>
  </cols>
  <sheetData>
    <row r="1" ht="27.75" customHeight="1">
      <c r="A1" s="68" t="s">
        <v>245</v>
      </c>
      <c r="B1" s="68"/>
      <c r="C1" s="68"/>
      <c r="D1" s="68"/>
      <c r="E1" s="68"/>
      <c r="F1" s="68"/>
      <c r="G1" s="68"/>
    </row>
    <row r="3" ht="19.5" customHeight="1">
      <c r="B3" s="57" t="s">
        <v>246</v>
      </c>
      <c r="C3" s="57" t="s">
        <v>247</v>
      </c>
      <c r="D3" s="57" t="s">
        <v>248</v>
      </c>
      <c r="E3" s="57" t="s">
        <v>117</v>
      </c>
      <c r="F3" s="57" t="s">
        <v>118</v>
      </c>
    </row>
    <row r="4" ht="18" customHeight="1">
      <c r="A4" s="69" t="s">
        <v>249</v>
      </c>
      <c r="B4" s="69"/>
      <c r="C4" s="69"/>
      <c r="D4" s="69"/>
      <c r="E4" s="69"/>
      <c r="F4" s="69"/>
      <c r="G4" s="69"/>
    </row>
    <row r="5" ht="15" customHeight="1">
      <c r="B5" s="58" t="s">
        <v>250</v>
      </c>
      <c r="C5" s="59">
        <v>15000</v>
      </c>
      <c r="D5" s="59">
        <v>18</v>
      </c>
      <c r="E5" s="70">
        <f t="shared" si="0" ref="E5:E48">C5*D5</f>
        <v>270000</v>
      </c>
      <c r="F5" s="60">
        <f>E5*'0. Assumptions'!$C$9</f>
        <v>3510000</v>
      </c>
    </row>
    <row r="6" ht="15" customHeight="1">
      <c r="B6" s="62" t="s">
        <v>251</v>
      </c>
      <c r="C6" s="63">
        <v>1800</v>
      </c>
      <c r="D6" s="63">
        <v>18</v>
      </c>
      <c r="E6" s="71">
        <f t="shared" si="0"/>
        <v>32400</v>
      </c>
      <c r="F6" s="64">
        <f>E6*'0. Assumptions'!$C$9</f>
        <v>421200</v>
      </c>
    </row>
    <row r="7" ht="15" customHeight="1">
      <c r="B7" s="58" t="s">
        <v>252</v>
      </c>
      <c r="C7" s="59">
        <v>4000</v>
      </c>
      <c r="D7" s="59">
        <v>18</v>
      </c>
      <c r="E7" s="70">
        <f t="shared" si="0"/>
        <v>72000</v>
      </c>
      <c r="F7" s="60">
        <f>E7*'0. Assumptions'!$C$9</f>
        <v>936000</v>
      </c>
    </row>
    <row r="8" ht="15" customHeight="1">
      <c r="B8" s="62" t="s">
        <v>253</v>
      </c>
      <c r="C8" s="63">
        <v>1200</v>
      </c>
      <c r="D8" s="63">
        <v>18</v>
      </c>
      <c r="E8" s="71">
        <f t="shared" si="0"/>
        <v>21600</v>
      </c>
      <c r="F8" s="64">
        <f>E8*'0. Assumptions'!$C$9</f>
        <v>280800</v>
      </c>
    </row>
    <row r="9" ht="15" customHeight="1">
      <c r="B9" s="58" t="s">
        <v>254</v>
      </c>
      <c r="C9" s="59">
        <v>25000</v>
      </c>
      <c r="D9" s="59">
        <v>1</v>
      </c>
      <c r="E9" s="70">
        <f t="shared" si="0"/>
        <v>25000</v>
      </c>
      <c r="F9" s="60">
        <f>E9*'0. Assumptions'!$C$9</f>
        <v>325000</v>
      </c>
    </row>
    <row r="10" ht="15" customHeight="1">
      <c r="B10" s="62" t="s">
        <v>255</v>
      </c>
      <c r="C10" s="63">
        <v>8000</v>
      </c>
      <c r="D10" s="63">
        <v>1</v>
      </c>
      <c r="E10" s="71">
        <f t="shared" si="0"/>
        <v>8000</v>
      </c>
      <c r="F10" s="64">
        <f>E10*'0. Assumptions'!$C$9</f>
        <v>104000</v>
      </c>
    </row>
    <row r="11" ht="15" customHeight="1">
      <c r="B11" s="58" t="s">
        <v>256</v>
      </c>
      <c r="C11" s="59">
        <v>1000</v>
      </c>
      <c r="D11" s="59">
        <v>18</v>
      </c>
      <c r="E11" s="70">
        <f t="shared" si="0"/>
        <v>18000</v>
      </c>
      <c r="F11" s="60">
        <f>E11*'0. Assumptions'!$C$9</f>
        <v>234000</v>
      </c>
    </row>
    <row r="12" ht="15" customHeight="1">
      <c r="B12" s="62" t="s">
        <v>257</v>
      </c>
      <c r="C12" s="63">
        <v>1500</v>
      </c>
      <c r="D12" s="63">
        <v>18</v>
      </c>
      <c r="E12" s="71">
        <f t="shared" si="0"/>
        <v>27000</v>
      </c>
      <c r="F12" s="64">
        <f>E12*'0. Assumptions'!$C$9</f>
        <v>351000</v>
      </c>
    </row>
    <row r="13" ht="15.75" customHeight="1">
      <c r="B13" s="72" t="s">
        <v>258</v>
      </c>
      <c r="C13" s="73"/>
      <c r="D13" s="73"/>
      <c r="E13" s="74">
        <f t="shared" si="2" ref="E13:E49">SUM(E5:E12)</f>
        <v>474000</v>
      </c>
      <c r="F13" s="75">
        <f>E13*'0. Assumptions'!$C$9</f>
        <v>6162000</v>
      </c>
    </row>
    <row r="14" ht="18" customHeight="1">
      <c r="A14" s="69" t="s">
        <v>259</v>
      </c>
      <c r="B14" s="69"/>
      <c r="C14" s="69"/>
      <c r="D14" s="69"/>
      <c r="E14" s="69"/>
      <c r="F14" s="69"/>
      <c r="G14" s="69"/>
    </row>
    <row r="15" ht="15" customHeight="1">
      <c r="B15" s="58" t="s">
        <v>260</v>
      </c>
      <c r="C15" s="59">
        <v>3500</v>
      </c>
      <c r="D15" s="59">
        <v>18</v>
      </c>
      <c r="E15" s="70">
        <f t="shared" si="0"/>
        <v>63000</v>
      </c>
      <c r="F15" s="60">
        <f>E15*'0. Assumptions'!$C$9</f>
        <v>819000</v>
      </c>
    </row>
    <row r="16" ht="15" customHeight="1">
      <c r="B16" s="62" t="s">
        <v>261</v>
      </c>
      <c r="C16" s="63">
        <v>1800</v>
      </c>
      <c r="D16" s="63">
        <v>18</v>
      </c>
      <c r="E16" s="71">
        <f t="shared" si="0"/>
        <v>32400</v>
      </c>
      <c r="F16" s="64">
        <f>E16*'0. Assumptions'!$C$9</f>
        <v>421200</v>
      </c>
    </row>
    <row r="17" ht="15" customHeight="1">
      <c r="B17" s="58" t="s">
        <v>262</v>
      </c>
      <c r="C17" s="59">
        <v>600</v>
      </c>
      <c r="D17" s="59">
        <v>18</v>
      </c>
      <c r="E17" s="70">
        <f t="shared" si="0"/>
        <v>10800</v>
      </c>
      <c r="F17" s="60">
        <f>E17*'0. Assumptions'!$C$9</f>
        <v>140400</v>
      </c>
    </row>
    <row r="18" ht="15" customHeight="1">
      <c r="B18" s="62" t="s">
        <v>263</v>
      </c>
      <c r="C18" s="63">
        <v>400</v>
      </c>
      <c r="D18" s="63">
        <v>18</v>
      </c>
      <c r="E18" s="71">
        <f t="shared" si="0"/>
        <v>7200</v>
      </c>
      <c r="F18" s="64">
        <f>E18*'0. Assumptions'!$C$9</f>
        <v>93600</v>
      </c>
    </row>
    <row r="19" ht="15" customHeight="1">
      <c r="B19" s="58" t="s">
        <v>264</v>
      </c>
      <c r="C19" s="59">
        <v>350</v>
      </c>
      <c r="D19" s="59">
        <v>18</v>
      </c>
      <c r="E19" s="70">
        <f t="shared" si="0"/>
        <v>6300</v>
      </c>
      <c r="F19" s="60">
        <f>E19*'0. Assumptions'!$C$9</f>
        <v>81900</v>
      </c>
    </row>
    <row r="20" ht="15" customHeight="1">
      <c r="B20" s="62" t="s">
        <v>265</v>
      </c>
      <c r="C20" s="63">
        <v>500</v>
      </c>
      <c r="D20" s="63">
        <v>18</v>
      </c>
      <c r="E20" s="71">
        <f t="shared" si="0"/>
        <v>9000</v>
      </c>
      <c r="F20" s="64">
        <f>E20*'0. Assumptions'!$C$9</f>
        <v>117000</v>
      </c>
    </row>
    <row r="21" ht="15" customHeight="1">
      <c r="B21" s="58" t="s">
        <v>266</v>
      </c>
      <c r="C21" s="59">
        <v>800</v>
      </c>
      <c r="D21" s="59">
        <v>18</v>
      </c>
      <c r="E21" s="70">
        <f t="shared" si="0"/>
        <v>14400</v>
      </c>
      <c r="F21" s="60">
        <f>E21*'0. Assumptions'!$C$9</f>
        <v>187200</v>
      </c>
    </row>
    <row r="22" ht="15" customHeight="1">
      <c r="B22" s="62" t="s">
        <v>267</v>
      </c>
      <c r="C22" s="63">
        <v>200</v>
      </c>
      <c r="D22" s="63">
        <v>18</v>
      </c>
      <c r="E22" s="71">
        <f t="shared" si="0"/>
        <v>3600</v>
      </c>
      <c r="F22" s="64">
        <f>E22*'0. Assumptions'!$C$9</f>
        <v>46800</v>
      </c>
    </row>
    <row r="23" ht="15" customHeight="1">
      <c r="B23" s="58" t="s">
        <v>268</v>
      </c>
      <c r="C23" s="59">
        <v>900</v>
      </c>
      <c r="D23" s="59">
        <v>18</v>
      </c>
      <c r="E23" s="70">
        <f t="shared" si="0"/>
        <v>16200</v>
      </c>
      <c r="F23" s="60">
        <f>E23*'0. Assumptions'!$C$9</f>
        <v>210600</v>
      </c>
    </row>
    <row r="24" ht="15" customHeight="1">
      <c r="B24" s="62" t="s">
        <v>269</v>
      </c>
      <c r="C24" s="63">
        <v>1200</v>
      </c>
      <c r="D24" s="63">
        <v>18</v>
      </c>
      <c r="E24" s="71">
        <f t="shared" si="0"/>
        <v>21600</v>
      </c>
      <c r="F24" s="64">
        <f>E24*'0. Assumptions'!$C$9</f>
        <v>280800</v>
      </c>
    </row>
    <row r="25" ht="15" customHeight="1">
      <c r="B25" s="58" t="s">
        <v>270</v>
      </c>
      <c r="C25" s="59">
        <v>2500</v>
      </c>
      <c r="D25" s="59">
        <v>18</v>
      </c>
      <c r="E25" s="70">
        <f t="shared" si="0"/>
        <v>45000</v>
      </c>
      <c r="F25" s="60">
        <f>E25*'0. Assumptions'!$C$9</f>
        <v>585000</v>
      </c>
    </row>
    <row r="26" ht="15.75" customHeight="1">
      <c r="B26" s="72" t="s">
        <v>271</v>
      </c>
      <c r="C26" s="73"/>
      <c r="D26" s="73"/>
      <c r="E26" s="74">
        <f t="shared" si="1" ref="E26:E39">SUM(E15:E25)</f>
        <v>229500</v>
      </c>
      <c r="F26" s="75">
        <f>E26*'0. Assumptions'!$C$9</f>
        <v>2983500</v>
      </c>
    </row>
    <row r="27" ht="18" customHeight="1">
      <c r="A27" s="69" t="s">
        <v>272</v>
      </c>
      <c r="B27" s="69"/>
      <c r="C27" s="69"/>
      <c r="D27" s="69"/>
      <c r="E27" s="69"/>
      <c r="F27" s="69"/>
      <c r="G27" s="69"/>
    </row>
    <row r="28" ht="15" customHeight="1">
      <c r="B28" s="58" t="s">
        <v>273</v>
      </c>
      <c r="C28" s="59">
        <v>3000</v>
      </c>
      <c r="D28" s="59">
        <v>1</v>
      </c>
      <c r="E28" s="70">
        <f t="shared" si="0"/>
        <v>3000</v>
      </c>
      <c r="F28" s="60">
        <f>E28*'0. Assumptions'!$C$9</f>
        <v>39000</v>
      </c>
    </row>
    <row r="29" ht="15" customHeight="1">
      <c r="B29" s="62" t="s">
        <v>274</v>
      </c>
      <c r="C29" s="63">
        <v>2500</v>
      </c>
      <c r="D29" s="63">
        <v>1</v>
      </c>
      <c r="E29" s="71">
        <f t="shared" si="0"/>
        <v>2500</v>
      </c>
      <c r="F29" s="64">
        <f>E29*'0. Assumptions'!$C$9</f>
        <v>32500</v>
      </c>
    </row>
    <row r="30" ht="15" customHeight="1">
      <c r="B30" s="58" t="s">
        <v>275</v>
      </c>
      <c r="C30" s="59">
        <v>1200</v>
      </c>
      <c r="D30" s="59">
        <v>1</v>
      </c>
      <c r="E30" s="70">
        <f t="shared" si="0"/>
        <v>1200</v>
      </c>
      <c r="F30" s="60">
        <f>E30*'0. Assumptions'!$C$9</f>
        <v>15600</v>
      </c>
    </row>
    <row r="31" ht="15" customHeight="1">
      <c r="B31" s="62" t="s">
        <v>276</v>
      </c>
      <c r="C31" s="63">
        <v>1500</v>
      </c>
      <c r="D31" s="63">
        <v>1</v>
      </c>
      <c r="E31" s="71">
        <f t="shared" si="0"/>
        <v>1500</v>
      </c>
      <c r="F31" s="64">
        <f>E31*'0. Assumptions'!$C$9</f>
        <v>19500</v>
      </c>
    </row>
    <row r="32" ht="15" customHeight="1">
      <c r="B32" s="58" t="s">
        <v>277</v>
      </c>
      <c r="C32" s="59">
        <v>1000</v>
      </c>
      <c r="D32" s="59">
        <v>1</v>
      </c>
      <c r="E32" s="70">
        <f t="shared" si="0"/>
        <v>1000</v>
      </c>
      <c r="F32" s="60">
        <f>E32*'0. Assumptions'!$C$9</f>
        <v>13000</v>
      </c>
    </row>
    <row r="33" ht="15" customHeight="1">
      <c r="B33" s="62" t="s">
        <v>278</v>
      </c>
      <c r="C33" s="63">
        <v>4800</v>
      </c>
      <c r="D33" s="63">
        <v>1</v>
      </c>
      <c r="E33" s="71">
        <f t="shared" si="0"/>
        <v>4800</v>
      </c>
      <c r="F33" s="64">
        <f>E33*'0. Assumptions'!$C$9</f>
        <v>62400</v>
      </c>
    </row>
    <row r="34" ht="15" customHeight="1">
      <c r="B34" s="58" t="s">
        <v>279</v>
      </c>
      <c r="C34" s="59">
        <v>1200</v>
      </c>
      <c r="D34" s="59">
        <v>1</v>
      </c>
      <c r="E34" s="70">
        <f t="shared" si="0"/>
        <v>1200</v>
      </c>
      <c r="F34" s="60">
        <f>E34*'0. Assumptions'!$C$9</f>
        <v>15600</v>
      </c>
    </row>
    <row r="35" ht="15" customHeight="1">
      <c r="B35" s="62" t="s">
        <v>280</v>
      </c>
      <c r="C35" s="63">
        <v>4200</v>
      </c>
      <c r="D35" s="63">
        <v>1</v>
      </c>
      <c r="E35" s="71">
        <f t="shared" si="0"/>
        <v>4200</v>
      </c>
      <c r="F35" s="64">
        <f>E35*'0. Assumptions'!$C$9</f>
        <v>54600</v>
      </c>
    </row>
    <row r="36" ht="15" customHeight="1">
      <c r="B36" s="58" t="s">
        <v>281</v>
      </c>
      <c r="C36" s="59">
        <v>2500</v>
      </c>
      <c r="D36" s="59">
        <v>1</v>
      </c>
      <c r="E36" s="70">
        <f t="shared" si="0"/>
        <v>2500</v>
      </c>
      <c r="F36" s="60">
        <f>E36*'0. Assumptions'!$C$9</f>
        <v>32500</v>
      </c>
    </row>
    <row r="37" ht="15" customHeight="1">
      <c r="B37" s="62" t="s">
        <v>282</v>
      </c>
      <c r="C37" s="63">
        <v>1500</v>
      </c>
      <c r="D37" s="63">
        <v>1</v>
      </c>
      <c r="E37" s="71">
        <f t="shared" si="0"/>
        <v>1500</v>
      </c>
      <c r="F37" s="64">
        <f>E37*'0. Assumptions'!$C$9</f>
        <v>19500</v>
      </c>
    </row>
    <row r="38" ht="15" customHeight="1">
      <c r="B38" s="58" t="s">
        <v>283</v>
      </c>
      <c r="C38" s="59">
        <v>5400</v>
      </c>
      <c r="D38" s="59">
        <v>1</v>
      </c>
      <c r="E38" s="70">
        <f t="shared" si="0"/>
        <v>5400</v>
      </c>
      <c r="F38" s="60">
        <f>E38*'0. Assumptions'!$C$9</f>
        <v>70200</v>
      </c>
    </row>
    <row r="39" ht="15.75" customHeight="1">
      <c r="B39" s="72" t="s">
        <v>284</v>
      </c>
      <c r="C39" s="73"/>
      <c r="D39" s="73"/>
      <c r="E39" s="74">
        <f t="shared" si="1"/>
        <v>28800</v>
      </c>
      <c r="F39" s="75">
        <f>E39*'0. Assumptions'!$C$9</f>
        <v>374400</v>
      </c>
    </row>
    <row r="40" ht="18" customHeight="1">
      <c r="A40" s="69" t="s">
        <v>285</v>
      </c>
      <c r="B40" s="69"/>
      <c r="C40" s="69"/>
      <c r="D40" s="69"/>
      <c r="E40" s="69"/>
      <c r="F40" s="69"/>
      <c r="G40" s="69"/>
    </row>
    <row r="41" ht="15" customHeight="1">
      <c r="B41" s="58" t="s">
        <v>286</v>
      </c>
      <c r="C41" s="59">
        <v>1500</v>
      </c>
      <c r="D41" s="59">
        <v>18</v>
      </c>
      <c r="E41" s="70">
        <f t="shared" si="0"/>
        <v>27000</v>
      </c>
      <c r="F41" s="60">
        <f>E41*'0. Assumptions'!$C$9</f>
        <v>351000</v>
      </c>
    </row>
    <row r="42" ht="15" customHeight="1">
      <c r="B42" s="62" t="s">
        <v>287</v>
      </c>
      <c r="C42" s="63">
        <v>2000</v>
      </c>
      <c r="D42" s="63">
        <v>18</v>
      </c>
      <c r="E42" s="71">
        <f t="shared" si="0"/>
        <v>36000</v>
      </c>
      <c r="F42" s="64">
        <f>E42*'0. Assumptions'!$C$9</f>
        <v>468000</v>
      </c>
    </row>
    <row r="43" ht="15" customHeight="1">
      <c r="B43" s="58" t="s">
        <v>288</v>
      </c>
      <c r="C43" s="59">
        <v>1200</v>
      </c>
      <c r="D43" s="59">
        <v>18</v>
      </c>
      <c r="E43" s="70">
        <f t="shared" si="0"/>
        <v>21600</v>
      </c>
      <c r="F43" s="60">
        <f>E43*'0. Assumptions'!$C$9</f>
        <v>280800</v>
      </c>
    </row>
    <row r="44" ht="15" customHeight="1">
      <c r="B44" s="62" t="s">
        <v>289</v>
      </c>
      <c r="C44" s="63">
        <v>800</v>
      </c>
      <c r="D44" s="63">
        <v>18</v>
      </c>
      <c r="E44" s="71">
        <f t="shared" si="0"/>
        <v>14400</v>
      </c>
      <c r="F44" s="64">
        <f>E44*'0. Assumptions'!$C$9</f>
        <v>187200</v>
      </c>
    </row>
    <row r="45" ht="15" customHeight="1">
      <c r="B45" s="58" t="s">
        <v>290</v>
      </c>
      <c r="C45" s="59">
        <v>500</v>
      </c>
      <c r="D45" s="59">
        <v>18</v>
      </c>
      <c r="E45" s="70">
        <f t="shared" si="0"/>
        <v>9000</v>
      </c>
      <c r="F45" s="60">
        <f>E45*'0. Assumptions'!$C$9</f>
        <v>117000</v>
      </c>
    </row>
    <row r="46" ht="15" customHeight="1">
      <c r="B46" s="62" t="s">
        <v>291</v>
      </c>
      <c r="C46" s="63">
        <v>200</v>
      </c>
      <c r="D46" s="63">
        <v>18</v>
      </c>
      <c r="E46" s="71">
        <f t="shared" si="0"/>
        <v>3600</v>
      </c>
      <c r="F46" s="64">
        <f>E46*'0. Assumptions'!$C$9</f>
        <v>46800</v>
      </c>
    </row>
    <row r="47" ht="15" customHeight="1">
      <c r="B47" s="58" t="s">
        <v>292</v>
      </c>
      <c r="C47" s="59">
        <v>600</v>
      </c>
      <c r="D47" s="59">
        <v>18</v>
      </c>
      <c r="E47" s="70">
        <f t="shared" si="0"/>
        <v>10800</v>
      </c>
      <c r="F47" s="60">
        <f>E47*'0. Assumptions'!$C$9</f>
        <v>140400</v>
      </c>
    </row>
    <row r="48" ht="15" customHeight="1">
      <c r="B48" s="62" t="s">
        <v>293</v>
      </c>
      <c r="C48" s="63">
        <v>3000</v>
      </c>
      <c r="D48" s="63">
        <v>1</v>
      </c>
      <c r="E48" s="71">
        <f t="shared" si="0"/>
        <v>3000</v>
      </c>
      <c r="F48" s="64">
        <f>E48*'0. Assumptions'!$C$9</f>
        <v>39000</v>
      </c>
    </row>
    <row r="49" ht="15.75" customHeight="1">
      <c r="B49" s="72" t="s">
        <v>294</v>
      </c>
      <c r="C49" s="73"/>
      <c r="D49" s="73"/>
      <c r="E49" s="74">
        <f t="shared" si="2"/>
        <v>125400</v>
      </c>
      <c r="F49" s="75">
        <f>E49*'0. Assumptions'!$C$9</f>
        <v>1630200</v>
      </c>
    </row>
    <row r="50" ht="21.75" customHeight="1">
      <c r="B50" s="79" t="s">
        <v>295</v>
      </c>
      <c r="C50" s="79"/>
      <c r="D50" s="79"/>
      <c r="E50" s="67">
        <f>E13+E26+E39+E49</f>
        <v>857700</v>
      </c>
      <c r="F50" s="67">
        <f>E50*'0. Assumptions'!$C$9</f>
        <v>11150100</v>
      </c>
    </row>
  </sheetData>
  <mergeCells>
    <mergeCell ref="A1:G1"/>
    <mergeCell ref="A4:G4"/>
    <mergeCell ref="A14:G14"/>
    <mergeCell ref="A27:G27"/>
    <mergeCell ref="A40:G40"/>
    <mergeCell ref="B50:D50"/>
  </mergeCells>
  <printOptions headings="1"/>
  <pageMargins left="0.75" right="0.75" top="1" bottom="1" header="0.51" footer="0.51"/>
  <pageSetup paperSize="9" pageOrder="downThenOver" orientation="portrai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1AD89FC-C7C8-E908-BE0C-74DDDCF16D63}" mc:Ignorable="x14ac xr xr2 xr3">
  <dimension ref="A1:CV10000"/>
  <sheetViews>
    <sheetView topLeftCell="A90" workbookViewId="0">
      <selection activeCell="A1" sqref="A1"/>
    </sheetView>
  </sheetViews>
  <sheetFormatPr defaultRowHeight="15" defaultColWidth="8.7109375" customHeight="1"/>
  <cols>
    <col min="1" max="1" style="28" width="5.00390625" customWidth="1"/>
    <col min="2" max="2" style="28" width="50.00390625" customWidth="1"/>
    <col min="3" max="3" style="28" width="15.00390625" customWidth="1"/>
    <col min="4" max="4" style="28" width="10.00390625" customWidth="1"/>
    <col min="5" max="6" style="28" width="15.00390625" customWidth="1"/>
    <col min="7" max="7" style="28" width="5.00390625" customWidth="1"/>
  </cols>
  <sheetData>
    <row r="1" ht="27.75" customHeight="1">
      <c r="A1" s="81" t="s">
        <v>296</v>
      </c>
      <c r="B1" s="81"/>
      <c r="C1" s="81"/>
      <c r="D1" s="81"/>
      <c r="E1" s="81"/>
      <c r="F1" s="81"/>
      <c r="G1" s="81"/>
    </row>
    <row r="3" ht="19.5" customHeight="1">
      <c r="B3" s="57" t="s">
        <v>297</v>
      </c>
      <c r="C3" s="57" t="s">
        <v>247</v>
      </c>
      <c r="D3" s="57" t="s">
        <v>298</v>
      </c>
      <c r="E3" s="57" t="s">
        <v>117</v>
      </c>
      <c r="F3" s="57" t="s">
        <v>118</v>
      </c>
    </row>
    <row r="4" ht="18" customHeight="1">
      <c r="A4" s="69" t="s">
        <v>299</v>
      </c>
      <c r="B4" s="69"/>
      <c r="C4" s="69"/>
      <c r="D4" s="69"/>
      <c r="E4" s="69"/>
      <c r="F4" s="69"/>
      <c r="G4" s="69"/>
    </row>
    <row r="5" ht="15" customHeight="1">
      <c r="B5" s="58" t="s">
        <v>300</v>
      </c>
      <c r="C5" s="59">
        <v>350</v>
      </c>
      <c r="D5" s="59">
        <v>120</v>
      </c>
      <c r="E5" s="70">
        <f t="shared" si="0" ref="E5:E108">C5*D5</f>
        <v>42000</v>
      </c>
      <c r="F5" s="60">
        <f>E5*'0. Assumptions'!$C$9</f>
        <v>546000</v>
      </c>
    </row>
    <row r="6" ht="15" customHeight="1">
      <c r="B6" s="62" t="s">
        <v>301</v>
      </c>
      <c r="C6" s="63">
        <v>30</v>
      </c>
      <c r="D6" s="63">
        <v>120</v>
      </c>
      <c r="E6" s="71">
        <f t="shared" si="0"/>
        <v>3600</v>
      </c>
      <c r="F6" s="64">
        <f>E6*'0. Assumptions'!$C$9</f>
        <v>46800</v>
      </c>
    </row>
    <row r="7" ht="15" customHeight="1">
      <c r="B7" s="58" t="s">
        <v>302</v>
      </c>
      <c r="C7" s="59">
        <v>280</v>
      </c>
      <c r="D7" s="59">
        <v>80</v>
      </c>
      <c r="E7" s="70">
        <f t="shared" si="0"/>
        <v>22400</v>
      </c>
      <c r="F7" s="60">
        <f>E7*'0. Assumptions'!$C$9</f>
        <v>291200</v>
      </c>
    </row>
    <row r="8" ht="15" customHeight="1">
      <c r="B8" s="62" t="s">
        <v>303</v>
      </c>
      <c r="C8" s="63">
        <v>450</v>
      </c>
      <c r="D8" s="63">
        <v>20</v>
      </c>
      <c r="E8" s="71">
        <f t="shared" si="0"/>
        <v>9000</v>
      </c>
      <c r="F8" s="64">
        <f>E8*'0. Assumptions'!$C$9</f>
        <v>117000</v>
      </c>
    </row>
    <row r="9" ht="15" customHeight="1">
      <c r="B9" s="58" t="s">
        <v>304</v>
      </c>
      <c r="C9" s="59">
        <v>600</v>
      </c>
      <c r="D9" s="59">
        <v>1</v>
      </c>
      <c r="E9" s="70">
        <f t="shared" si="0"/>
        <v>600</v>
      </c>
      <c r="F9" s="60">
        <f>E9*'0. Assumptions'!$C$9</f>
        <v>7800</v>
      </c>
    </row>
    <row r="10" ht="15" customHeight="1">
      <c r="B10" s="62" t="s">
        <v>305</v>
      </c>
      <c r="C10" s="63">
        <v>1200</v>
      </c>
      <c r="D10" s="63">
        <v>30</v>
      </c>
      <c r="E10" s="71">
        <f t="shared" si="0"/>
        <v>36000</v>
      </c>
      <c r="F10" s="64">
        <f>E10*'0. Assumptions'!$C$9</f>
        <v>468000</v>
      </c>
    </row>
    <row r="11" ht="15" customHeight="1">
      <c r="B11" s="58" t="s">
        <v>306</v>
      </c>
      <c r="C11" s="59">
        <v>200</v>
      </c>
      <c r="D11" s="59">
        <v>30</v>
      </c>
      <c r="E11" s="70">
        <f t="shared" si="0"/>
        <v>6000</v>
      </c>
      <c r="F11" s="60">
        <f>E11*'0. Assumptions'!$C$9</f>
        <v>78000</v>
      </c>
    </row>
    <row r="12" ht="15" customHeight="1">
      <c r="B12" s="62" t="s">
        <v>307</v>
      </c>
      <c r="C12" s="63">
        <v>150</v>
      </c>
      <c r="D12" s="63">
        <v>50</v>
      </c>
      <c r="E12" s="71">
        <f t="shared" si="0"/>
        <v>7500</v>
      </c>
      <c r="F12" s="64">
        <f>E12*'0. Assumptions'!$C$9</f>
        <v>97500</v>
      </c>
    </row>
    <row r="13" ht="15" customHeight="1">
      <c r="B13" s="58" t="s">
        <v>308</v>
      </c>
      <c r="C13" s="59">
        <v>80</v>
      </c>
      <c r="D13" s="59">
        <v>80</v>
      </c>
      <c r="E13" s="70">
        <f t="shared" si="0"/>
        <v>6400</v>
      </c>
      <c r="F13" s="60">
        <f>E13*'0. Assumptions'!$C$9</f>
        <v>83200</v>
      </c>
    </row>
    <row r="14" ht="15" customHeight="1">
      <c r="B14" s="62" t="s">
        <v>309</v>
      </c>
      <c r="C14" s="63">
        <v>1200</v>
      </c>
      <c r="D14" s="63">
        <v>25</v>
      </c>
      <c r="E14" s="71">
        <f t="shared" si="0"/>
        <v>30000</v>
      </c>
      <c r="F14" s="64">
        <f>E14*'0. Assumptions'!$C$9</f>
        <v>390000</v>
      </c>
    </row>
    <row r="15" ht="15" customHeight="1">
      <c r="B15" s="58" t="s">
        <v>310</v>
      </c>
      <c r="C15" s="59">
        <v>1000</v>
      </c>
      <c r="D15" s="59">
        <v>20</v>
      </c>
      <c r="E15" s="70">
        <f t="shared" si="0"/>
        <v>20000</v>
      </c>
      <c r="F15" s="60">
        <f>E15*'0. Assumptions'!$C$9</f>
        <v>260000</v>
      </c>
    </row>
    <row r="16" ht="15" customHeight="1">
      <c r="B16" s="62" t="s">
        <v>311</v>
      </c>
      <c r="C16" s="63">
        <v>350</v>
      </c>
      <c r="D16" s="63">
        <v>15</v>
      </c>
      <c r="E16" s="71">
        <f t="shared" si="0"/>
        <v>5250</v>
      </c>
      <c r="F16" s="64">
        <f>E16*'0. Assumptions'!$C$9</f>
        <v>68250</v>
      </c>
    </row>
    <row r="17" ht="15" customHeight="1">
      <c r="B17" s="58" t="s">
        <v>312</v>
      </c>
      <c r="C17" s="59">
        <v>800</v>
      </c>
      <c r="D17" s="59">
        <v>10</v>
      </c>
      <c r="E17" s="70">
        <f t="shared" si="0"/>
        <v>8000</v>
      </c>
      <c r="F17" s="60">
        <f>E17*'0. Assumptions'!$C$9</f>
        <v>104000</v>
      </c>
    </row>
    <row r="18" ht="15" customHeight="1">
      <c r="B18" s="62" t="s">
        <v>313</v>
      </c>
      <c r="C18" s="63">
        <v>5000</v>
      </c>
      <c r="D18" s="63">
        <v>2</v>
      </c>
      <c r="E18" s="71">
        <f t="shared" si="0"/>
        <v>10000</v>
      </c>
      <c r="F18" s="64">
        <f>E18*'0. Assumptions'!$C$9</f>
        <v>130000</v>
      </c>
    </row>
    <row r="19" ht="15" customHeight="1">
      <c r="B19" s="58" t="s">
        <v>314</v>
      </c>
      <c r="C19" s="59">
        <v>800</v>
      </c>
      <c r="D19" s="59">
        <v>5</v>
      </c>
      <c r="E19" s="70">
        <f t="shared" si="0"/>
        <v>4000</v>
      </c>
      <c r="F19" s="60">
        <f>E19*'0. Assumptions'!$C$9</f>
        <v>52000</v>
      </c>
    </row>
    <row r="20" ht="15" customHeight="1">
      <c r="B20" s="62" t="s">
        <v>315</v>
      </c>
      <c r="C20" s="63">
        <v>8000</v>
      </c>
      <c r="D20" s="63">
        <v>1</v>
      </c>
      <c r="E20" s="71">
        <f t="shared" si="0"/>
        <v>8000</v>
      </c>
      <c r="F20" s="64">
        <f>E20*'0. Assumptions'!$C$9</f>
        <v>104000</v>
      </c>
    </row>
    <row r="21" ht="15.75" customHeight="1">
      <c r="B21" s="72" t="s">
        <v>316</v>
      </c>
      <c r="C21" s="73"/>
      <c r="D21" s="73"/>
      <c r="E21" s="74">
        <f>SUM(E5:E20)</f>
        <v>218750</v>
      </c>
      <c r="F21" s="75">
        <f>E21*'0. Assumptions'!$C$9</f>
        <v>2843750</v>
      </c>
    </row>
    <row r="22" ht="18" customHeight="1">
      <c r="A22" s="69" t="s">
        <v>317</v>
      </c>
      <c r="B22" s="69"/>
      <c r="C22" s="69"/>
      <c r="D22" s="69"/>
      <c r="E22" s="69"/>
      <c r="F22" s="69"/>
      <c r="G22" s="69"/>
    </row>
    <row r="23" ht="15" customHeight="1">
      <c r="B23" s="58" t="s">
        <v>318</v>
      </c>
      <c r="C23" s="59">
        <v>45000</v>
      </c>
      <c r="D23" s="59">
        <v>1</v>
      </c>
      <c r="E23" s="70">
        <f t="shared" si="0"/>
        <v>45000</v>
      </c>
      <c r="F23" s="60">
        <f>E23*'0. Assumptions'!$C$9</f>
        <v>585000</v>
      </c>
    </row>
    <row r="24" ht="15" customHeight="1">
      <c r="B24" s="62" t="s">
        <v>319</v>
      </c>
      <c r="C24" s="63">
        <v>40000</v>
      </c>
      <c r="D24" s="63">
        <v>1</v>
      </c>
      <c r="E24" s="71">
        <f t="shared" si="0"/>
        <v>40000</v>
      </c>
      <c r="F24" s="64">
        <f>E24*'0. Assumptions'!$C$9</f>
        <v>520000</v>
      </c>
    </row>
    <row r="25" ht="15" customHeight="1">
      <c r="B25" s="58" t="s">
        <v>320</v>
      </c>
      <c r="C25" s="59">
        <v>45000</v>
      </c>
      <c r="D25" s="59">
        <v>1</v>
      </c>
      <c r="E25" s="70">
        <f t="shared" si="0"/>
        <v>45000</v>
      </c>
      <c r="F25" s="60">
        <f>E25*'0. Assumptions'!$C$9</f>
        <v>585000</v>
      </c>
    </row>
    <row r="26" ht="15" customHeight="1">
      <c r="B26" s="62" t="s">
        <v>321</v>
      </c>
      <c r="C26" s="63">
        <v>38000</v>
      </c>
      <c r="D26" s="63">
        <v>1</v>
      </c>
      <c r="E26" s="71">
        <f t="shared" si="0"/>
        <v>38000</v>
      </c>
      <c r="F26" s="64">
        <f>E26*'0. Assumptions'!$C$9</f>
        <v>494000</v>
      </c>
    </row>
    <row r="27" ht="15" customHeight="1">
      <c r="B27" s="58" t="s">
        <v>322</v>
      </c>
      <c r="C27" s="59">
        <v>32000</v>
      </c>
      <c r="D27" s="59">
        <v>1</v>
      </c>
      <c r="E27" s="70">
        <f t="shared" si="0"/>
        <v>32000</v>
      </c>
      <c r="F27" s="60">
        <f>E27*'0. Assumptions'!$C$9</f>
        <v>416000</v>
      </c>
    </row>
    <row r="28" ht="15" customHeight="1">
      <c r="B28" s="62" t="s">
        <v>323</v>
      </c>
      <c r="C28" s="63">
        <v>28000</v>
      </c>
      <c r="D28" s="63">
        <v>1</v>
      </c>
      <c r="E28" s="71">
        <f t="shared" si="0"/>
        <v>28000</v>
      </c>
      <c r="F28" s="64">
        <f>E28*'0. Assumptions'!$C$9</f>
        <v>364000</v>
      </c>
    </row>
    <row r="29" ht="15" customHeight="1">
      <c r="B29" s="58" t="s">
        <v>324</v>
      </c>
      <c r="C29" s="59">
        <v>35000</v>
      </c>
      <c r="D29" s="59">
        <v>1</v>
      </c>
      <c r="E29" s="70">
        <f t="shared" si="0"/>
        <v>35000</v>
      </c>
      <c r="F29" s="60">
        <f>E29*'0. Assumptions'!$C$9</f>
        <v>455000</v>
      </c>
    </row>
    <row r="30" ht="15" customHeight="1">
      <c r="B30" s="62" t="s">
        <v>325</v>
      </c>
      <c r="C30" s="63">
        <v>20000</v>
      </c>
      <c r="D30" s="63">
        <v>1</v>
      </c>
      <c r="E30" s="71">
        <f t="shared" si="0"/>
        <v>20000</v>
      </c>
      <c r="F30" s="64">
        <f>E30*'0. Assumptions'!$C$9</f>
        <v>260000</v>
      </c>
    </row>
    <row r="31" ht="15" customHeight="1">
      <c r="B31" s="58" t="s">
        <v>326</v>
      </c>
      <c r="C31" s="59">
        <v>25000</v>
      </c>
      <c r="D31" s="59">
        <v>1</v>
      </c>
      <c r="E31" s="70">
        <f t="shared" si="0"/>
        <v>25000</v>
      </c>
      <c r="F31" s="60">
        <f>E31*'0. Assumptions'!$C$9</f>
        <v>325000</v>
      </c>
    </row>
    <row r="32" ht="15.75" customHeight="1">
      <c r="B32" s="72" t="s">
        <v>327</v>
      </c>
      <c r="C32" s="73"/>
      <c r="D32" s="73"/>
      <c r="E32" s="74">
        <f>SUM(E23:E31)</f>
        <v>308000</v>
      </c>
      <c r="F32" s="75">
        <f>E32*'0. Assumptions'!$C$9</f>
        <v>4004000</v>
      </c>
    </row>
    <row r="33" ht="18" customHeight="1">
      <c r="A33" s="69" t="s">
        <v>328</v>
      </c>
      <c r="B33" s="69"/>
      <c r="C33" s="69"/>
      <c r="D33" s="69"/>
      <c r="E33" s="69"/>
      <c r="F33" s="69"/>
      <c r="G33" s="69"/>
    </row>
    <row r="34" ht="15" customHeight="1">
      <c r="B34" s="58" t="s">
        <v>329</v>
      </c>
      <c r="C34" s="59">
        <v>15000</v>
      </c>
      <c r="D34" s="59">
        <v>1</v>
      </c>
      <c r="E34" s="70">
        <f t="shared" si="0"/>
        <v>15000</v>
      </c>
      <c r="F34" s="60">
        <f>E34*'0. Assumptions'!$C$9</f>
        <v>195000</v>
      </c>
    </row>
    <row r="35" ht="15" customHeight="1">
      <c r="B35" s="62" t="s">
        <v>330</v>
      </c>
      <c r="C35" s="63">
        <v>22000</v>
      </c>
      <c r="D35" s="63">
        <v>1</v>
      </c>
      <c r="E35" s="71">
        <f t="shared" si="0"/>
        <v>22000</v>
      </c>
      <c r="F35" s="64">
        <f>E35*'0. Assumptions'!$C$9</f>
        <v>286000</v>
      </c>
    </row>
    <row r="36" ht="15" customHeight="1">
      <c r="B36" s="58" t="s">
        <v>331</v>
      </c>
      <c r="C36" s="59">
        <v>12000</v>
      </c>
      <c r="D36" s="59">
        <v>1</v>
      </c>
      <c r="E36" s="70">
        <f t="shared" si="0"/>
        <v>12000</v>
      </c>
      <c r="F36" s="60">
        <f>E36*'0. Assumptions'!$C$9</f>
        <v>156000</v>
      </c>
    </row>
    <row r="37" ht="15" customHeight="1">
      <c r="B37" s="62" t="s">
        <v>332</v>
      </c>
      <c r="C37" s="63">
        <v>8000</v>
      </c>
      <c r="D37" s="63">
        <v>1</v>
      </c>
      <c r="E37" s="71">
        <f t="shared" si="0"/>
        <v>8000</v>
      </c>
      <c r="F37" s="64">
        <f>E37*'0. Assumptions'!$C$9</f>
        <v>104000</v>
      </c>
    </row>
    <row r="38" ht="15" customHeight="1">
      <c r="B38" s="58" t="s">
        <v>333</v>
      </c>
      <c r="C38" s="59">
        <v>4500</v>
      </c>
      <c r="D38" s="59">
        <v>20</v>
      </c>
      <c r="E38" s="70">
        <f t="shared" si="0"/>
        <v>90000</v>
      </c>
      <c r="F38" s="60">
        <f>E38*'0. Assumptions'!$C$9</f>
        <v>1170000</v>
      </c>
    </row>
    <row r="39" ht="15" customHeight="1">
      <c r="B39" s="62" t="s">
        <v>334</v>
      </c>
      <c r="C39" s="63">
        <v>3000</v>
      </c>
      <c r="D39" s="63">
        <v>30</v>
      </c>
      <c r="E39" s="71">
        <f t="shared" si="0"/>
        <v>90000</v>
      </c>
      <c r="F39" s="64">
        <f>E39*'0. Assumptions'!$C$9</f>
        <v>1170000</v>
      </c>
    </row>
    <row r="40" ht="15" customHeight="1">
      <c r="B40" s="58" t="s">
        <v>335</v>
      </c>
      <c r="C40" s="59">
        <v>2500</v>
      </c>
      <c r="D40" s="59">
        <v>20</v>
      </c>
      <c r="E40" s="70">
        <f t="shared" si="0"/>
        <v>50000</v>
      </c>
      <c r="F40" s="60">
        <f>E40*'0. Assumptions'!$C$9</f>
        <v>650000</v>
      </c>
    </row>
    <row r="41" ht="15" customHeight="1">
      <c r="B41" s="62" t="s">
        <v>336</v>
      </c>
      <c r="C41" s="63">
        <v>1800</v>
      </c>
      <c r="D41" s="63">
        <v>40</v>
      </c>
      <c r="E41" s="71">
        <f t="shared" si="0"/>
        <v>72000</v>
      </c>
      <c r="F41" s="64">
        <f>E41*'0. Assumptions'!$C$9</f>
        <v>936000</v>
      </c>
    </row>
    <row r="42" ht="15" customHeight="1">
      <c r="B42" s="58" t="s">
        <v>337</v>
      </c>
      <c r="C42" s="59">
        <v>10000</v>
      </c>
      <c r="D42" s="59">
        <v>1</v>
      </c>
      <c r="E42" s="70">
        <f t="shared" si="0"/>
        <v>10000</v>
      </c>
      <c r="F42" s="60">
        <f>E42*'0. Assumptions'!$C$9</f>
        <v>130000</v>
      </c>
    </row>
    <row r="43" ht="15" customHeight="1">
      <c r="B43" s="62" t="s">
        <v>338</v>
      </c>
      <c r="C43" s="63">
        <v>1200</v>
      </c>
      <c r="D43" s="63">
        <v>20</v>
      </c>
      <c r="E43" s="71">
        <f t="shared" si="0"/>
        <v>24000</v>
      </c>
      <c r="F43" s="64">
        <f>E43*'0. Assumptions'!$C$9</f>
        <v>312000</v>
      </c>
    </row>
    <row r="44" ht="15" customHeight="1">
      <c r="B44" s="58" t="s">
        <v>339</v>
      </c>
      <c r="C44" s="59">
        <v>25000</v>
      </c>
      <c r="D44" s="59">
        <v>1</v>
      </c>
      <c r="E44" s="70">
        <f t="shared" si="0"/>
        <v>25000</v>
      </c>
      <c r="F44" s="60">
        <f>E44*'0. Assumptions'!$C$9</f>
        <v>325000</v>
      </c>
    </row>
    <row r="45" ht="15" customHeight="1">
      <c r="B45" s="62" t="s">
        <v>340</v>
      </c>
      <c r="C45" s="63">
        <v>18000</v>
      </c>
      <c r="D45" s="63">
        <v>1</v>
      </c>
      <c r="E45" s="71">
        <f t="shared" si="0"/>
        <v>18000</v>
      </c>
      <c r="F45" s="64">
        <f>E45*'0. Assumptions'!$C$9</f>
        <v>234000</v>
      </c>
    </row>
    <row r="46" ht="15.75" customHeight="1">
      <c r="B46" s="72" t="s">
        <v>341</v>
      </c>
      <c r="C46" s="73"/>
      <c r="D46" s="73"/>
      <c r="E46" s="74">
        <f t="shared" si="1" ref="E46:E72">SUM(E34:E45)</f>
        <v>436000</v>
      </c>
      <c r="F46" s="75">
        <f>E46*'0. Assumptions'!$C$9</f>
        <v>5668000</v>
      </c>
    </row>
    <row r="47" ht="18" customHeight="1">
      <c r="A47" s="69" t="s">
        <v>342</v>
      </c>
      <c r="B47" s="69"/>
      <c r="C47" s="69"/>
      <c r="D47" s="69"/>
      <c r="E47" s="69"/>
      <c r="F47" s="69"/>
      <c r="G47" s="69"/>
    </row>
    <row r="48" ht="15" customHeight="1">
      <c r="B48" s="58" t="s">
        <v>343</v>
      </c>
      <c r="C48" s="59">
        <v>5000</v>
      </c>
      <c r="D48" s="59">
        <v>6</v>
      </c>
      <c r="E48" s="70">
        <f t="shared" si="0"/>
        <v>30000</v>
      </c>
      <c r="F48" s="60">
        <f>E48*'0. Assumptions'!$C$9</f>
        <v>390000</v>
      </c>
    </row>
    <row r="49" ht="15" customHeight="1">
      <c r="B49" s="62" t="s">
        <v>344</v>
      </c>
      <c r="C49" s="63">
        <v>18000</v>
      </c>
      <c r="D49" s="63">
        <v>1</v>
      </c>
      <c r="E49" s="71">
        <f t="shared" si="0"/>
        <v>18000</v>
      </c>
      <c r="F49" s="64">
        <f>E49*'0. Assumptions'!$C$9</f>
        <v>234000</v>
      </c>
    </row>
    <row r="50" ht="15" customHeight="1">
      <c r="B50" s="58" t="s">
        <v>345</v>
      </c>
      <c r="C50" s="59">
        <v>12000</v>
      </c>
      <c r="D50" s="59">
        <v>1</v>
      </c>
      <c r="E50" s="70">
        <f t="shared" si="0"/>
        <v>12000</v>
      </c>
      <c r="F50" s="60">
        <f>E50*'0. Assumptions'!$C$9</f>
        <v>156000</v>
      </c>
    </row>
    <row r="51" ht="15" customHeight="1">
      <c r="B51" s="62" t="s">
        <v>346</v>
      </c>
      <c r="C51" s="63">
        <v>35000</v>
      </c>
      <c r="D51" s="63">
        <v>1</v>
      </c>
      <c r="E51" s="71">
        <f t="shared" si="0"/>
        <v>35000</v>
      </c>
      <c r="F51" s="64">
        <f>E51*'0. Assumptions'!$C$9</f>
        <v>455000</v>
      </c>
    </row>
    <row r="52" ht="15" customHeight="1">
      <c r="B52" s="58" t="s">
        <v>347</v>
      </c>
      <c r="C52" s="59">
        <v>25000</v>
      </c>
      <c r="D52" s="59">
        <v>1</v>
      </c>
      <c r="E52" s="70">
        <f t="shared" si="0"/>
        <v>25000</v>
      </c>
      <c r="F52" s="60">
        <f>E52*'0. Assumptions'!$C$9</f>
        <v>325000</v>
      </c>
    </row>
    <row r="53" ht="15" customHeight="1">
      <c r="B53" s="62" t="s">
        <v>348</v>
      </c>
      <c r="C53" s="63">
        <v>20000</v>
      </c>
      <c r="D53" s="63">
        <v>1</v>
      </c>
      <c r="E53" s="71">
        <f t="shared" si="0"/>
        <v>20000</v>
      </c>
      <c r="F53" s="64">
        <f>E53*'0. Assumptions'!$C$9</f>
        <v>260000</v>
      </c>
    </row>
    <row r="54" ht="15" customHeight="1">
      <c r="B54" s="58" t="s">
        <v>349</v>
      </c>
      <c r="C54" s="59">
        <v>18000</v>
      </c>
      <c r="D54" s="59">
        <v>1</v>
      </c>
      <c r="E54" s="70">
        <f t="shared" si="0"/>
        <v>18000</v>
      </c>
      <c r="F54" s="60">
        <f>E54*'0. Assumptions'!$C$9</f>
        <v>234000</v>
      </c>
    </row>
    <row r="55" ht="15" customHeight="1">
      <c r="B55" s="62" t="s">
        <v>350</v>
      </c>
      <c r="C55" s="63">
        <v>15000</v>
      </c>
      <c r="D55" s="63">
        <v>1</v>
      </c>
      <c r="E55" s="71">
        <f t="shared" si="0"/>
        <v>15000</v>
      </c>
      <c r="F55" s="64">
        <f>E55*'0. Assumptions'!$C$9</f>
        <v>195000</v>
      </c>
    </row>
    <row r="56" ht="15" customHeight="1">
      <c r="B56" s="58" t="s">
        <v>351</v>
      </c>
      <c r="C56" s="59">
        <v>8000</v>
      </c>
      <c r="D56" s="59">
        <v>1</v>
      </c>
      <c r="E56" s="70">
        <f t="shared" si="0"/>
        <v>8000</v>
      </c>
      <c r="F56" s="60">
        <f>E56*'0. Assumptions'!$C$9</f>
        <v>104000</v>
      </c>
    </row>
    <row r="57" ht="15" customHeight="1">
      <c r="B57" s="62" t="s">
        <v>352</v>
      </c>
      <c r="C57" s="63">
        <v>2000</v>
      </c>
      <c r="D57" s="63">
        <v>1</v>
      </c>
      <c r="E57" s="71">
        <f t="shared" si="0"/>
        <v>2000</v>
      </c>
      <c r="F57" s="64">
        <f>E57*'0. Assumptions'!$C$9</f>
        <v>26000</v>
      </c>
    </row>
    <row r="58" ht="15.75" customHeight="1">
      <c r="B58" s="72" t="s">
        <v>353</v>
      </c>
      <c r="C58" s="73"/>
      <c r="D58" s="73"/>
      <c r="E58" s="74">
        <f>SUM(E48:E57)</f>
        <v>183000</v>
      </c>
      <c r="F58" s="75">
        <f>E58*'0. Assumptions'!$C$9</f>
        <v>2379000</v>
      </c>
    </row>
    <row r="59" ht="18" customHeight="1">
      <c r="A59" s="69" t="s">
        <v>354</v>
      </c>
      <c r="B59" s="69"/>
      <c r="C59" s="69"/>
      <c r="D59" s="69"/>
      <c r="E59" s="69"/>
      <c r="F59" s="69"/>
      <c r="G59" s="69"/>
    </row>
    <row r="60" ht="15" customHeight="1">
      <c r="B60" s="58" t="s">
        <v>355</v>
      </c>
      <c r="C60" s="59">
        <v>12000</v>
      </c>
      <c r="D60" s="59">
        <v>1</v>
      </c>
      <c r="E60" s="70">
        <f t="shared" si="0"/>
        <v>12000</v>
      </c>
      <c r="F60" s="60">
        <f>E60*'0. Assumptions'!$C$9</f>
        <v>156000</v>
      </c>
    </row>
    <row r="61" ht="15" customHeight="1">
      <c r="B61" s="62" t="s">
        <v>356</v>
      </c>
      <c r="C61" s="63">
        <v>8000</v>
      </c>
      <c r="D61" s="63">
        <v>1</v>
      </c>
      <c r="E61" s="71">
        <f t="shared" si="0"/>
        <v>8000</v>
      </c>
      <c r="F61" s="64">
        <f>E61*'0. Assumptions'!$C$9</f>
        <v>104000</v>
      </c>
    </row>
    <row r="62" ht="15" customHeight="1">
      <c r="B62" s="58" t="s">
        <v>357</v>
      </c>
      <c r="C62" s="59">
        <v>10000</v>
      </c>
      <c r="D62" s="59">
        <v>1</v>
      </c>
      <c r="E62" s="70">
        <f t="shared" si="0"/>
        <v>10000</v>
      </c>
      <c r="F62" s="60">
        <f>E62*'0. Assumptions'!$C$9</f>
        <v>130000</v>
      </c>
    </row>
    <row r="63" ht="15" customHeight="1">
      <c r="B63" s="62" t="s">
        <v>358</v>
      </c>
      <c r="C63" s="63">
        <v>12000</v>
      </c>
      <c r="D63" s="63">
        <v>1</v>
      </c>
      <c r="E63" s="71">
        <f t="shared" si="0"/>
        <v>12000</v>
      </c>
      <c r="F63" s="64">
        <f>E63*'0. Assumptions'!$C$9</f>
        <v>156000</v>
      </c>
    </row>
    <row r="64" ht="15" customHeight="1">
      <c r="B64" s="58" t="s">
        <v>359</v>
      </c>
      <c r="C64" s="59">
        <v>6000</v>
      </c>
      <c r="D64" s="59">
        <v>1</v>
      </c>
      <c r="E64" s="70">
        <f t="shared" si="0"/>
        <v>6000</v>
      </c>
      <c r="F64" s="60">
        <f>E64*'0. Assumptions'!$C$9</f>
        <v>78000</v>
      </c>
    </row>
    <row r="65" ht="15" customHeight="1">
      <c r="B65" s="62" t="s">
        <v>360</v>
      </c>
      <c r="C65" s="63">
        <v>20000</v>
      </c>
      <c r="D65" s="63">
        <v>1</v>
      </c>
      <c r="E65" s="71">
        <f t="shared" si="0"/>
        <v>20000</v>
      </c>
      <c r="F65" s="64">
        <f>E65*'0. Assumptions'!$C$9</f>
        <v>260000</v>
      </c>
    </row>
    <row r="66" ht="15" customHeight="1">
      <c r="B66" s="58" t="s">
        <v>361</v>
      </c>
      <c r="C66" s="59">
        <v>18000</v>
      </c>
      <c r="D66" s="59">
        <v>1</v>
      </c>
      <c r="E66" s="70">
        <f t="shared" si="0"/>
        <v>18000</v>
      </c>
      <c r="F66" s="60">
        <f>E66*'0. Assumptions'!$C$9</f>
        <v>234000</v>
      </c>
    </row>
    <row r="67" ht="15" customHeight="1">
      <c r="B67" s="62" t="s">
        <v>362</v>
      </c>
      <c r="C67" s="63">
        <v>12000</v>
      </c>
      <c r="D67" s="63">
        <v>1</v>
      </c>
      <c r="E67" s="71">
        <f t="shared" si="0"/>
        <v>12000</v>
      </c>
      <c r="F67" s="64">
        <f>E67*'0. Assumptions'!$C$9</f>
        <v>156000</v>
      </c>
    </row>
    <row r="68" ht="15" customHeight="1">
      <c r="B68" s="58" t="s">
        <v>363</v>
      </c>
      <c r="C68" s="59">
        <v>15000</v>
      </c>
      <c r="D68" s="59">
        <v>1</v>
      </c>
      <c r="E68" s="70">
        <f t="shared" si="0"/>
        <v>15000</v>
      </c>
      <c r="F68" s="60">
        <f>E68*'0. Assumptions'!$C$9</f>
        <v>195000</v>
      </c>
    </row>
    <row r="69" ht="15" customHeight="1">
      <c r="B69" s="62" t="s">
        <v>364</v>
      </c>
      <c r="C69" s="63">
        <v>5000</v>
      </c>
      <c r="D69" s="63">
        <v>1</v>
      </c>
      <c r="E69" s="71">
        <f t="shared" si="0"/>
        <v>5000</v>
      </c>
      <c r="F69" s="64">
        <f>E69*'0. Assumptions'!$C$9</f>
        <v>65000</v>
      </c>
    </row>
    <row r="70" ht="15" customHeight="1">
      <c r="B70" s="58" t="s">
        <v>365</v>
      </c>
      <c r="C70" s="59">
        <v>20000</v>
      </c>
      <c r="D70" s="59">
        <v>1</v>
      </c>
      <c r="E70" s="70">
        <f t="shared" si="0"/>
        <v>20000</v>
      </c>
      <c r="F70" s="60">
        <f>E70*'0. Assumptions'!$C$9</f>
        <v>260000</v>
      </c>
    </row>
    <row r="71" ht="15" customHeight="1">
      <c r="B71" s="62" t="s">
        <v>366</v>
      </c>
      <c r="C71" s="63">
        <v>15000</v>
      </c>
      <c r="D71" s="63">
        <v>1</v>
      </c>
      <c r="E71" s="71">
        <f t="shared" si="0"/>
        <v>15000</v>
      </c>
      <c r="F71" s="64">
        <f>E71*'0. Assumptions'!$C$9</f>
        <v>195000</v>
      </c>
    </row>
    <row r="72" ht="15.75" customHeight="1">
      <c r="B72" s="72" t="s">
        <v>367</v>
      </c>
      <c r="C72" s="73"/>
      <c r="D72" s="73"/>
      <c r="E72" s="74">
        <f t="shared" si="1"/>
        <v>153000</v>
      </c>
      <c r="F72" s="75">
        <f>E72*'0. Assumptions'!$C$9</f>
        <v>1989000</v>
      </c>
    </row>
    <row r="73" ht="18" customHeight="1">
      <c r="A73" s="69" t="s">
        <v>368</v>
      </c>
      <c r="B73" s="69"/>
      <c r="C73" s="69"/>
      <c r="D73" s="69"/>
      <c r="E73" s="69"/>
      <c r="F73" s="69"/>
      <c r="G73" s="69"/>
    </row>
    <row r="74" ht="15" customHeight="1">
      <c r="B74" s="58" t="s">
        <v>369</v>
      </c>
      <c r="C74" s="59">
        <v>8000</v>
      </c>
      <c r="D74" s="59">
        <v>1</v>
      </c>
      <c r="E74" s="70">
        <f t="shared" si="0"/>
        <v>8000</v>
      </c>
      <c r="F74" s="60">
        <f>E74*'0. Assumptions'!$C$9</f>
        <v>104000</v>
      </c>
    </row>
    <row r="75" ht="15" customHeight="1">
      <c r="B75" s="62" t="s">
        <v>370</v>
      </c>
      <c r="C75" s="63">
        <v>1200</v>
      </c>
      <c r="D75" s="63">
        <v>18</v>
      </c>
      <c r="E75" s="71">
        <f t="shared" si="0"/>
        <v>21600</v>
      </c>
      <c r="F75" s="64">
        <f>E75*'0. Assumptions'!$C$9</f>
        <v>280800</v>
      </c>
    </row>
    <row r="76" ht="15" customHeight="1">
      <c r="B76" s="58" t="s">
        <v>371</v>
      </c>
      <c r="C76" s="59">
        <v>20000</v>
      </c>
      <c r="D76" s="59">
        <v>1</v>
      </c>
      <c r="E76" s="70">
        <f t="shared" si="0"/>
        <v>20000</v>
      </c>
      <c r="F76" s="60">
        <f>E76*'0. Assumptions'!$C$9</f>
        <v>260000</v>
      </c>
    </row>
    <row r="77" ht="15" customHeight="1">
      <c r="B77" s="62" t="s">
        <v>372</v>
      </c>
      <c r="C77" s="63">
        <v>5000</v>
      </c>
      <c r="D77" s="63">
        <v>4</v>
      </c>
      <c r="E77" s="71">
        <f t="shared" si="0"/>
        <v>20000</v>
      </c>
      <c r="F77" s="64">
        <f>E77*'0. Assumptions'!$C$9</f>
        <v>260000</v>
      </c>
    </row>
    <row r="78" ht="15" customHeight="1">
      <c r="B78" s="58" t="s">
        <v>373</v>
      </c>
      <c r="C78" s="59">
        <v>3500</v>
      </c>
      <c r="D78" s="59">
        <v>4</v>
      </c>
      <c r="E78" s="70">
        <f t="shared" si="0"/>
        <v>14000</v>
      </c>
      <c r="F78" s="60">
        <f>E78*'0. Assumptions'!$C$9</f>
        <v>182000</v>
      </c>
    </row>
    <row r="79" ht="15" customHeight="1">
      <c r="B79" s="62" t="s">
        <v>374</v>
      </c>
      <c r="C79" s="63">
        <v>12000</v>
      </c>
      <c r="D79" s="63">
        <v>1</v>
      </c>
      <c r="E79" s="71">
        <f t="shared" si="0"/>
        <v>12000</v>
      </c>
      <c r="F79" s="64">
        <f>E79*'0. Assumptions'!$C$9</f>
        <v>156000</v>
      </c>
    </row>
    <row r="80" ht="15" customHeight="1">
      <c r="B80" s="58" t="s">
        <v>375</v>
      </c>
      <c r="C80" s="59">
        <v>8000</v>
      </c>
      <c r="D80" s="59">
        <v>1</v>
      </c>
      <c r="E80" s="70">
        <f t="shared" si="0"/>
        <v>8000</v>
      </c>
      <c r="F80" s="60">
        <f>E80*'0. Assumptions'!$C$9</f>
        <v>104000</v>
      </c>
    </row>
    <row r="81" ht="15" customHeight="1">
      <c r="B81" s="62" t="s">
        <v>376</v>
      </c>
      <c r="C81" s="63">
        <v>2500</v>
      </c>
      <c r="D81" s="63">
        <v>18</v>
      </c>
      <c r="E81" s="71">
        <f t="shared" si="0"/>
        <v>45000</v>
      </c>
      <c r="F81" s="64">
        <f>E81*'0. Assumptions'!$C$9</f>
        <v>585000</v>
      </c>
    </row>
    <row r="82" ht="15" customHeight="1">
      <c r="B82" s="58" t="s">
        <v>377</v>
      </c>
      <c r="C82" s="59">
        <v>1000</v>
      </c>
      <c r="D82" s="59">
        <v>18</v>
      </c>
      <c r="E82" s="70">
        <f t="shared" si="0"/>
        <v>18000</v>
      </c>
      <c r="F82" s="60">
        <f>E82*'0. Assumptions'!$C$9</f>
        <v>234000</v>
      </c>
    </row>
    <row r="83" ht="15" customHeight="1">
      <c r="B83" s="62" t="s">
        <v>378</v>
      </c>
      <c r="C83" s="63">
        <v>1500</v>
      </c>
      <c r="D83" s="63">
        <v>18</v>
      </c>
      <c r="E83" s="71">
        <f t="shared" si="0"/>
        <v>27000</v>
      </c>
      <c r="F83" s="64">
        <f>E83*'0. Assumptions'!$C$9</f>
        <v>351000</v>
      </c>
    </row>
    <row r="84" ht="15" customHeight="1">
      <c r="B84" s="58" t="s">
        <v>379</v>
      </c>
      <c r="C84" s="59">
        <v>10000</v>
      </c>
      <c r="D84" s="59">
        <v>1</v>
      </c>
      <c r="E84" s="70">
        <f t="shared" si="0"/>
        <v>10000</v>
      </c>
      <c r="F84" s="60">
        <f>E84*'0. Assumptions'!$C$9</f>
        <v>130000</v>
      </c>
    </row>
    <row r="85" ht="15.75" customHeight="1">
      <c r="B85" s="72" t="s">
        <v>380</v>
      </c>
      <c r="C85" s="73"/>
      <c r="D85" s="73"/>
      <c r="E85" s="74">
        <f>SUM(E74:E84)</f>
        <v>203600</v>
      </c>
      <c r="F85" s="75">
        <f>E85*'0. Assumptions'!$C$9</f>
        <v>2646800</v>
      </c>
    </row>
    <row r="86" ht="18" customHeight="1">
      <c r="A86" s="69" t="s">
        <v>381</v>
      </c>
      <c r="B86" s="69"/>
      <c r="C86" s="69"/>
      <c r="D86" s="69"/>
      <c r="E86" s="69"/>
      <c r="F86" s="69"/>
      <c r="G86" s="69"/>
    </row>
    <row r="87" ht="15" customHeight="1">
      <c r="B87" s="58" t="s">
        <v>382</v>
      </c>
      <c r="C87" s="59">
        <v>20000</v>
      </c>
      <c r="D87" s="59">
        <v>3</v>
      </c>
      <c r="E87" s="70">
        <f t="shared" si="0"/>
        <v>60000</v>
      </c>
      <c r="F87" s="60">
        <f>E87*'0. Assumptions'!$C$9</f>
        <v>780000</v>
      </c>
    </row>
    <row r="88" ht="15" customHeight="1">
      <c r="B88" s="62" t="s">
        <v>383</v>
      </c>
      <c r="C88" s="63">
        <v>10000</v>
      </c>
      <c r="D88" s="63">
        <v>1</v>
      </c>
      <c r="E88" s="71">
        <f t="shared" si="0"/>
        <v>10000</v>
      </c>
      <c r="F88" s="64">
        <f>E88*'0. Assumptions'!$C$9</f>
        <v>130000</v>
      </c>
    </row>
    <row r="89" ht="15" customHeight="1">
      <c r="B89" s="58" t="s">
        <v>384</v>
      </c>
      <c r="C89" s="59">
        <v>12000</v>
      </c>
      <c r="D89" s="59">
        <v>1</v>
      </c>
      <c r="E89" s="70">
        <f t="shared" si="0"/>
        <v>12000</v>
      </c>
      <c r="F89" s="60">
        <f>E89*'0. Assumptions'!$C$9</f>
        <v>156000</v>
      </c>
    </row>
    <row r="90" ht="15" customHeight="1">
      <c r="B90" s="62" t="s">
        <v>385</v>
      </c>
      <c r="C90" s="63">
        <v>8000</v>
      </c>
      <c r="D90" s="63">
        <v>1</v>
      </c>
      <c r="E90" s="71">
        <f t="shared" si="0"/>
        <v>8000</v>
      </c>
      <c r="F90" s="64">
        <f>E90*'0. Assumptions'!$C$9</f>
        <v>104000</v>
      </c>
    </row>
    <row r="91" ht="15" customHeight="1">
      <c r="B91" s="58" t="s">
        <v>386</v>
      </c>
      <c r="C91" s="59">
        <v>18000</v>
      </c>
      <c r="D91" s="59">
        <v>1</v>
      </c>
      <c r="E91" s="70">
        <f t="shared" si="0"/>
        <v>18000</v>
      </c>
      <c r="F91" s="60">
        <f>E91*'0. Assumptions'!$C$9</f>
        <v>234000</v>
      </c>
    </row>
    <row r="92" ht="15" customHeight="1">
      <c r="B92" s="62" t="s">
        <v>387</v>
      </c>
      <c r="C92" s="63">
        <v>5000</v>
      </c>
      <c r="D92" s="63">
        <v>1</v>
      </c>
      <c r="E92" s="71">
        <f t="shared" si="0"/>
        <v>5000</v>
      </c>
      <c r="F92" s="64">
        <f>E92*'0. Assumptions'!$C$9</f>
        <v>65000</v>
      </c>
    </row>
    <row r="93" ht="15.75" customHeight="1">
      <c r="B93" s="72" t="s">
        <v>388</v>
      </c>
      <c r="C93" s="73"/>
      <c r="D93" s="73"/>
      <c r="E93" s="74">
        <f>SUM(E87:E92)</f>
        <v>113000</v>
      </c>
      <c r="F93" s="75">
        <f>E93*'0. Assumptions'!$C$9</f>
        <v>1469000</v>
      </c>
    </row>
    <row r="94" ht="18" customHeight="1">
      <c r="A94" s="69" t="s">
        <v>389</v>
      </c>
      <c r="B94" s="69"/>
      <c r="C94" s="69"/>
      <c r="D94" s="69"/>
      <c r="E94" s="69"/>
      <c r="F94" s="69"/>
      <c r="G94" s="69"/>
    </row>
    <row r="95" ht="15" customHeight="1">
      <c r="B95" s="58" t="s">
        <v>390</v>
      </c>
      <c r="C95" s="59">
        <v>35000</v>
      </c>
      <c r="D95" s="59">
        <v>1</v>
      </c>
      <c r="E95" s="70">
        <f t="shared" si="0"/>
        <v>35000</v>
      </c>
      <c r="F95" s="60">
        <f>E95*'0. Assumptions'!$C$9</f>
        <v>455000</v>
      </c>
    </row>
    <row r="96" ht="15" customHeight="1">
      <c r="B96" s="62" t="s">
        <v>391</v>
      </c>
      <c r="C96" s="63">
        <v>20000</v>
      </c>
      <c r="D96" s="63">
        <v>1</v>
      </c>
      <c r="E96" s="71">
        <f t="shared" si="0"/>
        <v>20000</v>
      </c>
      <c r="F96" s="64">
        <f>E96*'0. Assumptions'!$C$9</f>
        <v>260000</v>
      </c>
    </row>
    <row r="97" ht="15" customHeight="1">
      <c r="B97" s="58" t="s">
        <v>392</v>
      </c>
      <c r="C97" s="59">
        <v>15000</v>
      </c>
      <c r="D97" s="59">
        <v>1</v>
      </c>
      <c r="E97" s="70">
        <f t="shared" si="0"/>
        <v>15000</v>
      </c>
      <c r="F97" s="60">
        <f>E97*'0. Assumptions'!$C$9</f>
        <v>195000</v>
      </c>
    </row>
    <row r="98" ht="15" customHeight="1">
      <c r="B98" s="62" t="s">
        <v>393</v>
      </c>
      <c r="C98" s="63">
        <v>12000</v>
      </c>
      <c r="D98" s="63">
        <v>1</v>
      </c>
      <c r="E98" s="71">
        <f t="shared" si="0"/>
        <v>12000</v>
      </c>
      <c r="F98" s="64">
        <f>E98*'0. Assumptions'!$C$9</f>
        <v>156000</v>
      </c>
    </row>
    <row r="99" ht="15" customHeight="1">
      <c r="B99" s="58" t="s">
        <v>394</v>
      </c>
      <c r="C99" s="59">
        <v>5000</v>
      </c>
      <c r="D99" s="59">
        <v>1</v>
      </c>
      <c r="E99" s="70">
        <f t="shared" si="0"/>
        <v>5000</v>
      </c>
      <c r="F99" s="60">
        <f>E99*'0. Assumptions'!$C$9</f>
        <v>65000</v>
      </c>
    </row>
    <row r="100" ht="15.75" customHeight="1">
      <c r="B100" s="72" t="s">
        <v>395</v>
      </c>
      <c r="C100" s="73"/>
      <c r="D100" s="73"/>
      <c r="E100" s="74">
        <f>SUM(E95:E99)</f>
        <v>87000</v>
      </c>
      <c r="F100" s="75">
        <f>E100*'0. Assumptions'!$C$9</f>
        <v>1131000</v>
      </c>
    </row>
    <row r="101" ht="18" customHeight="1">
      <c r="A101" s="69" t="s">
        <v>396</v>
      </c>
      <c r="B101" s="69"/>
      <c r="C101" s="69"/>
      <c r="D101" s="69"/>
      <c r="E101" s="69"/>
      <c r="F101" s="69"/>
      <c r="G101" s="69"/>
    </row>
    <row r="102" ht="15" customHeight="1">
      <c r="B102" s="58" t="s">
        <v>397</v>
      </c>
      <c r="C102" s="59">
        <v>10000</v>
      </c>
      <c r="D102" s="59">
        <v>1</v>
      </c>
      <c r="E102" s="70">
        <f t="shared" si="0"/>
        <v>10000</v>
      </c>
      <c r="F102" s="60">
        <f>E102*'0. Assumptions'!$C$9</f>
        <v>130000</v>
      </c>
    </row>
    <row r="103" ht="15" customHeight="1">
      <c r="B103" s="62" t="s">
        <v>398</v>
      </c>
      <c r="C103" s="63">
        <v>8000</v>
      </c>
      <c r="D103" s="63">
        <v>1</v>
      </c>
      <c r="E103" s="71">
        <f t="shared" si="0"/>
        <v>8000</v>
      </c>
      <c r="F103" s="64">
        <f>E103*'0. Assumptions'!$C$9</f>
        <v>104000</v>
      </c>
    </row>
    <row r="104" ht="15" customHeight="1">
      <c r="B104" s="58" t="s">
        <v>399</v>
      </c>
      <c r="C104" s="59">
        <v>6000</v>
      </c>
      <c r="D104" s="59">
        <v>1</v>
      </c>
      <c r="E104" s="70">
        <f t="shared" si="0"/>
        <v>6000</v>
      </c>
      <c r="F104" s="60">
        <f>E104*'0. Assumptions'!$C$9</f>
        <v>78000</v>
      </c>
    </row>
    <row r="105" ht="15" customHeight="1">
      <c r="B105" s="62" t="s">
        <v>400</v>
      </c>
      <c r="C105" s="63">
        <v>5000</v>
      </c>
      <c r="D105" s="63">
        <v>1</v>
      </c>
      <c r="E105" s="71">
        <f t="shared" si="0"/>
        <v>5000</v>
      </c>
      <c r="F105" s="64">
        <f>E105*'0. Assumptions'!$C$9</f>
        <v>65000</v>
      </c>
    </row>
    <row r="106" ht="15" customHeight="1">
      <c r="B106" s="58" t="s">
        <v>401</v>
      </c>
      <c r="C106" s="59">
        <v>6000</v>
      </c>
      <c r="D106" s="59">
        <v>1</v>
      </c>
      <c r="E106" s="70">
        <f t="shared" si="0"/>
        <v>6000</v>
      </c>
      <c r="F106" s="60">
        <f>E106*'0. Assumptions'!$C$9</f>
        <v>78000</v>
      </c>
    </row>
    <row r="107" ht="15" customHeight="1">
      <c r="B107" s="62" t="s">
        <v>402</v>
      </c>
      <c r="C107" s="63">
        <v>8000</v>
      </c>
      <c r="D107" s="63">
        <v>1</v>
      </c>
      <c r="E107" s="71">
        <f t="shared" si="0"/>
        <v>8000</v>
      </c>
      <c r="F107" s="64">
        <f>E107*'0. Assumptions'!$C$9</f>
        <v>104000</v>
      </c>
    </row>
    <row r="108" ht="15" customHeight="1">
      <c r="B108" s="58" t="s">
        <v>403</v>
      </c>
      <c r="C108" s="59">
        <v>5000</v>
      </c>
      <c r="D108" s="59">
        <v>1</v>
      </c>
      <c r="E108" s="70">
        <f t="shared" si="0"/>
        <v>5000</v>
      </c>
      <c r="F108" s="60">
        <f>E108*'0. Assumptions'!$C$9</f>
        <v>65000</v>
      </c>
    </row>
    <row r="109" ht="15.75" customHeight="1">
      <c r="B109" s="72" t="s">
        <v>404</v>
      </c>
      <c r="C109" s="73"/>
      <c r="D109" s="73"/>
      <c r="E109" s="74">
        <f>SUM(E102:E108)</f>
        <v>48000</v>
      </c>
      <c r="F109" s="75">
        <f>E109*'0. Assumptions'!$C$9</f>
        <v>624000</v>
      </c>
    </row>
    <row r="110" ht="21.75" customHeight="1">
      <c r="B110" s="79" t="s">
        <v>405</v>
      </c>
      <c r="C110" s="79"/>
      <c r="D110" s="79"/>
      <c r="E110" s="67">
        <f>E21+E32+E46+E58+E72+E85+E93+E100+E109</f>
        <v>1750350</v>
      </c>
      <c r="F110" s="67">
        <f>E110*'0. Assumptions'!$C$9</f>
        <v>22754550</v>
      </c>
    </row>
  </sheetData>
  <mergeCells>
    <mergeCell ref="A1:G1"/>
    <mergeCell ref="A4:G4"/>
    <mergeCell ref="A22:G22"/>
    <mergeCell ref="A33:G33"/>
    <mergeCell ref="A47:G47"/>
    <mergeCell ref="A59:G59"/>
    <mergeCell ref="A73:G73"/>
    <mergeCell ref="A86:G86"/>
    <mergeCell ref="A94:G94"/>
    <mergeCell ref="A101:G101"/>
    <mergeCell ref="B110:D110"/>
  </mergeCells>
  <printOptions headings="1"/>
  <pageMargins left="0.75" right="0.75" top="1" bottom="1" header="0.51" footer="0.51"/>
  <pageSetup paperSize="9" pageOrder="downThenOver" orientation="portrai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B35B6BA-51C2-EC7F-87B8-9ABBC769AC0E}" mc:Ignorable="x14ac xr xr2 xr3">
  <dimension ref="A1:CV10000"/>
  <sheetViews>
    <sheetView topLeftCell="A1" workbookViewId="0">
      <selection activeCell="A1" sqref="A1"/>
    </sheetView>
  </sheetViews>
  <sheetFormatPr defaultRowHeight="15" defaultColWidth="8.7109375" customHeight="1"/>
  <cols>
    <col min="1" max="1" style="28" width="5.00390625" customWidth="1"/>
    <col min="2" max="2" style="28" width="12.00390625" customWidth="1"/>
    <col min="3" max="3" style="28" width="38.00390625" customWidth="1"/>
    <col min="4" max="4" style="28" width="12.00390625" customWidth="1"/>
    <col min="5" max="7" style="28" width="18.00390625" customWidth="1"/>
    <col min="8" max="8" style="28" width="5.00390625" customWidth="1"/>
  </cols>
  <sheetData>
    <row r="1" ht="30" customHeight="1">
      <c r="A1" s="53" t="s">
        <v>406</v>
      </c>
      <c r="B1" s="53"/>
      <c r="C1" s="53"/>
      <c r="D1" s="53"/>
      <c r="E1" s="53"/>
      <c r="F1" s="53"/>
      <c r="G1" s="53"/>
      <c r="H1" s="53"/>
    </row>
    <row r="3" ht="19.5" customHeight="1">
      <c r="B3" s="57" t="s">
        <v>407</v>
      </c>
      <c r="C3" s="57" t="s">
        <v>70</v>
      </c>
      <c r="D3" s="57" t="s">
        <v>73</v>
      </c>
      <c r="E3" s="57" t="s">
        <v>408</v>
      </c>
      <c r="F3" s="57" t="s">
        <v>409</v>
      </c>
      <c r="G3" s="57" t="s">
        <v>410</v>
      </c>
    </row>
    <row r="4" ht="15.75" customHeight="1">
      <c r="B4" s="82" t="s">
        <v>411</v>
      </c>
      <c r="C4" s="58" t="s">
        <v>412</v>
      </c>
      <c r="D4" s="83">
        <v>0.15</v>
      </c>
      <c r="E4" s="70">
        <f>D4*'0. Assumptions'!$C$8</f>
        <v>1703250</v>
      </c>
      <c r="F4" s="60">
        <f>E4*'0. Assumptions'!$C$9</f>
        <v>22142250</v>
      </c>
      <c r="G4" s="84" t="s">
        <v>413</v>
      </c>
    </row>
    <row r="5" ht="15.75" customHeight="1">
      <c r="B5" s="85" t="s">
        <v>414</v>
      </c>
      <c r="C5" s="62" t="s">
        <v>415</v>
      </c>
      <c r="D5" s="86">
        <v>0.12</v>
      </c>
      <c r="E5" s="71">
        <f>D5*'0. Assumptions'!$C$8</f>
        <v>1362600</v>
      </c>
      <c r="F5" s="64">
        <f>E5*'0. Assumptions'!$C$9</f>
        <v>17713800</v>
      </c>
      <c r="G5" s="87" t="s">
        <v>416</v>
      </c>
    </row>
    <row r="6" ht="15.75" customHeight="1">
      <c r="B6" s="82" t="s">
        <v>417</v>
      </c>
      <c r="C6" s="58" t="s">
        <v>418</v>
      </c>
      <c r="D6" s="83">
        <v>0.2</v>
      </c>
      <c r="E6" s="70">
        <f>D6*'0. Assumptions'!$C$8</f>
        <v>2271000</v>
      </c>
      <c r="F6" s="60">
        <f>E6*'0. Assumptions'!$C$9</f>
        <v>29523000</v>
      </c>
      <c r="G6" s="84" t="s">
        <v>419</v>
      </c>
    </row>
    <row r="7" ht="15.75" customHeight="1">
      <c r="B7" s="85" t="s">
        <v>420</v>
      </c>
      <c r="C7" s="62" t="s">
        <v>421</v>
      </c>
      <c r="D7" s="86">
        <v>0.1</v>
      </c>
      <c r="E7" s="71">
        <f>D7*'0. Assumptions'!$C$8</f>
        <v>1135500</v>
      </c>
      <c r="F7" s="64">
        <f>E7*'0. Assumptions'!$C$9</f>
        <v>14761500</v>
      </c>
      <c r="G7" s="87" t="s">
        <v>422</v>
      </c>
    </row>
    <row r="8" ht="15.75" customHeight="1">
      <c r="B8" s="82" t="s">
        <v>423</v>
      </c>
      <c r="C8" s="58" t="s">
        <v>424</v>
      </c>
      <c r="D8" s="83">
        <v>0.08</v>
      </c>
      <c r="E8" s="70">
        <f>D8*'0. Assumptions'!$C$8</f>
        <v>908400</v>
      </c>
      <c r="F8" s="60">
        <f>E8*'0. Assumptions'!$C$9</f>
        <v>11809200</v>
      </c>
      <c r="G8" s="84" t="s">
        <v>425</v>
      </c>
    </row>
    <row r="9" ht="15.75" customHeight="1">
      <c r="B9" s="85" t="s">
        <v>426</v>
      </c>
      <c r="C9" s="62" t="s">
        <v>427</v>
      </c>
      <c r="D9" s="86">
        <v>0.15</v>
      </c>
      <c r="E9" s="71">
        <f>D9*'0. Assumptions'!$C$8</f>
        <v>1703250</v>
      </c>
      <c r="F9" s="64">
        <f>E9*'0. Assumptions'!$C$9</f>
        <v>22142250</v>
      </c>
      <c r="G9" s="87" t="s">
        <v>425</v>
      </c>
    </row>
    <row r="10" ht="15.75" customHeight="1">
      <c r="B10" s="82" t="s">
        <v>428</v>
      </c>
      <c r="C10" s="58" t="s">
        <v>429</v>
      </c>
      <c r="D10" s="83">
        <v>0.06</v>
      </c>
      <c r="E10" s="70">
        <f>D10*'0. Assumptions'!$C$8</f>
        <v>681300</v>
      </c>
      <c r="F10" s="60">
        <f>E10*'0. Assumptions'!$C$9</f>
        <v>8856900</v>
      </c>
      <c r="G10" s="84" t="s">
        <v>430</v>
      </c>
    </row>
    <row r="11" ht="15.75" customHeight="1">
      <c r="B11" s="85" t="s">
        <v>431</v>
      </c>
      <c r="C11" s="62" t="s">
        <v>432</v>
      </c>
      <c r="D11" s="86">
        <v>0.06</v>
      </c>
      <c r="E11" s="71">
        <f>D11*'0. Assumptions'!$C$8</f>
        <v>681300</v>
      </c>
      <c r="F11" s="64">
        <f>E11*'0. Assumptions'!$C$9</f>
        <v>8856900</v>
      </c>
      <c r="G11" s="87" t="s">
        <v>433</v>
      </c>
    </row>
    <row r="12" ht="15.75" customHeight="1">
      <c r="B12" s="82" t="s">
        <v>434</v>
      </c>
      <c r="C12" s="58" t="s">
        <v>435</v>
      </c>
      <c r="D12" s="83">
        <v>0.03</v>
      </c>
      <c r="E12" s="70">
        <f>D12*'0. Assumptions'!$C$8</f>
        <v>340650</v>
      </c>
      <c r="F12" s="60">
        <f>E12*'0. Assumptions'!$C$9</f>
        <v>4428450</v>
      </c>
      <c r="G12" s="84" t="s">
        <v>436</v>
      </c>
    </row>
    <row r="13" ht="15.75" customHeight="1">
      <c r="B13" s="85" t="s">
        <v>437</v>
      </c>
      <c r="C13" s="62" t="s">
        <v>438</v>
      </c>
      <c r="D13" s="86">
        <v>0.03</v>
      </c>
      <c r="E13" s="71">
        <f>D13*'0. Assumptions'!$C$8</f>
        <v>340650</v>
      </c>
      <c r="F13" s="64">
        <f>E13*'0. Assumptions'!$C$9</f>
        <v>4428450</v>
      </c>
      <c r="G13" s="87" t="s">
        <v>439</v>
      </c>
    </row>
    <row r="14" ht="15.75" customHeight="1">
      <c r="B14" s="82" t="s">
        <v>440</v>
      </c>
      <c r="C14" s="58" t="s">
        <v>441</v>
      </c>
      <c r="D14" s="83">
        <v>0.02</v>
      </c>
      <c r="E14" s="70">
        <f>D14*'0. Assumptions'!$C$8</f>
        <v>227100</v>
      </c>
      <c r="F14" s="60">
        <f>E14*'0. Assumptions'!$C$9</f>
        <v>2952300</v>
      </c>
      <c r="G14" s="84" t="s">
        <v>442</v>
      </c>
    </row>
    <row r="15" ht="21.75" customHeight="1">
      <c r="B15" s="79" t="s">
        <v>443</v>
      </c>
      <c r="C15" s="79"/>
      <c r="D15" s="88">
        <f>SUM(D4:D14)</f>
        <v>1</v>
      </c>
      <c r="E15" s="67">
        <f>'0. Assumptions'!$C$8</f>
        <v>11355000</v>
      </c>
      <c r="F15" s="67">
        <f>E15*'0. Assumptions'!$C$9</f>
        <v>147615000</v>
      </c>
    </row>
  </sheetData>
  <mergeCells>
    <mergeCell ref="A1:H1"/>
    <mergeCell ref="B15:C15"/>
  </mergeCells>
  <printOptions headings="1"/>
  <pageMargins left="0.75" right="0.75" top="1" bottom="1" header="0.51" footer="0.51"/>
  <pageSetup paperSize="9" pageOrder="downThenOver" orientation="portrai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BCB8688-8B32-EC58-C3E8-E9A8AEB6B4DE}" mc:Ignorable="x14ac xr xr2 xr3">
  <dimension ref="A1:CV10000"/>
  <sheetViews>
    <sheetView topLeftCell="A1" workbookViewId="0">
      <selection activeCell="A1" sqref="A1"/>
    </sheetView>
  </sheetViews>
  <sheetFormatPr defaultRowHeight="15" defaultColWidth="8.7109375" customHeight="1"/>
  <cols>
    <col min="1" max="1" style="28" width="8.00390625" customWidth="1"/>
    <col min="2" max="2" style="28" width="40.00390625" customWidth="1"/>
    <col min="3" max="4" style="28" width="14.00390625" customWidth="1"/>
    <col min="5" max="5" style="28" width="18.00390625" customWidth="1"/>
    <col min="6" max="6" style="28" width="20.00390625" customWidth="1"/>
    <col min="7" max="7" style="28" width="5.00390625" customWidth="1"/>
  </cols>
  <sheetData>
    <row r="1" ht="27.75" customHeight="1">
      <c r="A1" s="53" t="s">
        <v>444</v>
      </c>
      <c r="B1" s="53"/>
      <c r="C1" s="53"/>
      <c r="D1" s="53"/>
      <c r="E1" s="53"/>
      <c r="F1" s="53"/>
      <c r="G1" s="53"/>
    </row>
    <row r="3" ht="19.5" customHeight="1">
      <c r="A3" s="57" t="s">
        <v>445</v>
      </c>
      <c r="B3" s="57" t="s">
        <v>446</v>
      </c>
      <c r="C3" s="57" t="s">
        <v>447</v>
      </c>
      <c r="D3" s="57" t="s">
        <v>448</v>
      </c>
      <c r="E3" s="57" t="s">
        <v>449</v>
      </c>
      <c r="F3" s="57" t="s">
        <v>450</v>
      </c>
    </row>
    <row r="4" ht="30" customHeight="1">
      <c r="A4" s="89" t="s">
        <v>451</v>
      </c>
      <c r="B4" s="90" t="s">
        <v>452</v>
      </c>
      <c r="C4" s="90" t="s">
        <v>453</v>
      </c>
      <c r="D4" s="90" t="s">
        <v>454</v>
      </c>
      <c r="E4" s="90" t="s">
        <v>455</v>
      </c>
      <c r="F4" s="90" t="s">
        <v>456</v>
      </c>
    </row>
    <row r="5" ht="30" customHeight="1">
      <c r="A5" s="91" t="s">
        <v>457</v>
      </c>
      <c r="B5" s="92" t="s">
        <v>458</v>
      </c>
      <c r="C5" s="92" t="s">
        <v>454</v>
      </c>
      <c r="D5" s="92" t="s">
        <v>454</v>
      </c>
      <c r="E5" s="92" t="s">
        <v>459</v>
      </c>
      <c r="F5" s="92" t="s">
        <v>460</v>
      </c>
    </row>
    <row r="6" ht="30" customHeight="1">
      <c r="A6" s="89" t="s">
        <v>461</v>
      </c>
      <c r="B6" s="90" t="s">
        <v>462</v>
      </c>
      <c r="C6" s="90" t="s">
        <v>453</v>
      </c>
      <c r="D6" s="90" t="s">
        <v>453</v>
      </c>
      <c r="E6" s="90" t="s">
        <v>463</v>
      </c>
      <c r="F6" s="90" t="s">
        <v>464</v>
      </c>
    </row>
    <row r="7" ht="30" customHeight="1">
      <c r="A7" s="91" t="s">
        <v>465</v>
      </c>
      <c r="B7" s="92" t="s">
        <v>466</v>
      </c>
      <c r="C7" s="92" t="s">
        <v>454</v>
      </c>
      <c r="D7" s="92" t="s">
        <v>454</v>
      </c>
      <c r="E7" s="92" t="s">
        <v>467</v>
      </c>
      <c r="F7" s="92" t="s">
        <v>468</v>
      </c>
    </row>
    <row r="8" ht="30" customHeight="1">
      <c r="A8" s="89" t="s">
        <v>469</v>
      </c>
      <c r="B8" s="90" t="s">
        <v>470</v>
      </c>
      <c r="C8" s="90" t="s">
        <v>453</v>
      </c>
      <c r="D8" s="90" t="s">
        <v>454</v>
      </c>
      <c r="E8" s="90" t="s">
        <v>471</v>
      </c>
      <c r="F8" s="90" t="s">
        <v>472</v>
      </c>
    </row>
    <row r="9" ht="30" customHeight="1">
      <c r="A9" s="91" t="s">
        <v>473</v>
      </c>
      <c r="B9" s="92" t="s">
        <v>474</v>
      </c>
      <c r="C9" s="92" t="s">
        <v>453</v>
      </c>
      <c r="D9" s="92" t="s">
        <v>453</v>
      </c>
      <c r="E9" s="92" t="s">
        <v>475</v>
      </c>
      <c r="F9" s="92" t="s">
        <v>476</v>
      </c>
    </row>
    <row r="10" ht="30" customHeight="1">
      <c r="A10" s="89" t="s">
        <v>477</v>
      </c>
      <c r="B10" s="90" t="s">
        <v>478</v>
      </c>
      <c r="C10" s="90" t="s">
        <v>453</v>
      </c>
      <c r="D10" s="90" t="s">
        <v>453</v>
      </c>
      <c r="E10" s="90" t="s">
        <v>479</v>
      </c>
      <c r="F10" s="90" t="s">
        <v>480</v>
      </c>
    </row>
    <row r="11" ht="30" customHeight="1">
      <c r="A11" s="91" t="s">
        <v>481</v>
      </c>
      <c r="B11" s="92" t="s">
        <v>482</v>
      </c>
      <c r="C11" s="92" t="s">
        <v>483</v>
      </c>
      <c r="D11" s="92" t="s">
        <v>453</v>
      </c>
      <c r="E11" s="92" t="s">
        <v>484</v>
      </c>
      <c r="F11" s="92" t="s">
        <v>485</v>
      </c>
    </row>
    <row r="12" ht="30" customHeight="1">
      <c r="A12" s="89" t="s">
        <v>486</v>
      </c>
      <c r="B12" s="90" t="s">
        <v>487</v>
      </c>
      <c r="C12" s="90" t="s">
        <v>453</v>
      </c>
      <c r="D12" s="90" t="s">
        <v>453</v>
      </c>
      <c r="E12" s="90" t="s">
        <v>488</v>
      </c>
      <c r="F12" s="90" t="s">
        <v>489</v>
      </c>
    </row>
    <row r="13" ht="30" customHeight="1">
      <c r="A13" s="91" t="s">
        <v>490</v>
      </c>
      <c r="B13" s="92" t="s">
        <v>491</v>
      </c>
      <c r="C13" s="92" t="s">
        <v>453</v>
      </c>
      <c r="D13" s="92" t="s">
        <v>454</v>
      </c>
      <c r="E13" s="92" t="s">
        <v>492</v>
      </c>
      <c r="F13" s="92" t="s">
        <v>493</v>
      </c>
    </row>
    <row r="14" ht="30" customHeight="1">
      <c r="A14" s="89" t="s">
        <v>494</v>
      </c>
      <c r="B14" s="90" t="s">
        <v>495</v>
      </c>
      <c r="C14" s="90" t="s">
        <v>483</v>
      </c>
      <c r="D14" s="90" t="s">
        <v>496</v>
      </c>
      <c r="E14" s="90" t="s">
        <v>497</v>
      </c>
      <c r="F14" s="90" t="s">
        <v>498</v>
      </c>
    </row>
    <row r="15" ht="30" customHeight="1">
      <c r="A15" s="91" t="s">
        <v>499</v>
      </c>
      <c r="B15" s="92" t="s">
        <v>500</v>
      </c>
      <c r="C15" s="92" t="s">
        <v>453</v>
      </c>
      <c r="D15" s="92" t="s">
        <v>454</v>
      </c>
      <c r="E15" s="92" t="s">
        <v>501</v>
      </c>
      <c r="F15" s="92" t="s">
        <v>502</v>
      </c>
    </row>
  </sheetData>
  <mergeCells>
    <mergeCell ref="A1:G1"/>
  </mergeCells>
  <printOptions headings="1"/>
  <pageMargins left="0.75" right="0.75" top="1" bottom="1" header="0.51" footer="0.51"/>
  <pageSetup paperSize="9" pageOrder="downThenOver" orientation="portrai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4C56325-0B08-DE38-EBE8-043D5BC95D68}" mc:Ignorable="x14ac xr xr2 xr3">
  <dimension ref="A1:CV10000"/>
  <sheetViews>
    <sheetView topLeftCell="A1" workbookViewId="0">
      <selection activeCell="A1" sqref="A1"/>
    </sheetView>
  </sheetViews>
  <sheetFormatPr defaultRowHeight="15" defaultColWidth="8.7109375" customHeight="1"/>
  <cols>
    <col min="1" max="1" style="28" width="5.00390625" customWidth="1"/>
    <col min="2" max="2" style="28" width="38.00390625" customWidth="1"/>
    <col min="3" max="3" style="28" width="55.00390625" customWidth="1"/>
    <col min="4" max="4" style="28" width="5.00390625" customWidth="1"/>
  </cols>
  <sheetData>
    <row r="1" ht="18.75" customHeight="1">
      <c r="A1" s="53" t="s">
        <v>503</v>
      </c>
      <c r="B1" s="53"/>
      <c r="C1" s="53"/>
      <c r="D1" s="53"/>
    </row>
    <row r="3" ht="15" customHeight="1">
      <c r="B3" s="57" t="s">
        <v>504</v>
      </c>
      <c r="C3" s="57" t="s">
        <v>505</v>
      </c>
    </row>
    <row r="4" ht="26.25" customHeight="1">
      <c r="B4" s="93" t="s">
        <v>506</v>
      </c>
      <c r="C4" s="58" t="str">
        <f>"1 USD = "&amp;TEXT('0. Assumptions'!C9,"0.00")&amp;" GHS (indicative, April 2026). Rates locked at contract signing."</f>
        <v>1 USD = 13.00 GHS (indicative, April 2026). Rates locked at contract signing.</v>
      </c>
    </row>
    <row r="5" ht="14.25" customHeight="1">
      <c r="B5" s="94" t="s">
        <v>508</v>
      </c>
      <c r="C5" s="62" t="s">
        <v>509</v>
      </c>
    </row>
    <row r="6" ht="26.25" customHeight="1">
      <c r="B6" s="93" t="s">
        <v>510</v>
      </c>
      <c r="C6" s="58" t="s">
        <v>511</v>
      </c>
    </row>
    <row r="7" ht="26.25" customHeight="1">
      <c r="B7" s="94" t="s">
        <v>512</v>
      </c>
      <c r="C7" s="62" t="s">
        <v>513</v>
      </c>
    </row>
    <row r="8" ht="26.25" customHeight="1">
      <c r="B8" s="93" t="s">
        <v>514</v>
      </c>
      <c r="C8" s="58" t="s">
        <v>515</v>
      </c>
    </row>
    <row r="9" ht="26.25" customHeight="1">
      <c r="B9" s="94" t="s">
        <v>516</v>
      </c>
      <c r="C9" s="62" t="s">
        <v>517</v>
      </c>
    </row>
    <row r="10" ht="26.25" customHeight="1">
      <c r="B10" s="93" t="s">
        <v>518</v>
      </c>
      <c r="C10" s="58" t="s">
        <v>519</v>
      </c>
    </row>
    <row r="11" ht="26.25" customHeight="1">
      <c r="B11" s="94" t="s">
        <v>520</v>
      </c>
      <c r="C11" s="62" t="s">
        <v>521</v>
      </c>
    </row>
    <row r="12" ht="26.25" customHeight="1">
      <c r="B12" s="93" t="s">
        <v>522</v>
      </c>
      <c r="C12" s="58" t="s">
        <v>523</v>
      </c>
    </row>
    <row r="13" ht="26.25" customHeight="1">
      <c r="B13" s="94" t="s">
        <v>524</v>
      </c>
      <c r="C13" s="62" t="s">
        <v>525</v>
      </c>
    </row>
    <row r="14" ht="14.25" customHeight="1">
      <c r="B14" s="93" t="s">
        <v>526</v>
      </c>
      <c r="C14" s="58" t="s">
        <v>527</v>
      </c>
    </row>
    <row r="15" ht="26.25" customHeight="1">
      <c r="B15" s="94" t="s">
        <v>528</v>
      </c>
      <c r="C15" s="62" t="s">
        <v>529</v>
      </c>
    </row>
    <row r="16" ht="26.25" customHeight="1">
      <c r="B16" s="93" t="s">
        <v>530</v>
      </c>
      <c r="C16" s="58" t="s">
        <v>531</v>
      </c>
    </row>
    <row r="17" ht="26.25" customHeight="1">
      <c r="B17" s="94" t="s">
        <v>532</v>
      </c>
      <c r="C17" s="62" t="s">
        <v>533</v>
      </c>
    </row>
    <row r="18" ht="26.25" customHeight="1">
      <c r="B18" s="93" t="s">
        <v>534</v>
      </c>
      <c r="C18" s="58" t="s">
        <v>535</v>
      </c>
    </row>
    <row r="19" ht="26.25" customHeight="1">
      <c r="B19" s="94" t="s">
        <v>536</v>
      </c>
      <c r="C19" s="62" t="s">
        <v>537</v>
      </c>
    </row>
    <row r="20" ht="26.25" customHeight="1">
      <c r="B20" s="93" t="s">
        <v>538</v>
      </c>
      <c r="C20" s="58" t="s">
        <v>539</v>
      </c>
    </row>
    <row r="21" ht="26.25" customHeight="1">
      <c r="B21" s="94" t="s">
        <v>540</v>
      </c>
      <c r="C21" s="62" t="s">
        <v>541</v>
      </c>
    </row>
    <row r="22" ht="26.25" customHeight="1">
      <c r="B22" s="93" t="s">
        <v>542</v>
      </c>
      <c r="C22" s="58" t="s">
        <v>543</v>
      </c>
    </row>
    <row r="23" ht="26.25" customHeight="1">
      <c r="B23" s="94" t="s">
        <v>544</v>
      </c>
      <c r="C23" s="62" t="s">
        <v>545</v>
      </c>
    </row>
    <row r="24" ht="26.25" customHeight="1">
      <c r="B24" s="93" t="s">
        <v>546</v>
      </c>
      <c r="C24" s="58" t="s">
        <v>547</v>
      </c>
    </row>
    <row r="25" ht="26.25" customHeight="1">
      <c r="B25" s="94" t="s">
        <v>548</v>
      </c>
      <c r="C25" s="62" t="s">
        <v>549</v>
      </c>
    </row>
    <row r="26" ht="26.25" customHeight="1">
      <c r="B26" s="93" t="s">
        <v>550</v>
      </c>
      <c r="C26" s="58" t="s">
        <v>551</v>
      </c>
    </row>
    <row r="27" ht="26.25" customHeight="1">
      <c r="B27" s="94" t="s">
        <v>552</v>
      </c>
      <c r="C27" s="62" t="s">
        <v>553</v>
      </c>
    </row>
  </sheetData>
  <mergeCells>
    <mergeCell ref="A1:D1"/>
  </mergeCells>
  <printOptions headings="1"/>
  <pageMargins left="0.75" right="0.75" top="1" bottom="1" header="0.51" footer="0.51"/>
  <pageSetup paperSize="9" pageOrder="downThenOver" orientation="portrai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ACF16E8-2673-C038-365C-82C1EF0CDBAA}" mc:Ignorable="x14ac xr xr2 xr3">
  <dimension ref="A1:CV10000"/>
  <sheetViews>
    <sheetView topLeftCell="A1" workbookViewId="0">
      <selection activeCell="A1" sqref="A1"/>
    </sheetView>
  </sheetViews>
  <sheetFormatPr defaultRowHeight="15" defaultColWidth="8.7109375" customHeight="1"/>
  <cols>
    <col min="1" max="1" style="28" width="45.00390625" customWidth="1"/>
    <col min="2" max="3" style="28" width="20.00390625" customWidth="1"/>
    <col min="4" max="4" style="28" width="5.00390625" customWidth="1"/>
  </cols>
  <sheetData>
    <row r="1" ht="30" customHeight="1">
      <c r="A1" s="68" t="s">
        <v>554</v>
      </c>
      <c r="B1" s="68"/>
      <c r="C1" s="68"/>
      <c r="D1" s="68"/>
    </row>
    <row r="2" ht="19.5" customHeight="1">
      <c r="A2" s="57" t="s">
        <v>555</v>
      </c>
      <c r="B2" s="57" t="s">
        <v>184</v>
      </c>
      <c r="C2" s="57" t="s">
        <v>185</v>
      </c>
      <c r="D2" s="57"/>
    </row>
    <row r="3" ht="18" customHeight="1">
      <c r="A3" s="69" t="s">
        <v>556</v>
      </c>
      <c r="B3" s="69"/>
      <c r="C3" s="69"/>
      <c r="D3" s="69"/>
    </row>
    <row r="4" ht="15" customHeight="1">
      <c r="A4" s="58" t="s">
        <v>557</v>
      </c>
      <c r="B4" s="59">
        <v>15000</v>
      </c>
      <c r="C4" s="60">
        <f>B4*'0. Assumptions'!$C$9</f>
        <v>195000</v>
      </c>
    </row>
    <row r="5" ht="15" customHeight="1">
      <c r="A5" s="62" t="s">
        <v>558</v>
      </c>
      <c r="B5" s="63">
        <v>18000</v>
      </c>
      <c r="C5" s="64">
        <f>B5*'0. Assumptions'!$C$9</f>
        <v>234000</v>
      </c>
    </row>
    <row r="6" ht="15" customHeight="1">
      <c r="A6" s="58" t="s">
        <v>559</v>
      </c>
      <c r="B6" s="59">
        <v>8000</v>
      </c>
      <c r="C6" s="60">
        <f>B6*'0. Assumptions'!$C$9</f>
        <v>104000</v>
      </c>
    </row>
    <row r="7" ht="15" customHeight="1">
      <c r="A7" s="62" t="s">
        <v>560</v>
      </c>
      <c r="B7" s="63">
        <v>12000</v>
      </c>
      <c r="C7" s="64">
        <f>B7*'0. Assumptions'!$C$9</f>
        <v>156000</v>
      </c>
    </row>
    <row r="8" ht="15" customHeight="1">
      <c r="A8" s="58" t="s">
        <v>561</v>
      </c>
      <c r="B8" s="59">
        <v>10000</v>
      </c>
      <c r="C8" s="60">
        <f>B8*'0. Assumptions'!$C$9</f>
        <v>130000</v>
      </c>
    </row>
    <row r="9" ht="15" customHeight="1">
      <c r="A9" s="62" t="s">
        <v>562</v>
      </c>
      <c r="B9" s="63">
        <v>6000</v>
      </c>
      <c r="C9" s="64">
        <f>B9*'0. Assumptions'!$C$9</f>
        <v>78000</v>
      </c>
    </row>
    <row r="10" ht="15" customHeight="1">
      <c r="A10" s="58" t="s">
        <v>563</v>
      </c>
      <c r="B10" s="59">
        <v>12000</v>
      </c>
      <c r="C10" s="60">
        <f>B10*'0. Assumptions'!$C$9</f>
        <v>156000</v>
      </c>
    </row>
    <row r="11" ht="15" customHeight="1">
      <c r="A11" s="62" t="s">
        <v>564</v>
      </c>
      <c r="B11" s="63">
        <v>9000</v>
      </c>
      <c r="C11" s="64">
        <f>B11*'0. Assumptions'!$C$9</f>
        <v>117000</v>
      </c>
    </row>
    <row r="12" ht="15" customHeight="1">
      <c r="A12" s="58" t="s">
        <v>565</v>
      </c>
      <c r="B12" s="59">
        <v>7000</v>
      </c>
      <c r="C12" s="60">
        <f>B12*'0. Assumptions'!$C$9</f>
        <v>91000</v>
      </c>
    </row>
    <row r="13" ht="15" customHeight="1">
      <c r="A13" s="62" t="s">
        <v>566</v>
      </c>
      <c r="B13" s="63">
        <v>5000</v>
      </c>
      <c r="C13" s="64">
        <f>B13*'0. Assumptions'!$C$9</f>
        <v>65000</v>
      </c>
    </row>
    <row r="14" ht="15" customHeight="1">
      <c r="A14" s="58" t="s">
        <v>567</v>
      </c>
      <c r="B14" s="59">
        <v>4000</v>
      </c>
      <c r="C14" s="60">
        <f>B14*'0. Assumptions'!$C$9</f>
        <v>52000</v>
      </c>
    </row>
    <row r="15" ht="15.75" customHeight="1">
      <c r="A15" s="95" t="s">
        <v>568</v>
      </c>
      <c r="B15" s="96">
        <f>SUM(B4:B14)</f>
        <v>106000</v>
      </c>
      <c r="C15" s="75">
        <f>B15*'0. Assumptions'!$C$9</f>
        <v>1378000</v>
      </c>
    </row>
    <row r="16" ht="18" customHeight="1">
      <c r="A16" s="69" t="s">
        <v>569</v>
      </c>
      <c r="B16" s="69"/>
      <c r="C16" s="69"/>
      <c r="D16" s="69"/>
    </row>
    <row r="17" ht="15" customHeight="1">
      <c r="A17" s="58" t="s">
        <v>570</v>
      </c>
      <c r="B17" s="59">
        <v>8000</v>
      </c>
      <c r="C17" s="60">
        <f>B17*'0. Assumptions'!$C$9</f>
        <v>104000</v>
      </c>
    </row>
    <row r="18" ht="15" customHeight="1">
      <c r="A18" s="62" t="s">
        <v>571</v>
      </c>
      <c r="B18" s="63">
        <v>22000</v>
      </c>
      <c r="C18" s="64">
        <f>B18*'0. Assumptions'!$C$9</f>
        <v>286000</v>
      </c>
    </row>
    <row r="19" ht="15" customHeight="1">
      <c r="A19" s="58" t="s">
        <v>572</v>
      </c>
      <c r="B19" s="59">
        <v>9000</v>
      </c>
      <c r="C19" s="60">
        <f>B19*'0. Assumptions'!$C$9</f>
        <v>117000</v>
      </c>
    </row>
    <row r="20" ht="15" customHeight="1">
      <c r="A20" s="62" t="s">
        <v>573</v>
      </c>
      <c r="B20" s="63">
        <v>18000</v>
      </c>
      <c r="C20" s="64">
        <f>B20*'0. Assumptions'!$C$9</f>
        <v>234000</v>
      </c>
    </row>
    <row r="21" ht="15" customHeight="1">
      <c r="A21" s="58" t="s">
        <v>574</v>
      </c>
      <c r="B21" s="59">
        <v>10000</v>
      </c>
      <c r="C21" s="60">
        <f>B21*'0. Assumptions'!$C$9</f>
        <v>130000</v>
      </c>
    </row>
    <row r="22" ht="15" customHeight="1">
      <c r="A22" s="62" t="s">
        <v>575</v>
      </c>
      <c r="B22" s="63">
        <v>12000</v>
      </c>
      <c r="C22" s="64">
        <f>B22*'0. Assumptions'!$C$9</f>
        <v>156000</v>
      </c>
    </row>
    <row r="23" ht="15" customHeight="1">
      <c r="A23" s="58" t="s">
        <v>576</v>
      </c>
      <c r="B23" s="59">
        <v>15000</v>
      </c>
      <c r="C23" s="60">
        <f>B23*'0. Assumptions'!$C$9</f>
        <v>195000</v>
      </c>
    </row>
    <row r="24" ht="15.75" customHeight="1">
      <c r="A24" s="95" t="s">
        <v>568</v>
      </c>
      <c r="B24" s="96">
        <f>SUM(B17:B23)</f>
        <v>94000</v>
      </c>
      <c r="C24" s="75">
        <f>B24*'0. Assumptions'!$C$9</f>
        <v>1222000</v>
      </c>
    </row>
    <row r="25" ht="18" customHeight="1">
      <c r="A25" s="69" t="s">
        <v>577</v>
      </c>
      <c r="B25" s="69"/>
      <c r="C25" s="69"/>
      <c r="D25" s="69"/>
    </row>
    <row r="26" ht="15" customHeight="1">
      <c r="A26" s="58" t="s">
        <v>578</v>
      </c>
      <c r="B26" s="59">
        <v>28000</v>
      </c>
      <c r="C26" s="60">
        <f>B26*'0. Assumptions'!$C$9</f>
        <v>364000</v>
      </c>
    </row>
    <row r="27" ht="15" customHeight="1">
      <c r="A27" s="62" t="s">
        <v>579</v>
      </c>
      <c r="B27" s="63">
        <v>30000</v>
      </c>
      <c r="C27" s="64">
        <f>B27*'0. Assumptions'!$C$9</f>
        <v>390000</v>
      </c>
    </row>
    <row r="28" ht="15" customHeight="1">
      <c r="A28" s="58" t="s">
        <v>580</v>
      </c>
      <c r="B28" s="59">
        <v>15000</v>
      </c>
      <c r="C28" s="60">
        <f>B28*'0. Assumptions'!$C$9</f>
        <v>195000</v>
      </c>
    </row>
    <row r="29" ht="15" customHeight="1">
      <c r="A29" s="62" t="s">
        <v>581</v>
      </c>
      <c r="B29" s="63">
        <v>22000</v>
      </c>
      <c r="C29" s="64">
        <f>B29*'0. Assumptions'!$C$9</f>
        <v>286000</v>
      </c>
    </row>
    <row r="30" ht="15" customHeight="1">
      <c r="A30" s="58" t="s">
        <v>582</v>
      </c>
      <c r="B30" s="59">
        <v>15000</v>
      </c>
      <c r="C30" s="60">
        <f>B30*'0. Assumptions'!$C$9</f>
        <v>195000</v>
      </c>
    </row>
    <row r="31" ht="15" customHeight="1">
      <c r="A31" s="62" t="s">
        <v>583</v>
      </c>
      <c r="B31" s="63">
        <v>20000</v>
      </c>
      <c r="C31" s="64">
        <f>B31*'0. Assumptions'!$C$9</f>
        <v>260000</v>
      </c>
    </row>
    <row r="32" ht="15" customHeight="1">
      <c r="A32" s="58" t="s">
        <v>584</v>
      </c>
      <c r="B32" s="59">
        <v>3000</v>
      </c>
      <c r="C32" s="60">
        <f>B32*'0. Assumptions'!$C$9</f>
        <v>39000</v>
      </c>
    </row>
    <row r="33" ht="15" customHeight="1">
      <c r="A33" s="62" t="s">
        <v>585</v>
      </c>
      <c r="B33" s="63">
        <v>18000</v>
      </c>
      <c r="C33" s="64">
        <f>B33*'0. Assumptions'!$C$9</f>
        <v>234000</v>
      </c>
    </row>
    <row r="34" ht="15" customHeight="1">
      <c r="A34" s="58" t="s">
        <v>586</v>
      </c>
      <c r="B34" s="59">
        <v>14000</v>
      </c>
      <c r="C34" s="60">
        <f>B34*'0. Assumptions'!$C$9</f>
        <v>182000</v>
      </c>
    </row>
    <row r="35" ht="15" customHeight="1">
      <c r="A35" s="62" t="s">
        <v>587</v>
      </c>
      <c r="B35" s="63">
        <v>5000</v>
      </c>
      <c r="C35" s="64">
        <f>B35*'0. Assumptions'!$C$9</f>
        <v>65000</v>
      </c>
    </row>
    <row r="36" ht="15.75" customHeight="1">
      <c r="A36" s="95" t="s">
        <v>568</v>
      </c>
      <c r="B36" s="96">
        <f>SUM(B26:B35)</f>
        <v>170000</v>
      </c>
      <c r="C36" s="75">
        <f>B36*'0. Assumptions'!$C$9</f>
        <v>2210000</v>
      </c>
    </row>
    <row r="37" ht="18" customHeight="1">
      <c r="A37" s="69" t="s">
        <v>588</v>
      </c>
      <c r="B37" s="69"/>
      <c r="C37" s="69"/>
      <c r="D37" s="69"/>
    </row>
    <row r="38" ht="15" customHeight="1">
      <c r="A38" s="58" t="s">
        <v>589</v>
      </c>
      <c r="B38" s="59">
        <v>8000</v>
      </c>
      <c r="C38" s="60">
        <f>B38*'0. Assumptions'!$C$9</f>
        <v>104000</v>
      </c>
    </row>
    <row r="39" ht="15" customHeight="1">
      <c r="A39" s="62" t="s">
        <v>590</v>
      </c>
      <c r="B39" s="63">
        <v>5000</v>
      </c>
      <c r="C39" s="64">
        <f>B39*'0. Assumptions'!$C$9</f>
        <v>65000</v>
      </c>
    </row>
    <row r="40" ht="15" customHeight="1">
      <c r="A40" s="58" t="s">
        <v>591</v>
      </c>
      <c r="B40" s="59">
        <v>6000</v>
      </c>
      <c r="C40" s="60">
        <f>B40*'0. Assumptions'!$C$9</f>
        <v>78000</v>
      </c>
    </row>
    <row r="41" ht="15" customHeight="1">
      <c r="A41" s="62" t="s">
        <v>592</v>
      </c>
      <c r="B41" s="63">
        <v>7000</v>
      </c>
      <c r="C41" s="64">
        <f>B41*'0. Assumptions'!$C$9</f>
        <v>91000</v>
      </c>
    </row>
    <row r="42" ht="15" customHeight="1">
      <c r="A42" s="58" t="s">
        <v>593</v>
      </c>
      <c r="B42" s="59">
        <v>4000</v>
      </c>
      <c r="C42" s="60">
        <f>B42*'0. Assumptions'!$C$9</f>
        <v>52000</v>
      </c>
    </row>
    <row r="43" ht="15.75" customHeight="1">
      <c r="A43" s="95" t="s">
        <v>568</v>
      </c>
      <c r="B43" s="96">
        <f>SUM(B38:B42)</f>
        <v>30000</v>
      </c>
      <c r="C43" s="75">
        <f>B43*'0. Assumptions'!$C$9</f>
        <v>390000</v>
      </c>
    </row>
    <row r="44" ht="21.75" customHeight="1">
      <c r="A44" s="66" t="s">
        <v>594</v>
      </c>
      <c r="B44" s="67">
        <f>B15+B24+B36+B43</f>
        <v>400000</v>
      </c>
      <c r="C44" s="67">
        <f>B44*'0. Assumptions'!$C$9</f>
        <v>5200000</v>
      </c>
    </row>
  </sheetData>
  <mergeCells>
    <mergeCell ref="A1:D1"/>
    <mergeCell ref="A3:D3"/>
    <mergeCell ref="A16:D16"/>
    <mergeCell ref="A25:D25"/>
    <mergeCell ref="A37:D37"/>
  </mergeCells>
  <printOptions headings="1"/>
  <pageMargins left="0.75" right="0.75" top="1" bottom="1" header="0.51" footer="0.51"/>
  <pageSetup paperSize="9" pageOrder="downThenOver" orientation="portrai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1283279-12D3-88DA-E588-4591C1DEA471}" mc:Ignorable="x14ac xr xr2 xr3">
  <dimension ref="A1:CV10000"/>
  <sheetViews>
    <sheetView topLeftCell="A1" workbookViewId="0">
      <selection activeCell="A1" sqref="A1"/>
    </sheetView>
  </sheetViews>
  <sheetFormatPr defaultRowHeight="15" defaultColWidth="8.7109375" customHeight="1"/>
  <cols>
    <col min="1" max="1" style="28" width="48.00390625" customWidth="1"/>
    <col min="2" max="2" style="28" width="15.00390625" customWidth="1"/>
    <col min="3" max="3" style="28" width="10.00390625" customWidth="1"/>
    <col min="4" max="5" style="28" width="16.00390625" customWidth="1"/>
    <col min="6" max="6" style="28" width="5.00390625" customWidth="1"/>
  </cols>
  <sheetData>
    <row r="1" ht="30" customHeight="1">
      <c r="A1" s="68" t="s">
        <v>595</v>
      </c>
      <c r="B1" s="68"/>
      <c r="C1" s="68"/>
      <c r="D1" s="68"/>
      <c r="E1" s="68"/>
      <c r="F1" s="68"/>
    </row>
    <row r="2" ht="19.5" customHeight="1">
      <c r="A2" s="57" t="s">
        <v>596</v>
      </c>
      <c r="B2" s="57" t="s">
        <v>247</v>
      </c>
      <c r="C2" s="57" t="s">
        <v>597</v>
      </c>
      <c r="D2" s="57" t="s">
        <v>117</v>
      </c>
      <c r="E2" s="57" t="s">
        <v>118</v>
      </c>
      <c r="F2" s="57"/>
    </row>
    <row r="3" ht="18" customHeight="1">
      <c r="A3" s="69" t="s">
        <v>598</v>
      </c>
      <c r="B3" s="69"/>
      <c r="C3" s="69"/>
      <c r="D3" s="69"/>
      <c r="E3" s="69"/>
      <c r="F3" s="69"/>
    </row>
    <row r="4" ht="15" customHeight="1">
      <c r="A4" s="58" t="s">
        <v>599</v>
      </c>
      <c r="B4" s="59">
        <v>12000</v>
      </c>
      <c r="C4" s="97">
        <v>1</v>
      </c>
      <c r="D4" s="70">
        <f t="shared" si="0" ref="D4:D49">B4*C4</f>
        <v>12000</v>
      </c>
      <c r="E4" s="60">
        <f>D4*'0. Assumptions'!$C$9</f>
        <v>156000</v>
      </c>
    </row>
    <row r="5" ht="15" customHeight="1">
      <c r="A5" s="62" t="s">
        <v>600</v>
      </c>
      <c r="B5" s="63">
        <v>18000</v>
      </c>
      <c r="C5" s="98">
        <v>1</v>
      </c>
      <c r="D5" s="71">
        <f t="shared" si="0"/>
        <v>18000</v>
      </c>
      <c r="E5" s="64">
        <f>D5*'0. Assumptions'!$C$9</f>
        <v>234000</v>
      </c>
    </row>
    <row r="6" ht="15" customHeight="1">
      <c r="A6" s="58" t="s">
        <v>601</v>
      </c>
      <c r="B6" s="59">
        <v>10000</v>
      </c>
      <c r="C6" s="97">
        <v>1</v>
      </c>
      <c r="D6" s="70">
        <f t="shared" si="0"/>
        <v>10000</v>
      </c>
      <c r="E6" s="60">
        <f>D6*'0. Assumptions'!$C$9</f>
        <v>130000</v>
      </c>
    </row>
    <row r="7" ht="15" customHeight="1">
      <c r="A7" s="62" t="s">
        <v>602</v>
      </c>
      <c r="B7" s="63">
        <v>2500</v>
      </c>
      <c r="C7" s="98">
        <v>16</v>
      </c>
      <c r="D7" s="71">
        <f t="shared" si="0"/>
        <v>40000</v>
      </c>
      <c r="E7" s="64">
        <f>D7*'0. Assumptions'!$C$9</f>
        <v>520000</v>
      </c>
    </row>
    <row r="8" ht="15" customHeight="1">
      <c r="A8" s="58" t="s">
        <v>603</v>
      </c>
      <c r="B8" s="59">
        <v>3000</v>
      </c>
      <c r="C8" s="97">
        <v>8</v>
      </c>
      <c r="D8" s="70">
        <f t="shared" si="0"/>
        <v>24000</v>
      </c>
      <c r="E8" s="60">
        <f>D8*'0. Assumptions'!$C$9</f>
        <v>312000</v>
      </c>
    </row>
    <row r="9" ht="15" customHeight="1">
      <c r="A9" s="62" t="s">
        <v>604</v>
      </c>
      <c r="B9" s="63">
        <v>5000</v>
      </c>
      <c r="C9" s="98">
        <v>1</v>
      </c>
      <c r="D9" s="71">
        <f t="shared" si="0"/>
        <v>5000</v>
      </c>
      <c r="E9" s="64">
        <f>D9*'0. Assumptions'!$C$9</f>
        <v>65000</v>
      </c>
    </row>
    <row r="10" ht="15" customHeight="1">
      <c r="A10" s="58" t="s">
        <v>605</v>
      </c>
      <c r="B10" s="59">
        <v>8000</v>
      </c>
      <c r="C10" s="97">
        <v>1</v>
      </c>
      <c r="D10" s="70">
        <f t="shared" si="0"/>
        <v>8000</v>
      </c>
      <c r="E10" s="60">
        <f>D10*'0. Assumptions'!$C$9</f>
        <v>104000</v>
      </c>
    </row>
    <row r="11" ht="15" customHeight="1">
      <c r="A11" s="62" t="s">
        <v>606</v>
      </c>
      <c r="B11" s="63">
        <v>6000</v>
      </c>
      <c r="C11" s="98">
        <v>1</v>
      </c>
      <c r="D11" s="71">
        <f t="shared" si="0"/>
        <v>6000</v>
      </c>
      <c r="E11" s="64">
        <f>D11*'0. Assumptions'!$C$9</f>
        <v>78000</v>
      </c>
    </row>
    <row r="12" ht="15.75" customHeight="1">
      <c r="A12" s="95" t="s">
        <v>568</v>
      </c>
      <c r="D12" s="96">
        <f t="shared" si="1" ref="D12:D30">SUM(D4:D11)</f>
        <v>123000</v>
      </c>
      <c r="E12" s="75">
        <f>D12*'0. Assumptions'!$C$9</f>
        <v>1599000</v>
      </c>
    </row>
    <row r="13" ht="18" customHeight="1">
      <c r="A13" s="69" t="s">
        <v>607</v>
      </c>
      <c r="B13" s="69"/>
      <c r="C13" s="69"/>
      <c r="D13" s="69"/>
      <c r="E13" s="69"/>
      <c r="F13" s="69"/>
    </row>
    <row r="14" ht="15" customHeight="1">
      <c r="A14" s="58" t="s">
        <v>608</v>
      </c>
      <c r="B14" s="59">
        <v>8000</v>
      </c>
      <c r="C14" s="97">
        <v>1</v>
      </c>
      <c r="D14" s="70">
        <f t="shared" si="0"/>
        <v>8000</v>
      </c>
      <c r="E14" s="60">
        <f>D14*'0. Assumptions'!$C$9</f>
        <v>104000</v>
      </c>
    </row>
    <row r="15" ht="15" customHeight="1">
      <c r="A15" s="62" t="s">
        <v>609</v>
      </c>
      <c r="B15" s="63">
        <v>5000</v>
      </c>
      <c r="C15" s="98">
        <v>1</v>
      </c>
      <c r="D15" s="71">
        <f t="shared" si="0"/>
        <v>5000</v>
      </c>
      <c r="E15" s="64">
        <f>D15*'0. Assumptions'!$C$9</f>
        <v>65000</v>
      </c>
    </row>
    <row r="16" ht="15" customHeight="1">
      <c r="A16" s="58" t="s">
        <v>610</v>
      </c>
      <c r="B16" s="59">
        <v>3500</v>
      </c>
      <c r="C16" s="97">
        <v>1</v>
      </c>
      <c r="D16" s="70">
        <f t="shared" si="0"/>
        <v>3500</v>
      </c>
      <c r="E16" s="60">
        <f>D16*'0. Assumptions'!$C$9</f>
        <v>45500</v>
      </c>
    </row>
    <row r="17" ht="15" customHeight="1">
      <c r="A17" s="62" t="s">
        <v>611</v>
      </c>
      <c r="B17" s="63">
        <v>4000</v>
      </c>
      <c r="C17" s="98">
        <v>1</v>
      </c>
      <c r="D17" s="71">
        <f t="shared" si="0"/>
        <v>4000</v>
      </c>
      <c r="E17" s="64">
        <f>D17*'0. Assumptions'!$C$9</f>
        <v>52000</v>
      </c>
    </row>
    <row r="18" ht="15" customHeight="1">
      <c r="A18" s="58" t="s">
        <v>612</v>
      </c>
      <c r="B18" s="59">
        <v>3000</v>
      </c>
      <c r="C18" s="97">
        <v>1</v>
      </c>
      <c r="D18" s="70">
        <f t="shared" si="0"/>
        <v>3000</v>
      </c>
      <c r="E18" s="60">
        <f>D18*'0. Assumptions'!$C$9</f>
        <v>39000</v>
      </c>
    </row>
    <row r="19" ht="15" customHeight="1">
      <c r="A19" s="62" t="s">
        <v>613</v>
      </c>
      <c r="B19" s="63">
        <v>4500</v>
      </c>
      <c r="C19" s="98">
        <v>1</v>
      </c>
      <c r="D19" s="71">
        <f t="shared" si="0"/>
        <v>4500</v>
      </c>
      <c r="E19" s="64">
        <f>D19*'0. Assumptions'!$C$9</f>
        <v>58500</v>
      </c>
    </row>
    <row r="20" ht="15.75" customHeight="1">
      <c r="A20" s="95" t="s">
        <v>568</v>
      </c>
      <c r="D20" s="96">
        <f t="shared" si="2" ref="D20:D38">SUM(D14:D19)</f>
        <v>28000</v>
      </c>
      <c r="E20" s="75">
        <f>D20*'0. Assumptions'!$C$9</f>
        <v>364000</v>
      </c>
    </row>
    <row r="21" ht="18" customHeight="1">
      <c r="A21" s="69" t="s">
        <v>614</v>
      </c>
      <c r="B21" s="69"/>
      <c r="C21" s="69"/>
      <c r="D21" s="69"/>
      <c r="E21" s="69"/>
      <c r="F21" s="69"/>
    </row>
    <row r="22" ht="15" customHeight="1">
      <c r="A22" s="58" t="s">
        <v>615</v>
      </c>
      <c r="B22" s="59">
        <v>8000</v>
      </c>
      <c r="C22" s="97">
        <v>1</v>
      </c>
      <c r="D22" s="70">
        <f t="shared" si="0"/>
        <v>8000</v>
      </c>
      <c r="E22" s="60">
        <f>D22*'0. Assumptions'!$C$9</f>
        <v>104000</v>
      </c>
    </row>
    <row r="23" ht="15" customHeight="1">
      <c r="A23" s="62" t="s">
        <v>616</v>
      </c>
      <c r="B23" s="63">
        <v>3500</v>
      </c>
      <c r="C23" s="98">
        <v>2</v>
      </c>
      <c r="D23" s="71">
        <f t="shared" si="0"/>
        <v>7000</v>
      </c>
      <c r="E23" s="64">
        <f>D23*'0. Assumptions'!$C$9</f>
        <v>91000</v>
      </c>
    </row>
    <row r="24" ht="15" customHeight="1">
      <c r="A24" s="58" t="s">
        <v>617</v>
      </c>
      <c r="B24" s="59">
        <v>3500</v>
      </c>
      <c r="C24" s="97">
        <v>2</v>
      </c>
      <c r="D24" s="70">
        <f t="shared" si="0"/>
        <v>7000</v>
      </c>
      <c r="E24" s="60">
        <f>D24*'0. Assumptions'!$C$9</f>
        <v>91000</v>
      </c>
    </row>
    <row r="25" ht="15" customHeight="1">
      <c r="A25" s="62" t="s">
        <v>618</v>
      </c>
      <c r="B25" s="63">
        <v>3500</v>
      </c>
      <c r="C25" s="98">
        <v>2</v>
      </c>
      <c r="D25" s="71">
        <f t="shared" si="0"/>
        <v>7000</v>
      </c>
      <c r="E25" s="64">
        <f>D25*'0. Assumptions'!$C$9</f>
        <v>91000</v>
      </c>
    </row>
    <row r="26" ht="15" customHeight="1">
      <c r="A26" s="58" t="s">
        <v>619</v>
      </c>
      <c r="B26" s="59">
        <v>3500</v>
      </c>
      <c r="C26" s="97">
        <v>2</v>
      </c>
      <c r="D26" s="70">
        <f t="shared" si="0"/>
        <v>7000</v>
      </c>
      <c r="E26" s="60">
        <f>D26*'0. Assumptions'!$C$9</f>
        <v>91000</v>
      </c>
    </row>
    <row r="27" ht="15" customHeight="1">
      <c r="A27" s="62" t="s">
        <v>620</v>
      </c>
      <c r="B27" s="63">
        <v>3500</v>
      </c>
      <c r="C27" s="98">
        <v>2</v>
      </c>
      <c r="D27" s="71">
        <f t="shared" si="0"/>
        <v>7000</v>
      </c>
      <c r="E27" s="64">
        <f>D27*'0. Assumptions'!$C$9</f>
        <v>91000</v>
      </c>
    </row>
    <row r="28" ht="15" customHeight="1">
      <c r="A28" s="58" t="s">
        <v>621</v>
      </c>
      <c r="B28" s="59">
        <v>4500</v>
      </c>
      <c r="C28" s="97">
        <v>2</v>
      </c>
      <c r="D28" s="70">
        <f t="shared" si="0"/>
        <v>9000</v>
      </c>
      <c r="E28" s="60">
        <f>D28*'0. Assumptions'!$C$9</f>
        <v>117000</v>
      </c>
    </row>
    <row r="29" ht="15" customHeight="1">
      <c r="A29" s="62" t="s">
        <v>622</v>
      </c>
      <c r="B29" s="63">
        <v>1200</v>
      </c>
      <c r="C29" s="98">
        <v>10</v>
      </c>
      <c r="D29" s="71">
        <f t="shared" si="0"/>
        <v>12000</v>
      </c>
      <c r="E29" s="64">
        <f>D29*'0. Assumptions'!$C$9</f>
        <v>156000</v>
      </c>
    </row>
    <row r="30" ht="15.75" customHeight="1">
      <c r="A30" s="95" t="s">
        <v>568</v>
      </c>
      <c r="D30" s="96">
        <f t="shared" si="1"/>
        <v>64000</v>
      </c>
      <c r="E30" s="75">
        <f>D30*'0. Assumptions'!$C$9</f>
        <v>832000</v>
      </c>
    </row>
    <row r="31" ht="18" customHeight="1">
      <c r="A31" s="69" t="s">
        <v>623</v>
      </c>
      <c r="B31" s="69"/>
      <c r="C31" s="69"/>
      <c r="D31" s="69"/>
      <c r="E31" s="69"/>
      <c r="F31" s="69"/>
    </row>
    <row r="32" ht="15" customHeight="1">
      <c r="A32" s="58" t="s">
        <v>624</v>
      </c>
      <c r="B32" s="59">
        <v>2500</v>
      </c>
      <c r="C32" s="97">
        <v>30</v>
      </c>
      <c r="D32" s="70">
        <f t="shared" si="0"/>
        <v>75000</v>
      </c>
      <c r="E32" s="60">
        <f>D32*'0. Assumptions'!$C$9</f>
        <v>975000</v>
      </c>
    </row>
    <row r="33" ht="15" customHeight="1">
      <c r="A33" s="62" t="s">
        <v>625</v>
      </c>
      <c r="B33" s="63">
        <v>2000</v>
      </c>
      <c r="C33" s="98">
        <v>20</v>
      </c>
      <c r="D33" s="71">
        <f t="shared" si="0"/>
        <v>40000</v>
      </c>
      <c r="E33" s="64">
        <f>D33*'0. Assumptions'!$C$9</f>
        <v>520000</v>
      </c>
    </row>
    <row r="34" ht="15" customHeight="1">
      <c r="A34" s="58" t="s">
        <v>626</v>
      </c>
      <c r="B34" s="59">
        <v>1800</v>
      </c>
      <c r="C34" s="97">
        <v>15</v>
      </c>
      <c r="D34" s="70">
        <f t="shared" si="0"/>
        <v>27000</v>
      </c>
      <c r="E34" s="60">
        <f>D34*'0. Assumptions'!$C$9</f>
        <v>351000</v>
      </c>
    </row>
    <row r="35" ht="15" customHeight="1">
      <c r="A35" s="62" t="s">
        <v>627</v>
      </c>
      <c r="B35" s="63">
        <v>1500</v>
      </c>
      <c r="C35" s="98">
        <v>40</v>
      </c>
      <c r="D35" s="71">
        <f t="shared" si="0"/>
        <v>60000</v>
      </c>
      <c r="E35" s="64">
        <f>D35*'0. Assumptions'!$C$9</f>
        <v>780000</v>
      </c>
    </row>
    <row r="36" ht="15" customHeight="1">
      <c r="A36" s="58" t="s">
        <v>628</v>
      </c>
      <c r="B36" s="59">
        <v>3000</v>
      </c>
      <c r="C36" s="97">
        <v>10</v>
      </c>
      <c r="D36" s="70">
        <f t="shared" si="0"/>
        <v>30000</v>
      </c>
      <c r="E36" s="60">
        <f>D36*'0. Assumptions'!$C$9</f>
        <v>390000</v>
      </c>
    </row>
    <row r="37" ht="15" customHeight="1">
      <c r="A37" s="62" t="s">
        <v>629</v>
      </c>
      <c r="B37" s="63">
        <v>2500</v>
      </c>
      <c r="C37" s="98">
        <v>15</v>
      </c>
      <c r="D37" s="71">
        <f t="shared" si="0"/>
        <v>37500</v>
      </c>
      <c r="E37" s="64">
        <f>D37*'0. Assumptions'!$C$9</f>
        <v>487500</v>
      </c>
    </row>
    <row r="38" ht="15.75" customHeight="1">
      <c r="A38" s="95" t="s">
        <v>568</v>
      </c>
      <c r="D38" s="96">
        <f t="shared" si="2"/>
        <v>269500</v>
      </c>
      <c r="E38" s="75">
        <f>D38*'0. Assumptions'!$C$9</f>
        <v>3503500</v>
      </c>
    </row>
    <row r="39" ht="18" customHeight="1">
      <c r="A39" s="69" t="s">
        <v>630</v>
      </c>
      <c r="B39" s="69"/>
      <c r="C39" s="69"/>
      <c r="D39" s="69"/>
      <c r="E39" s="69"/>
      <c r="F39" s="69"/>
    </row>
    <row r="40" ht="15" customHeight="1">
      <c r="A40" s="58" t="s">
        <v>631</v>
      </c>
      <c r="B40" s="59">
        <v>12000</v>
      </c>
      <c r="C40" s="97">
        <v>1</v>
      </c>
      <c r="D40" s="70">
        <f t="shared" si="0"/>
        <v>12000</v>
      </c>
      <c r="E40" s="60">
        <f>D40*'0. Assumptions'!$C$9</f>
        <v>156000</v>
      </c>
    </row>
    <row r="41" ht="15" customHeight="1">
      <c r="A41" s="62" t="s">
        <v>632</v>
      </c>
      <c r="B41" s="63">
        <v>8000</v>
      </c>
      <c r="C41" s="98">
        <v>1</v>
      </c>
      <c r="D41" s="71">
        <f t="shared" si="0"/>
        <v>8000</v>
      </c>
      <c r="E41" s="64">
        <f>D41*'0. Assumptions'!$C$9</f>
        <v>104000</v>
      </c>
    </row>
    <row r="42" ht="15" customHeight="1">
      <c r="A42" s="58" t="s">
        <v>633</v>
      </c>
      <c r="B42" s="59">
        <v>4000</v>
      </c>
      <c r="C42" s="97">
        <v>4</v>
      </c>
      <c r="D42" s="70">
        <f t="shared" si="0"/>
        <v>16000</v>
      </c>
      <c r="E42" s="60">
        <f>D42*'0. Assumptions'!$C$9</f>
        <v>208000</v>
      </c>
    </row>
    <row r="43" ht="15" customHeight="1">
      <c r="A43" s="62" t="s">
        <v>634</v>
      </c>
      <c r="B43" s="63">
        <v>3000</v>
      </c>
      <c r="C43" s="98">
        <v>1</v>
      </c>
      <c r="D43" s="71">
        <f t="shared" si="0"/>
        <v>3000</v>
      </c>
      <c r="E43" s="64">
        <f>D43*'0. Assumptions'!$C$9</f>
        <v>39000</v>
      </c>
    </row>
    <row r="44" ht="15.75" customHeight="1">
      <c r="A44" s="95" t="s">
        <v>568</v>
      </c>
      <c r="D44" s="96">
        <f t="shared" si="3" ref="D44:D50">SUM(D40:D43)</f>
        <v>39000</v>
      </c>
      <c r="E44" s="75">
        <f>D44*'0. Assumptions'!$C$9</f>
        <v>507000</v>
      </c>
    </row>
    <row r="45" ht="18" customHeight="1">
      <c r="A45" s="69" t="s">
        <v>635</v>
      </c>
      <c r="B45" s="69"/>
      <c r="C45" s="69"/>
      <c r="D45" s="69"/>
      <c r="E45" s="69"/>
      <c r="F45" s="69"/>
    </row>
    <row r="46" ht="15" customHeight="1">
      <c r="A46" s="58" t="s">
        <v>636</v>
      </c>
      <c r="B46" s="59">
        <v>8000</v>
      </c>
      <c r="C46" s="97">
        <v>1</v>
      </c>
      <c r="D46" s="70">
        <f t="shared" si="0"/>
        <v>8000</v>
      </c>
      <c r="E46" s="60">
        <f>D46*'0. Assumptions'!$C$9</f>
        <v>104000</v>
      </c>
    </row>
    <row r="47" ht="15" customHeight="1">
      <c r="A47" s="62" t="s">
        <v>637</v>
      </c>
      <c r="B47" s="63">
        <v>6000</v>
      </c>
      <c r="C47" s="98">
        <v>1</v>
      </c>
      <c r="D47" s="71">
        <f t="shared" si="0"/>
        <v>6000</v>
      </c>
      <c r="E47" s="64">
        <f>D47*'0. Assumptions'!$C$9</f>
        <v>78000</v>
      </c>
    </row>
    <row r="48" ht="15" customHeight="1">
      <c r="A48" s="58" t="s">
        <v>638</v>
      </c>
      <c r="B48" s="59">
        <v>5000</v>
      </c>
      <c r="C48" s="97">
        <v>1</v>
      </c>
      <c r="D48" s="70">
        <f t="shared" si="0"/>
        <v>5000</v>
      </c>
      <c r="E48" s="60">
        <f>D48*'0. Assumptions'!$C$9</f>
        <v>65000</v>
      </c>
    </row>
    <row r="49" ht="15" customHeight="1">
      <c r="A49" s="62" t="s">
        <v>639</v>
      </c>
      <c r="B49" s="63">
        <v>6000</v>
      </c>
      <c r="C49" s="98">
        <v>1</v>
      </c>
      <c r="D49" s="71">
        <f t="shared" si="0"/>
        <v>6000</v>
      </c>
      <c r="E49" s="64">
        <f>D49*'0. Assumptions'!$C$9</f>
        <v>78000</v>
      </c>
    </row>
    <row r="50" ht="15.75" customHeight="1">
      <c r="A50" s="95" t="s">
        <v>568</v>
      </c>
      <c r="D50" s="96">
        <f t="shared" si="3"/>
        <v>25000</v>
      </c>
      <c r="E50" s="75">
        <f>D50*'0. Assumptions'!$C$9</f>
        <v>325000</v>
      </c>
    </row>
    <row r="51" ht="21.75" customHeight="1">
      <c r="A51" s="66" t="s">
        <v>640</v>
      </c>
      <c r="D51" s="67">
        <f>D12+D20+D30+D38+D44+D50</f>
        <v>548500</v>
      </c>
      <c r="E51" s="67">
        <f>D51*'0. Assumptions'!$C$9</f>
        <v>7130500</v>
      </c>
    </row>
  </sheetData>
  <mergeCells>
    <mergeCell ref="A1:F1"/>
    <mergeCell ref="A3:F3"/>
    <mergeCell ref="A13:F13"/>
    <mergeCell ref="A21:F21"/>
    <mergeCell ref="A31:F31"/>
    <mergeCell ref="A39:F39"/>
    <mergeCell ref="A45:F45"/>
  </mergeCells>
  <printOptions headings="1"/>
  <pageMargins left="0.75" right="0.75" top="1" bottom="1" header="0.51" footer="0.51"/>
  <pageSetup paperSize="9" pageOrder="downThenOver" orientation="portrai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F7477EF-DAD8-8B08-BE98-E5268F5EEEE8}" mc:Ignorable="x14ac xr xr2 xr3">
  <dimension ref="A1:CV10000"/>
  <sheetViews>
    <sheetView topLeftCell="A1" workbookViewId="0">
      <selection activeCell="A1" sqref="A1"/>
    </sheetView>
  </sheetViews>
  <sheetFormatPr defaultRowHeight="15" defaultColWidth="8.7109375" customHeight="1"/>
  <cols>
    <col min="1" max="1" style="28" width="48.00390625" customWidth="1"/>
    <col min="2" max="2" style="28" width="15.00390625" customWidth="1"/>
    <col min="3" max="3" style="28" width="10.00390625" customWidth="1"/>
    <col min="4" max="5" style="28" width="16.00390625" customWidth="1"/>
    <col min="6" max="6" style="28" width="5.00390625" customWidth="1"/>
  </cols>
  <sheetData>
    <row r="1" ht="30" customHeight="1">
      <c r="A1" s="68" t="s">
        <v>641</v>
      </c>
      <c r="B1" s="68"/>
      <c r="C1" s="68"/>
      <c r="D1" s="68"/>
      <c r="E1" s="68"/>
      <c r="F1" s="68"/>
    </row>
    <row r="2" ht="19.5" customHeight="1">
      <c r="A2" s="57" t="s">
        <v>642</v>
      </c>
      <c r="B2" s="57" t="s">
        <v>247</v>
      </c>
      <c r="C2" s="57" t="s">
        <v>597</v>
      </c>
      <c r="D2" s="57" t="s">
        <v>117</v>
      </c>
      <c r="E2" s="57" t="s">
        <v>118</v>
      </c>
      <c r="F2" s="57"/>
    </row>
    <row r="3" ht="18" customHeight="1">
      <c r="A3" s="69" t="s">
        <v>643</v>
      </c>
      <c r="B3" s="69"/>
      <c r="C3" s="69"/>
      <c r="D3" s="69"/>
      <c r="E3" s="69"/>
      <c r="F3" s="69"/>
    </row>
    <row r="4" ht="15" customHeight="1">
      <c r="A4" s="58" t="s">
        <v>644</v>
      </c>
      <c r="B4" s="59">
        <v>45000</v>
      </c>
      <c r="C4" s="97">
        <v>1</v>
      </c>
      <c r="D4" s="70">
        <f t="shared" si="0" ref="D4:D49">B4*C4</f>
        <v>45000</v>
      </c>
      <c r="E4" s="60">
        <f>D4*'0. Assumptions'!$C$9</f>
        <v>585000</v>
      </c>
    </row>
    <row r="5" ht="15" customHeight="1">
      <c r="A5" s="62" t="s">
        <v>645</v>
      </c>
      <c r="B5" s="63">
        <v>40000</v>
      </c>
      <c r="C5" s="98">
        <v>1</v>
      </c>
      <c r="D5" s="71">
        <f t="shared" si="0"/>
        <v>40000</v>
      </c>
      <c r="E5" s="64">
        <f>D5*'0. Assumptions'!$C$9</f>
        <v>520000</v>
      </c>
    </row>
    <row r="6" ht="15" customHeight="1">
      <c r="A6" s="58" t="s">
        <v>646</v>
      </c>
      <c r="B6" s="59">
        <v>45000</v>
      </c>
      <c r="C6" s="97">
        <v>1</v>
      </c>
      <c r="D6" s="70">
        <f t="shared" si="0"/>
        <v>45000</v>
      </c>
      <c r="E6" s="60">
        <f>D6*'0. Assumptions'!$C$9</f>
        <v>585000</v>
      </c>
    </row>
    <row r="7" ht="15" customHeight="1">
      <c r="A7" s="62" t="s">
        <v>647</v>
      </c>
      <c r="B7" s="63">
        <v>38000</v>
      </c>
      <c r="C7" s="98">
        <v>1</v>
      </c>
      <c r="D7" s="71">
        <f t="shared" si="0"/>
        <v>38000</v>
      </c>
      <c r="E7" s="64">
        <f>D7*'0. Assumptions'!$C$9</f>
        <v>494000</v>
      </c>
    </row>
    <row r="8" ht="15" customHeight="1">
      <c r="A8" s="58" t="s">
        <v>648</v>
      </c>
      <c r="B8" s="59">
        <v>32000</v>
      </c>
      <c r="C8" s="97">
        <v>1</v>
      </c>
      <c r="D8" s="70">
        <f t="shared" si="0"/>
        <v>32000</v>
      </c>
      <c r="E8" s="60">
        <f>D8*'0. Assumptions'!$C$9</f>
        <v>416000</v>
      </c>
    </row>
    <row r="9" ht="15" customHeight="1">
      <c r="A9" s="62" t="s">
        <v>649</v>
      </c>
      <c r="B9" s="63">
        <v>28000</v>
      </c>
      <c r="C9" s="98">
        <v>1</v>
      </c>
      <c r="D9" s="71">
        <f t="shared" si="0"/>
        <v>28000</v>
      </c>
      <c r="E9" s="64">
        <f>D9*'0. Assumptions'!$C$9</f>
        <v>364000</v>
      </c>
    </row>
    <row r="10" ht="15" customHeight="1">
      <c r="A10" s="58" t="s">
        <v>650</v>
      </c>
      <c r="B10" s="59">
        <v>20000</v>
      </c>
      <c r="C10" s="97">
        <v>1</v>
      </c>
      <c r="D10" s="70">
        <f t="shared" si="0"/>
        <v>20000</v>
      </c>
      <c r="E10" s="60">
        <f>D10*'0. Assumptions'!$C$9</f>
        <v>260000</v>
      </c>
    </row>
    <row r="11" ht="15" customHeight="1">
      <c r="A11" s="62" t="s">
        <v>651</v>
      </c>
      <c r="B11" s="63">
        <v>25000</v>
      </c>
      <c r="C11" s="98">
        <v>1</v>
      </c>
      <c r="D11" s="71">
        <f t="shared" si="0"/>
        <v>25000</v>
      </c>
      <c r="E11" s="64">
        <f>D11*'0. Assumptions'!$C$9</f>
        <v>325000</v>
      </c>
    </row>
    <row r="12" ht="15" customHeight="1">
      <c r="A12" s="58" t="s">
        <v>326</v>
      </c>
      <c r="B12" s="59">
        <v>18000</v>
      </c>
      <c r="C12" s="97">
        <v>1</v>
      </c>
      <c r="D12" s="70">
        <f t="shared" si="0"/>
        <v>18000</v>
      </c>
      <c r="E12" s="60">
        <f>D12*'0. Assumptions'!$C$9</f>
        <v>234000</v>
      </c>
    </row>
    <row r="13" ht="15.75" customHeight="1">
      <c r="A13" s="95" t="s">
        <v>568</v>
      </c>
      <c r="D13" s="96">
        <f>SUM(D4:D12)</f>
        <v>291000</v>
      </c>
      <c r="E13" s="75">
        <f>D13*'0. Assumptions'!$C$9</f>
        <v>3783000</v>
      </c>
    </row>
    <row r="14" ht="18" customHeight="1">
      <c r="A14" s="69" t="s">
        <v>652</v>
      </c>
      <c r="B14" s="69"/>
      <c r="C14" s="69"/>
      <c r="D14" s="69"/>
      <c r="E14" s="69"/>
      <c r="F14" s="69"/>
    </row>
    <row r="15" ht="15" customHeight="1">
      <c r="A15" s="58" t="s">
        <v>653</v>
      </c>
      <c r="B15" s="59">
        <v>12000</v>
      </c>
      <c r="C15" s="97">
        <v>1</v>
      </c>
      <c r="D15" s="70">
        <f t="shared" si="0"/>
        <v>12000</v>
      </c>
      <c r="E15" s="60">
        <f>D15*'0. Assumptions'!$C$9</f>
        <v>156000</v>
      </c>
    </row>
    <row r="16" ht="15" customHeight="1">
      <c r="A16" s="62" t="s">
        <v>654</v>
      </c>
      <c r="B16" s="63">
        <v>10000</v>
      </c>
      <c r="C16" s="98">
        <v>1</v>
      </c>
      <c r="D16" s="71">
        <f t="shared" si="0"/>
        <v>10000</v>
      </c>
      <c r="E16" s="64">
        <f>D16*'0. Assumptions'!$C$9</f>
        <v>130000</v>
      </c>
    </row>
    <row r="17" ht="15" customHeight="1">
      <c r="A17" s="58" t="s">
        <v>655</v>
      </c>
      <c r="B17" s="59">
        <v>8000</v>
      </c>
      <c r="C17" s="97">
        <v>1</v>
      </c>
      <c r="D17" s="70">
        <f t="shared" si="0"/>
        <v>8000</v>
      </c>
      <c r="E17" s="60">
        <f>D17*'0. Assumptions'!$C$9</f>
        <v>104000</v>
      </c>
    </row>
    <row r="18" ht="15" customHeight="1">
      <c r="A18" s="62" t="s">
        <v>656</v>
      </c>
      <c r="B18" s="63">
        <v>15000</v>
      </c>
      <c r="C18" s="98">
        <v>1</v>
      </c>
      <c r="D18" s="71">
        <f t="shared" si="0"/>
        <v>15000</v>
      </c>
      <c r="E18" s="64">
        <f>D18*'0. Assumptions'!$C$9</f>
        <v>195000</v>
      </c>
    </row>
    <row r="19" ht="15" customHeight="1">
      <c r="A19" s="58" t="s">
        <v>657</v>
      </c>
      <c r="B19" s="59">
        <v>18000</v>
      </c>
      <c r="C19" s="97">
        <v>1</v>
      </c>
      <c r="D19" s="70">
        <f t="shared" si="0"/>
        <v>18000</v>
      </c>
      <c r="E19" s="60">
        <f>D19*'0. Assumptions'!$C$9</f>
        <v>234000</v>
      </c>
    </row>
    <row r="20" ht="15.75" customHeight="1">
      <c r="A20" s="95" t="s">
        <v>568</v>
      </c>
      <c r="D20" s="96">
        <f t="shared" si="2" ref="D20:D44">SUM(D15:D19)</f>
        <v>63000</v>
      </c>
      <c r="E20" s="75">
        <f>D20*'0. Assumptions'!$C$9</f>
        <v>819000</v>
      </c>
    </row>
    <row r="21" ht="18" customHeight="1">
      <c r="A21" s="69" t="s">
        <v>658</v>
      </c>
      <c r="B21" s="69"/>
      <c r="C21" s="69"/>
      <c r="D21" s="69"/>
      <c r="E21" s="69"/>
      <c r="F21" s="69"/>
    </row>
    <row r="22" ht="15" customHeight="1">
      <c r="A22" s="58" t="s">
        <v>659</v>
      </c>
      <c r="B22" s="59">
        <v>24000</v>
      </c>
      <c r="C22" s="97">
        <v>1</v>
      </c>
      <c r="D22" s="70">
        <f t="shared" si="0"/>
        <v>24000</v>
      </c>
      <c r="E22" s="60">
        <f>D22*'0. Assumptions'!$C$9</f>
        <v>312000</v>
      </c>
    </row>
    <row r="23" ht="15" customHeight="1">
      <c r="A23" s="62" t="s">
        <v>288</v>
      </c>
      <c r="B23" s="63">
        <v>18000</v>
      </c>
      <c r="C23" s="98">
        <v>1</v>
      </c>
      <c r="D23" s="71">
        <f t="shared" si="0"/>
        <v>18000</v>
      </c>
      <c r="E23" s="64">
        <f>D23*'0. Assumptions'!$C$9</f>
        <v>234000</v>
      </c>
    </row>
    <row r="24" ht="15" customHeight="1">
      <c r="A24" s="58" t="s">
        <v>660</v>
      </c>
      <c r="B24" s="59">
        <v>12000</v>
      </c>
      <c r="C24" s="97">
        <v>1</v>
      </c>
      <c r="D24" s="70">
        <f t="shared" si="0"/>
        <v>12000</v>
      </c>
      <c r="E24" s="60">
        <f>D24*'0. Assumptions'!$C$9</f>
        <v>156000</v>
      </c>
    </row>
    <row r="25" ht="15" customHeight="1">
      <c r="A25" s="62" t="s">
        <v>661</v>
      </c>
      <c r="B25" s="63">
        <v>15000</v>
      </c>
      <c r="C25" s="98">
        <v>1</v>
      </c>
      <c r="D25" s="71">
        <f t="shared" si="0"/>
        <v>15000</v>
      </c>
      <c r="E25" s="64">
        <f>D25*'0. Assumptions'!$C$9</f>
        <v>195000</v>
      </c>
    </row>
    <row r="26" ht="15.75" customHeight="1">
      <c r="A26" s="95" t="s">
        <v>568</v>
      </c>
      <c r="D26" s="96">
        <f t="shared" si="1" ref="D26:D50">SUM(D22:D25)</f>
        <v>69000</v>
      </c>
      <c r="E26" s="75">
        <f>D26*'0. Assumptions'!$C$9</f>
        <v>897000</v>
      </c>
    </row>
    <row r="27" ht="18" customHeight="1">
      <c r="A27" s="69" t="s">
        <v>662</v>
      </c>
      <c r="B27" s="69"/>
      <c r="C27" s="69"/>
      <c r="D27" s="69"/>
      <c r="E27" s="69"/>
      <c r="F27" s="69"/>
    </row>
    <row r="28" ht="15" customHeight="1">
      <c r="A28" s="58" t="s">
        <v>663</v>
      </c>
      <c r="B28" s="59">
        <v>9600</v>
      </c>
      <c r="C28" s="97">
        <v>1</v>
      </c>
      <c r="D28" s="70">
        <f t="shared" si="0"/>
        <v>9600</v>
      </c>
      <c r="E28" s="60">
        <f>D28*'0. Assumptions'!$C$9</f>
        <v>124800</v>
      </c>
    </row>
    <row r="29" ht="15" customHeight="1">
      <c r="A29" s="62" t="s">
        <v>664</v>
      </c>
      <c r="B29" s="63">
        <v>3600</v>
      </c>
      <c r="C29" s="98">
        <v>1</v>
      </c>
      <c r="D29" s="71">
        <f t="shared" si="0"/>
        <v>3600</v>
      </c>
      <c r="E29" s="64">
        <f>D29*'0. Assumptions'!$C$9</f>
        <v>46800</v>
      </c>
    </row>
    <row r="30" ht="15" customHeight="1">
      <c r="A30" s="58" t="s">
        <v>665</v>
      </c>
      <c r="B30" s="59">
        <v>6000</v>
      </c>
      <c r="C30" s="97">
        <v>1</v>
      </c>
      <c r="D30" s="70">
        <f t="shared" si="0"/>
        <v>6000</v>
      </c>
      <c r="E30" s="60">
        <f>D30*'0. Assumptions'!$C$9</f>
        <v>78000</v>
      </c>
    </row>
    <row r="31" ht="15" customHeight="1">
      <c r="A31" s="62" t="s">
        <v>666</v>
      </c>
      <c r="B31" s="63">
        <v>2400</v>
      </c>
      <c r="C31" s="98">
        <v>1</v>
      </c>
      <c r="D31" s="71">
        <f t="shared" si="0"/>
        <v>2400</v>
      </c>
      <c r="E31" s="64">
        <f>D31*'0. Assumptions'!$C$9</f>
        <v>31200</v>
      </c>
    </row>
    <row r="32" ht="15.75" customHeight="1">
      <c r="A32" s="95" t="s">
        <v>568</v>
      </c>
      <c r="D32" s="96">
        <f t="shared" si="1"/>
        <v>21600</v>
      </c>
      <c r="E32" s="75">
        <f>D32*'0. Assumptions'!$C$9</f>
        <v>280800</v>
      </c>
    </row>
    <row r="33" ht="18" customHeight="1">
      <c r="A33" s="69" t="s">
        <v>667</v>
      </c>
      <c r="B33" s="69"/>
      <c r="C33" s="69"/>
      <c r="D33" s="69"/>
      <c r="E33" s="69"/>
      <c r="F33" s="69"/>
    </row>
    <row r="34" ht="15" customHeight="1">
      <c r="A34" s="58" t="s">
        <v>668</v>
      </c>
      <c r="B34" s="59">
        <v>9000</v>
      </c>
      <c r="C34" s="97">
        <v>1</v>
      </c>
      <c r="D34" s="70">
        <f t="shared" si="0"/>
        <v>9000</v>
      </c>
      <c r="E34" s="60">
        <f>D34*'0. Assumptions'!$C$9</f>
        <v>117000</v>
      </c>
    </row>
    <row r="35" ht="15" customHeight="1">
      <c r="A35" s="62" t="s">
        <v>669</v>
      </c>
      <c r="B35" s="63">
        <v>5000</v>
      </c>
      <c r="C35" s="98">
        <v>1</v>
      </c>
      <c r="D35" s="71">
        <f t="shared" si="0"/>
        <v>5000</v>
      </c>
      <c r="E35" s="64">
        <f>D35*'0. Assumptions'!$C$9</f>
        <v>65000</v>
      </c>
    </row>
    <row r="36" ht="15" customHeight="1">
      <c r="A36" s="58" t="s">
        <v>670</v>
      </c>
      <c r="B36" s="59">
        <v>8000</v>
      </c>
      <c r="C36" s="97">
        <v>1</v>
      </c>
      <c r="D36" s="70">
        <f t="shared" si="0"/>
        <v>8000</v>
      </c>
      <c r="E36" s="60">
        <f>D36*'0. Assumptions'!$C$9</f>
        <v>104000</v>
      </c>
    </row>
    <row r="37" ht="15.75" customHeight="1">
      <c r="A37" s="95" t="s">
        <v>568</v>
      </c>
      <c r="D37" s="96">
        <f>SUM(D34:D36)</f>
        <v>22000</v>
      </c>
      <c r="E37" s="75">
        <f>D37*'0. Assumptions'!$C$9</f>
        <v>286000</v>
      </c>
    </row>
    <row r="38" ht="18" customHeight="1">
      <c r="A38" s="69" t="s">
        <v>671</v>
      </c>
      <c r="B38" s="69"/>
      <c r="C38" s="69"/>
      <c r="D38" s="69"/>
      <c r="E38" s="69"/>
      <c r="F38" s="69"/>
    </row>
    <row r="39" ht="15" customHeight="1">
      <c r="A39" s="58" t="s">
        <v>672</v>
      </c>
      <c r="B39" s="59">
        <v>12000</v>
      </c>
      <c r="C39" s="97">
        <v>1</v>
      </c>
      <c r="D39" s="70">
        <f t="shared" si="0"/>
        <v>12000</v>
      </c>
      <c r="E39" s="60">
        <f>D39*'0. Assumptions'!$C$9</f>
        <v>156000</v>
      </c>
    </row>
    <row r="40" ht="15" customHeight="1">
      <c r="A40" s="62" t="s">
        <v>673</v>
      </c>
      <c r="B40" s="63">
        <v>5000</v>
      </c>
      <c r="C40" s="98">
        <v>1</v>
      </c>
      <c r="D40" s="71">
        <f t="shared" si="0"/>
        <v>5000</v>
      </c>
      <c r="E40" s="64">
        <f>D40*'0. Assumptions'!$C$9</f>
        <v>65000</v>
      </c>
    </row>
    <row r="41" ht="15" customHeight="1">
      <c r="A41" s="58" t="s">
        <v>674</v>
      </c>
      <c r="B41" s="59">
        <v>4000</v>
      </c>
      <c r="C41" s="97">
        <v>1</v>
      </c>
      <c r="D41" s="70">
        <f t="shared" si="0"/>
        <v>4000</v>
      </c>
      <c r="E41" s="60">
        <f>D41*'0. Assumptions'!$C$9</f>
        <v>52000</v>
      </c>
    </row>
    <row r="42" ht="15" customHeight="1">
      <c r="A42" s="62" t="s">
        <v>675</v>
      </c>
      <c r="B42" s="63">
        <v>6000</v>
      </c>
      <c r="C42" s="98">
        <v>1</v>
      </c>
      <c r="D42" s="71">
        <f t="shared" si="0"/>
        <v>6000</v>
      </c>
      <c r="E42" s="64">
        <f>D42*'0. Assumptions'!$C$9</f>
        <v>78000</v>
      </c>
    </row>
    <row r="43" ht="15" customHeight="1">
      <c r="A43" s="58" t="s">
        <v>676</v>
      </c>
      <c r="B43" s="59">
        <v>8000</v>
      </c>
      <c r="C43" s="97">
        <v>1</v>
      </c>
      <c r="D43" s="70">
        <f t="shared" si="0"/>
        <v>8000</v>
      </c>
      <c r="E43" s="60">
        <f>D43*'0. Assumptions'!$C$9</f>
        <v>104000</v>
      </c>
    </row>
    <row r="44" ht="15.75" customHeight="1">
      <c r="A44" s="95" t="s">
        <v>568</v>
      </c>
      <c r="D44" s="96">
        <f t="shared" si="2"/>
        <v>35000</v>
      </c>
      <c r="E44" s="75">
        <f>D44*'0. Assumptions'!$C$9</f>
        <v>455000</v>
      </c>
    </row>
    <row r="45" ht="18" customHeight="1">
      <c r="A45" s="69" t="s">
        <v>677</v>
      </c>
      <c r="B45" s="69"/>
      <c r="C45" s="69"/>
      <c r="D45" s="69"/>
      <c r="E45" s="69"/>
      <c r="F45" s="69"/>
    </row>
    <row r="46" ht="15" customHeight="1">
      <c r="A46" s="58" t="s">
        <v>678</v>
      </c>
      <c r="B46" s="59">
        <v>18000</v>
      </c>
      <c r="C46" s="97">
        <v>1</v>
      </c>
      <c r="D46" s="70">
        <f t="shared" si="0"/>
        <v>18000</v>
      </c>
      <c r="E46" s="60">
        <f>D46*'0. Assumptions'!$C$9</f>
        <v>234000</v>
      </c>
    </row>
    <row r="47" ht="15" customHeight="1">
      <c r="A47" s="62" t="s">
        <v>679</v>
      </c>
      <c r="B47" s="63">
        <v>15000</v>
      </c>
      <c r="C47" s="98">
        <v>1</v>
      </c>
      <c r="D47" s="71">
        <f t="shared" si="0"/>
        <v>15000</v>
      </c>
      <c r="E47" s="64">
        <f>D47*'0. Assumptions'!$C$9</f>
        <v>195000</v>
      </c>
    </row>
    <row r="48" ht="15" customHeight="1">
      <c r="A48" s="58" t="s">
        <v>680</v>
      </c>
      <c r="B48" s="59">
        <v>10000</v>
      </c>
      <c r="C48" s="97">
        <v>1</v>
      </c>
      <c r="D48" s="70">
        <f t="shared" si="0"/>
        <v>10000</v>
      </c>
      <c r="E48" s="60">
        <f>D48*'0. Assumptions'!$C$9</f>
        <v>130000</v>
      </c>
    </row>
    <row r="49" ht="15" customHeight="1">
      <c r="A49" s="62" t="s">
        <v>681</v>
      </c>
      <c r="B49" s="63">
        <v>8000</v>
      </c>
      <c r="C49" s="98">
        <v>1</v>
      </c>
      <c r="D49" s="71">
        <f t="shared" si="0"/>
        <v>8000</v>
      </c>
      <c r="E49" s="64">
        <f>D49*'0. Assumptions'!$C$9</f>
        <v>104000</v>
      </c>
    </row>
    <row r="50" ht="15.75" customHeight="1">
      <c r="A50" s="95" t="s">
        <v>568</v>
      </c>
      <c r="D50" s="96">
        <f t="shared" si="1"/>
        <v>51000</v>
      </c>
      <c r="E50" s="75">
        <f>D50*'0. Assumptions'!$C$9</f>
        <v>663000</v>
      </c>
    </row>
    <row r="51" ht="21.75" customHeight="1">
      <c r="A51" s="66" t="s">
        <v>682</v>
      </c>
      <c r="D51" s="67">
        <f>D13+D20+D26+D32+D37+D44+D50</f>
        <v>552600</v>
      </c>
      <c r="E51" s="67">
        <f>D51*'0. Assumptions'!$C$9</f>
        <v>7183800</v>
      </c>
    </row>
  </sheetData>
  <mergeCells>
    <mergeCell ref="A1:F1"/>
    <mergeCell ref="A3:F3"/>
    <mergeCell ref="A14:F14"/>
    <mergeCell ref="A21:F21"/>
    <mergeCell ref="A27:F27"/>
    <mergeCell ref="A33:F33"/>
    <mergeCell ref="A38:F38"/>
    <mergeCell ref="A45:F45"/>
  </mergeCells>
  <printOptions headings="1"/>
  <pageMargins left="0.75" right="0.75" top="1" bottom="1" header="0.51" footer="0.51"/>
  <pageSetup paperSize="9" pageOrder="downThenOver" orientation="portrai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4B43C7C-64E8-27D8-6547-A6BD5EC5DB08}" mc:Ignorable="x14ac xr xr2 xr3">
  <dimension ref="A1:CV10000"/>
  <sheetViews>
    <sheetView topLeftCell="A1" workbookViewId="0">
      <selection activeCell="A1" sqref="A1"/>
    </sheetView>
  </sheetViews>
  <sheetFormatPr defaultRowHeight="15" defaultColWidth="8.7109375" customHeight="1"/>
  <cols>
    <col min="1" max="1" style="28" width="48.00390625" customWidth="1"/>
    <col min="2" max="2" style="28" width="15.00390625" customWidth="1"/>
    <col min="3" max="3" style="28" width="10.00390625" customWidth="1"/>
    <col min="4" max="5" style="28" width="16.00390625" customWidth="1"/>
    <col min="6" max="6" style="28" width="5.00390625" customWidth="1"/>
  </cols>
  <sheetData>
    <row r="1" ht="30" customHeight="1">
      <c r="A1" s="68" t="s">
        <v>683</v>
      </c>
      <c r="B1" s="68"/>
      <c r="C1" s="68"/>
      <c r="D1" s="68"/>
      <c r="E1" s="68"/>
      <c r="F1" s="68"/>
    </row>
    <row r="2" ht="19.5" customHeight="1">
      <c r="A2" s="57" t="s">
        <v>684</v>
      </c>
      <c r="B2" s="57" t="s">
        <v>247</v>
      </c>
      <c r="C2" s="57" t="s">
        <v>597</v>
      </c>
      <c r="D2" s="57" t="s">
        <v>117</v>
      </c>
      <c r="E2" s="57" t="s">
        <v>118</v>
      </c>
      <c r="F2" s="57"/>
    </row>
    <row r="3" ht="18" customHeight="1">
      <c r="A3" s="69" t="s">
        <v>685</v>
      </c>
      <c r="B3" s="69"/>
      <c r="C3" s="69"/>
      <c r="D3" s="69"/>
      <c r="E3" s="69"/>
      <c r="F3" s="69"/>
    </row>
    <row r="4" ht="15" customHeight="1">
      <c r="A4" s="58" t="s">
        <v>686</v>
      </c>
      <c r="B4" s="59">
        <v>5000</v>
      </c>
      <c r="C4" s="97">
        <v>6</v>
      </c>
      <c r="D4" s="70">
        <f t="shared" si="0" ref="D4:D48">B4*C4</f>
        <v>30000</v>
      </c>
      <c r="E4" s="60">
        <f>D4*'0. Assumptions'!$C$9</f>
        <v>390000</v>
      </c>
    </row>
    <row r="5" ht="15" customHeight="1">
      <c r="A5" s="62" t="s">
        <v>687</v>
      </c>
      <c r="B5" s="63">
        <v>6000</v>
      </c>
      <c r="C5" s="98">
        <v>1</v>
      </c>
      <c r="D5" s="71">
        <f t="shared" si="0"/>
        <v>6000</v>
      </c>
      <c r="E5" s="64">
        <f>D5*'0. Assumptions'!$C$9</f>
        <v>78000</v>
      </c>
    </row>
    <row r="6" ht="15" customHeight="1">
      <c r="A6" s="58" t="s">
        <v>688</v>
      </c>
      <c r="B6" s="59">
        <v>18000</v>
      </c>
      <c r="C6" s="97">
        <v>1</v>
      </c>
      <c r="D6" s="70">
        <f t="shared" si="0"/>
        <v>18000</v>
      </c>
      <c r="E6" s="60">
        <f>D6*'0. Assumptions'!$C$9</f>
        <v>234000</v>
      </c>
    </row>
    <row r="7" ht="15" customHeight="1">
      <c r="A7" s="62" t="s">
        <v>689</v>
      </c>
      <c r="B7" s="63">
        <v>8000</v>
      </c>
      <c r="C7" s="98">
        <v>1</v>
      </c>
      <c r="D7" s="71">
        <f t="shared" si="0"/>
        <v>8000</v>
      </c>
      <c r="E7" s="64">
        <f>D7*'0. Assumptions'!$C$9</f>
        <v>104000</v>
      </c>
    </row>
    <row r="8" ht="15" customHeight="1">
      <c r="A8" s="58" t="s">
        <v>690</v>
      </c>
      <c r="B8" s="59">
        <v>12000</v>
      </c>
      <c r="C8" s="97">
        <v>1</v>
      </c>
      <c r="D8" s="70">
        <f t="shared" si="0"/>
        <v>12000</v>
      </c>
      <c r="E8" s="60">
        <f>D8*'0. Assumptions'!$C$9</f>
        <v>156000</v>
      </c>
    </row>
    <row r="9" ht="15" customHeight="1">
      <c r="A9" s="62" t="s">
        <v>691</v>
      </c>
      <c r="B9" s="63">
        <v>3000</v>
      </c>
      <c r="C9" s="98">
        <v>6</v>
      </c>
      <c r="D9" s="71">
        <f t="shared" si="0"/>
        <v>18000</v>
      </c>
      <c r="E9" s="64">
        <f>D9*'0. Assumptions'!$C$9</f>
        <v>234000</v>
      </c>
    </row>
    <row r="10" ht="15" customHeight="1">
      <c r="A10" s="58" t="s">
        <v>692</v>
      </c>
      <c r="B10" s="59">
        <v>2000</v>
      </c>
      <c r="C10" s="97">
        <v>1</v>
      </c>
      <c r="D10" s="70">
        <f t="shared" si="0"/>
        <v>2000</v>
      </c>
      <c r="E10" s="60">
        <f>D10*'0. Assumptions'!$C$9</f>
        <v>26000</v>
      </c>
    </row>
    <row r="11" ht="15.75" customHeight="1">
      <c r="A11" s="95" t="s">
        <v>568</v>
      </c>
      <c r="D11" s="96">
        <f>SUM(D4:D10)</f>
        <v>94000</v>
      </c>
      <c r="E11" s="75">
        <f>D11*'0. Assumptions'!$C$9</f>
        <v>1222000</v>
      </c>
    </row>
    <row r="12" ht="18" customHeight="1">
      <c r="A12" s="69" t="s">
        <v>693</v>
      </c>
      <c r="B12" s="69"/>
      <c r="C12" s="69"/>
      <c r="D12" s="69"/>
      <c r="E12" s="69"/>
      <c r="F12" s="69"/>
    </row>
    <row r="13" ht="15" customHeight="1">
      <c r="A13" s="58" t="s">
        <v>694</v>
      </c>
      <c r="B13" s="59">
        <v>0</v>
      </c>
      <c r="C13" s="97">
        <v>1</v>
      </c>
      <c r="D13" s="70">
        <f t="shared" si="0"/>
        <v>0</v>
      </c>
      <c r="E13" s="60">
        <f>D13*'0. Assumptions'!$C$9</f>
        <v>0</v>
      </c>
    </row>
    <row r="14" ht="15" customHeight="1">
      <c r="A14" s="62" t="s">
        <v>695</v>
      </c>
      <c r="B14" s="63">
        <v>15000</v>
      </c>
      <c r="C14" s="98">
        <v>1</v>
      </c>
      <c r="D14" s="71">
        <f t="shared" si="0"/>
        <v>15000</v>
      </c>
      <c r="E14" s="64">
        <f>D14*'0. Assumptions'!$C$9</f>
        <v>195000</v>
      </c>
    </row>
    <row r="15" ht="15" customHeight="1">
      <c r="A15" s="58" t="s">
        <v>696</v>
      </c>
      <c r="B15" s="59">
        <v>12000</v>
      </c>
      <c r="C15" s="97">
        <v>1</v>
      </c>
      <c r="D15" s="70">
        <f t="shared" si="0"/>
        <v>12000</v>
      </c>
      <c r="E15" s="60">
        <f>D15*'0. Assumptions'!$C$9</f>
        <v>156000</v>
      </c>
    </row>
    <row r="16" ht="15" customHeight="1">
      <c r="A16" s="62" t="s">
        <v>697</v>
      </c>
      <c r="B16" s="63">
        <v>2000</v>
      </c>
      <c r="C16" s="98">
        <v>12</v>
      </c>
      <c r="D16" s="71">
        <f t="shared" si="0"/>
        <v>24000</v>
      </c>
      <c r="E16" s="64">
        <f>D16*'0. Assumptions'!$C$9</f>
        <v>312000</v>
      </c>
    </row>
    <row r="17" ht="15" customHeight="1">
      <c r="A17" s="58" t="s">
        <v>698</v>
      </c>
      <c r="B17" s="59">
        <v>15000</v>
      </c>
      <c r="C17" s="97">
        <v>1</v>
      </c>
      <c r="D17" s="70">
        <f t="shared" si="0"/>
        <v>15000</v>
      </c>
      <c r="E17" s="60">
        <f>D17*'0. Assumptions'!$C$9</f>
        <v>195000</v>
      </c>
    </row>
    <row r="18" ht="15" customHeight="1">
      <c r="A18" s="62" t="s">
        <v>699</v>
      </c>
      <c r="B18" s="63">
        <v>10000</v>
      </c>
      <c r="C18" s="98">
        <v>1</v>
      </c>
      <c r="D18" s="71">
        <f t="shared" si="0"/>
        <v>10000</v>
      </c>
      <c r="E18" s="64">
        <f>D18*'0. Assumptions'!$C$9</f>
        <v>130000</v>
      </c>
    </row>
    <row r="19" ht="15.75" customHeight="1">
      <c r="A19" s="95" t="s">
        <v>568</v>
      </c>
      <c r="D19" s="96">
        <f t="shared" si="1" ref="D19:D35">SUM(D13:D18)</f>
        <v>76000</v>
      </c>
      <c r="E19" s="75">
        <f>D19*'0. Assumptions'!$C$9</f>
        <v>988000</v>
      </c>
    </row>
    <row r="20" ht="18" customHeight="1">
      <c r="A20" s="69" t="s">
        <v>700</v>
      </c>
      <c r="B20" s="69"/>
      <c r="C20" s="69"/>
      <c r="D20" s="69"/>
      <c r="E20" s="69"/>
      <c r="F20" s="69"/>
    </row>
    <row r="21" ht="15" customHeight="1">
      <c r="A21" s="58" t="s">
        <v>701</v>
      </c>
      <c r="B21" s="59">
        <v>18000</v>
      </c>
      <c r="C21" s="97">
        <v>1</v>
      </c>
      <c r="D21" s="70">
        <f t="shared" si="0"/>
        <v>18000</v>
      </c>
      <c r="E21" s="60">
        <f>D21*'0. Assumptions'!$C$9</f>
        <v>234000</v>
      </c>
    </row>
    <row r="22" ht="15" customHeight="1">
      <c r="A22" s="62" t="s">
        <v>702</v>
      </c>
      <c r="B22" s="63">
        <v>8000</v>
      </c>
      <c r="C22" s="98">
        <v>1</v>
      </c>
      <c r="D22" s="71">
        <f t="shared" si="0"/>
        <v>8000</v>
      </c>
      <c r="E22" s="64">
        <f>D22*'0. Assumptions'!$C$9</f>
        <v>104000</v>
      </c>
    </row>
    <row r="23" ht="15" customHeight="1">
      <c r="A23" s="58" t="s">
        <v>703</v>
      </c>
      <c r="B23" s="59">
        <v>6000</v>
      </c>
      <c r="C23" s="97">
        <v>1</v>
      </c>
      <c r="D23" s="70">
        <f t="shared" si="0"/>
        <v>6000</v>
      </c>
      <c r="E23" s="60">
        <f>D23*'0. Assumptions'!$C$9</f>
        <v>78000</v>
      </c>
    </row>
    <row r="24" ht="15" customHeight="1">
      <c r="A24" s="62" t="s">
        <v>704</v>
      </c>
      <c r="B24" s="63">
        <v>5000</v>
      </c>
      <c r="C24" s="98">
        <v>1</v>
      </c>
      <c r="D24" s="71">
        <f t="shared" si="0"/>
        <v>5000</v>
      </c>
      <c r="E24" s="64">
        <f>D24*'0. Assumptions'!$C$9</f>
        <v>65000</v>
      </c>
    </row>
    <row r="25" ht="15" customHeight="1">
      <c r="A25" s="58" t="s">
        <v>705</v>
      </c>
      <c r="B25" s="59">
        <v>8000</v>
      </c>
      <c r="C25" s="97">
        <v>1</v>
      </c>
      <c r="D25" s="70">
        <f t="shared" si="0"/>
        <v>8000</v>
      </c>
      <c r="E25" s="60">
        <f>D25*'0. Assumptions'!$C$9</f>
        <v>104000</v>
      </c>
    </row>
    <row r="26" ht="15" customHeight="1">
      <c r="A26" s="62" t="s">
        <v>706</v>
      </c>
      <c r="B26" s="63">
        <v>12000</v>
      </c>
      <c r="C26" s="98">
        <v>1</v>
      </c>
      <c r="D26" s="71">
        <f t="shared" si="0"/>
        <v>12000</v>
      </c>
      <c r="E26" s="64">
        <f>D26*'0. Assumptions'!$C$9</f>
        <v>156000</v>
      </c>
    </row>
    <row r="27" ht="15.75" customHeight="1">
      <c r="A27" s="95" t="s">
        <v>568</v>
      </c>
      <c r="D27" s="96">
        <f t="shared" si="1"/>
        <v>57000</v>
      </c>
      <c r="E27" s="75">
        <f>D27*'0. Assumptions'!$C$9</f>
        <v>741000</v>
      </c>
    </row>
    <row r="28" ht="18" customHeight="1">
      <c r="A28" s="69" t="s">
        <v>707</v>
      </c>
      <c r="B28" s="69"/>
      <c r="C28" s="69"/>
      <c r="D28" s="69"/>
      <c r="E28" s="69"/>
      <c r="F28" s="69"/>
    </row>
    <row r="29" ht="15" customHeight="1">
      <c r="A29" s="58" t="s">
        <v>708</v>
      </c>
      <c r="B29" s="59">
        <v>35000</v>
      </c>
      <c r="C29" s="97">
        <v>1</v>
      </c>
      <c r="D29" s="70">
        <f t="shared" si="0"/>
        <v>35000</v>
      </c>
      <c r="E29" s="60">
        <f>D29*'0. Assumptions'!$C$9</f>
        <v>455000</v>
      </c>
    </row>
    <row r="30" ht="15" customHeight="1">
      <c r="A30" s="62" t="s">
        <v>709</v>
      </c>
      <c r="B30" s="63">
        <v>15000</v>
      </c>
      <c r="C30" s="98">
        <v>1</v>
      </c>
      <c r="D30" s="71">
        <f t="shared" si="0"/>
        <v>15000</v>
      </c>
      <c r="E30" s="64">
        <f>D30*'0. Assumptions'!$C$9</f>
        <v>195000</v>
      </c>
    </row>
    <row r="31" ht="15" customHeight="1">
      <c r="A31" s="58" t="s">
        <v>710</v>
      </c>
      <c r="B31" s="59">
        <v>25000</v>
      </c>
      <c r="C31" s="97">
        <v>1</v>
      </c>
      <c r="D31" s="70">
        <f t="shared" si="0"/>
        <v>25000</v>
      </c>
      <c r="E31" s="60">
        <f>D31*'0. Assumptions'!$C$9</f>
        <v>325000</v>
      </c>
    </row>
    <row r="32" ht="15" customHeight="1">
      <c r="A32" s="62" t="s">
        <v>711</v>
      </c>
      <c r="B32" s="63">
        <v>12000</v>
      </c>
      <c r="C32" s="98">
        <v>1</v>
      </c>
      <c r="D32" s="71">
        <f t="shared" si="0"/>
        <v>12000</v>
      </c>
      <c r="E32" s="64">
        <f>D32*'0. Assumptions'!$C$9</f>
        <v>156000</v>
      </c>
    </row>
    <row r="33" ht="15" customHeight="1">
      <c r="A33" s="58" t="s">
        <v>712</v>
      </c>
      <c r="B33" s="59">
        <v>8000</v>
      </c>
      <c r="C33" s="97">
        <v>1</v>
      </c>
      <c r="D33" s="70">
        <f t="shared" si="0"/>
        <v>8000</v>
      </c>
      <c r="E33" s="60">
        <f>D33*'0. Assumptions'!$C$9</f>
        <v>104000</v>
      </c>
    </row>
    <row r="34" ht="15" customHeight="1">
      <c r="A34" s="62" t="s">
        <v>713</v>
      </c>
      <c r="B34" s="63">
        <v>18000</v>
      </c>
      <c r="C34" s="98">
        <v>1</v>
      </c>
      <c r="D34" s="71">
        <f t="shared" si="0"/>
        <v>18000</v>
      </c>
      <c r="E34" s="64">
        <f>D34*'0. Assumptions'!$C$9</f>
        <v>234000</v>
      </c>
    </row>
    <row r="35" ht="15.75" customHeight="1">
      <c r="A35" s="95" t="s">
        <v>568</v>
      </c>
      <c r="D35" s="96">
        <f t="shared" si="1"/>
        <v>113000</v>
      </c>
      <c r="E35" s="75">
        <f>D35*'0. Assumptions'!$C$9</f>
        <v>1469000</v>
      </c>
    </row>
    <row r="36" ht="18" customHeight="1">
      <c r="A36" s="69" t="s">
        <v>714</v>
      </c>
      <c r="B36" s="69"/>
      <c r="C36" s="69"/>
      <c r="D36" s="69"/>
      <c r="E36" s="69"/>
      <c r="F36" s="69"/>
    </row>
    <row r="37" ht="15" customHeight="1">
      <c r="A37" s="58" t="s">
        <v>715</v>
      </c>
      <c r="B37" s="59">
        <v>20000</v>
      </c>
      <c r="C37" s="97">
        <v>1</v>
      </c>
      <c r="D37" s="70">
        <f t="shared" si="0"/>
        <v>20000</v>
      </c>
      <c r="E37" s="60">
        <f>D37*'0. Assumptions'!$C$9</f>
        <v>260000</v>
      </c>
    </row>
    <row r="38" ht="15" customHeight="1">
      <c r="A38" s="62" t="s">
        <v>716</v>
      </c>
      <c r="B38" s="63">
        <v>15000</v>
      </c>
      <c r="C38" s="98">
        <v>1</v>
      </c>
      <c r="D38" s="71">
        <f t="shared" si="0"/>
        <v>15000</v>
      </c>
      <c r="E38" s="64">
        <f>D38*'0. Assumptions'!$C$9</f>
        <v>195000</v>
      </c>
    </row>
    <row r="39" ht="15" customHeight="1">
      <c r="A39" s="58" t="s">
        <v>717</v>
      </c>
      <c r="B39" s="59">
        <v>18000</v>
      </c>
      <c r="C39" s="97">
        <v>1</v>
      </c>
      <c r="D39" s="70">
        <f t="shared" si="0"/>
        <v>18000</v>
      </c>
      <c r="E39" s="60">
        <f>D39*'0. Assumptions'!$C$9</f>
        <v>234000</v>
      </c>
    </row>
    <row r="40" ht="15" customHeight="1">
      <c r="A40" s="62" t="s">
        <v>718</v>
      </c>
      <c r="B40" s="63">
        <v>12000</v>
      </c>
      <c r="C40" s="98">
        <v>1</v>
      </c>
      <c r="D40" s="71">
        <f t="shared" si="0"/>
        <v>12000</v>
      </c>
      <c r="E40" s="64">
        <f>D40*'0. Assumptions'!$C$9</f>
        <v>156000</v>
      </c>
    </row>
    <row r="41" ht="15" customHeight="1">
      <c r="A41" s="58" t="s">
        <v>719</v>
      </c>
      <c r="B41" s="59">
        <v>5000</v>
      </c>
      <c r="C41" s="97">
        <v>1</v>
      </c>
      <c r="D41" s="70">
        <f t="shared" si="0"/>
        <v>5000</v>
      </c>
      <c r="E41" s="60">
        <f>D41*'0. Assumptions'!$C$9</f>
        <v>65000</v>
      </c>
    </row>
    <row r="42" ht="15.75" customHeight="1">
      <c r="A42" s="95" t="s">
        <v>568</v>
      </c>
      <c r="D42" s="96">
        <f t="shared" si="2" ref="D42:D49">SUM(D37:D41)</f>
        <v>70000</v>
      </c>
      <c r="E42" s="75">
        <f>D42*'0. Assumptions'!$C$9</f>
        <v>910000</v>
      </c>
    </row>
    <row r="43" ht="18" customHeight="1">
      <c r="A43" s="69" t="s">
        <v>720</v>
      </c>
      <c r="B43" s="69"/>
      <c r="C43" s="69"/>
      <c r="D43" s="69"/>
      <c r="E43" s="69"/>
      <c r="F43" s="69"/>
    </row>
    <row r="44" ht="15" customHeight="1">
      <c r="A44" s="58" t="s">
        <v>721</v>
      </c>
      <c r="B44" s="59">
        <v>6000</v>
      </c>
      <c r="C44" s="97">
        <v>1</v>
      </c>
      <c r="D44" s="70">
        <f t="shared" si="0"/>
        <v>6000</v>
      </c>
      <c r="E44" s="60">
        <f>D44*'0. Assumptions'!$C$9</f>
        <v>78000</v>
      </c>
    </row>
    <row r="45" ht="15" customHeight="1">
      <c r="A45" s="62" t="s">
        <v>722</v>
      </c>
      <c r="B45" s="63">
        <v>8000</v>
      </c>
      <c r="C45" s="98">
        <v>1</v>
      </c>
      <c r="D45" s="71">
        <f t="shared" si="0"/>
        <v>8000</v>
      </c>
      <c r="E45" s="64">
        <f>D45*'0. Assumptions'!$C$9</f>
        <v>104000</v>
      </c>
    </row>
    <row r="46" ht="15" customHeight="1">
      <c r="A46" s="58" t="s">
        <v>723</v>
      </c>
      <c r="B46" s="59">
        <v>4000</v>
      </c>
      <c r="C46" s="97">
        <v>1</v>
      </c>
      <c r="D46" s="70">
        <f t="shared" si="0"/>
        <v>4000</v>
      </c>
      <c r="E46" s="60">
        <f>D46*'0. Assumptions'!$C$9</f>
        <v>52000</v>
      </c>
    </row>
    <row r="47" ht="15" customHeight="1">
      <c r="A47" s="62" t="s">
        <v>724</v>
      </c>
      <c r="B47" s="63">
        <v>3000</v>
      </c>
      <c r="C47" s="98">
        <v>1</v>
      </c>
      <c r="D47" s="71">
        <f t="shared" si="0"/>
        <v>3000</v>
      </c>
      <c r="E47" s="64">
        <f>D47*'0. Assumptions'!$C$9</f>
        <v>39000</v>
      </c>
    </row>
    <row r="48" ht="15" customHeight="1">
      <c r="A48" s="58" t="s">
        <v>725</v>
      </c>
      <c r="B48" s="59">
        <v>3000</v>
      </c>
      <c r="C48" s="97">
        <v>1</v>
      </c>
      <c r="D48" s="70">
        <f t="shared" si="0"/>
        <v>3000</v>
      </c>
      <c r="E48" s="60">
        <f>D48*'0. Assumptions'!$C$9</f>
        <v>39000</v>
      </c>
    </row>
    <row r="49" ht="15.75" customHeight="1">
      <c r="A49" s="95" t="s">
        <v>568</v>
      </c>
      <c r="D49" s="96">
        <f t="shared" si="2"/>
        <v>24000</v>
      </c>
      <c r="E49" s="75">
        <f>D49*'0. Assumptions'!$C$9</f>
        <v>312000</v>
      </c>
    </row>
    <row r="50" ht="21.75" customHeight="1">
      <c r="A50" s="66" t="s">
        <v>726</v>
      </c>
      <c r="D50" s="67">
        <f>D11+D19+D27+D35+D42+D49</f>
        <v>434000</v>
      </c>
      <c r="E50" s="67">
        <f>D50*'0. Assumptions'!$C$9</f>
        <v>5642000</v>
      </c>
    </row>
  </sheetData>
  <mergeCells>
    <mergeCell ref="A1:F1"/>
    <mergeCell ref="A3:F3"/>
    <mergeCell ref="A12:F12"/>
    <mergeCell ref="A20:F20"/>
    <mergeCell ref="A28:F28"/>
    <mergeCell ref="A36:F36"/>
    <mergeCell ref="A43:F43"/>
  </mergeCells>
  <printOptions headings="1"/>
  <pageMargins left="0.75" right="0.75" top="1" bottom="1" header="0.51" footer="0.51"/>
  <pageSetup paperSize="9" pageOrder="downThenOver" orientation="portrai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B6BC487-B2C5-3EB8-250D-3CE8AEC938E8}" mc:Ignorable="x14ac xr xr2 xr3">
  <dimension ref="A1:CV10000"/>
  <sheetViews>
    <sheetView topLeftCell="A33" workbookViewId="0">
      <selection activeCell="A1" sqref="A1"/>
    </sheetView>
  </sheetViews>
  <sheetFormatPr defaultRowHeight="15" defaultColWidth="8.7109375" customHeight="1"/>
  <cols>
    <col min="1" max="1" style="28" width="48.00390625" customWidth="1"/>
    <col min="2" max="2" style="28" width="15.00390625" customWidth="1"/>
    <col min="3" max="3" style="28" width="10.00390625" customWidth="1"/>
    <col min="4" max="5" style="28" width="16.00390625" customWidth="1"/>
    <col min="6" max="6" style="28" width="5.00390625" customWidth="1"/>
  </cols>
  <sheetData>
    <row r="1" ht="30" customHeight="1">
      <c r="A1" s="68" t="s">
        <v>727</v>
      </c>
      <c r="B1" s="68"/>
      <c r="C1" s="68"/>
      <c r="D1" s="68"/>
      <c r="E1" s="68"/>
      <c r="F1" s="68"/>
    </row>
    <row r="2" ht="19.5" customHeight="1">
      <c r="A2" s="57" t="s">
        <v>728</v>
      </c>
      <c r="B2" s="57" t="s">
        <v>247</v>
      </c>
      <c r="C2" s="57" t="s">
        <v>729</v>
      </c>
      <c r="D2" s="57" t="s">
        <v>117</v>
      </c>
      <c r="E2" s="57" t="s">
        <v>118</v>
      </c>
      <c r="F2" s="57"/>
    </row>
    <row r="3" ht="18" customHeight="1">
      <c r="A3" s="69" t="s">
        <v>730</v>
      </c>
      <c r="B3" s="69"/>
      <c r="C3" s="69"/>
      <c r="D3" s="69"/>
      <c r="E3" s="69"/>
      <c r="F3" s="69"/>
    </row>
    <row r="4" ht="15" customHeight="1">
      <c r="A4" s="58" t="s">
        <v>731</v>
      </c>
      <c r="B4" s="59">
        <v>3000</v>
      </c>
      <c r="C4" s="97">
        <v>18</v>
      </c>
      <c r="D4" s="70">
        <f t="shared" si="0" ref="D4:D44">B4*C4</f>
        <v>54000</v>
      </c>
      <c r="E4" s="60">
        <f>D4*'0. Assumptions'!$C$9</f>
        <v>702000</v>
      </c>
    </row>
    <row r="5" ht="15" customHeight="1">
      <c r="A5" s="62" t="s">
        <v>732</v>
      </c>
      <c r="B5" s="63">
        <v>2500</v>
      </c>
      <c r="C5" s="98">
        <v>1</v>
      </c>
      <c r="D5" s="71">
        <f t="shared" si="0"/>
        <v>2500</v>
      </c>
      <c r="E5" s="64">
        <f>D5*'0. Assumptions'!$C$9</f>
        <v>32500</v>
      </c>
    </row>
    <row r="6" ht="15" customHeight="1">
      <c r="A6" s="58" t="s">
        <v>733</v>
      </c>
      <c r="B6" s="59">
        <v>2000</v>
      </c>
      <c r="C6" s="97">
        <v>1</v>
      </c>
      <c r="D6" s="70">
        <f t="shared" si="0"/>
        <v>2000</v>
      </c>
      <c r="E6" s="60">
        <f>D6*'0. Assumptions'!$C$9</f>
        <v>26000</v>
      </c>
    </row>
    <row r="7" ht="15" customHeight="1">
      <c r="A7" s="62" t="s">
        <v>734</v>
      </c>
      <c r="B7" s="63">
        <v>1200</v>
      </c>
      <c r="C7" s="98">
        <v>1</v>
      </c>
      <c r="D7" s="71">
        <f t="shared" si="0"/>
        <v>1200</v>
      </c>
      <c r="E7" s="64">
        <f>D7*'0. Assumptions'!$C$9</f>
        <v>15600</v>
      </c>
    </row>
    <row r="8" ht="15" customHeight="1">
      <c r="A8" s="58" t="s">
        <v>735</v>
      </c>
      <c r="B8" s="59">
        <v>1500</v>
      </c>
      <c r="C8" s="97">
        <v>1</v>
      </c>
      <c r="D8" s="70">
        <f t="shared" si="0"/>
        <v>1500</v>
      </c>
      <c r="E8" s="60">
        <f>D8*'0. Assumptions'!$C$9</f>
        <v>19500</v>
      </c>
    </row>
    <row r="9" ht="15" customHeight="1">
      <c r="A9" s="62" t="s">
        <v>736</v>
      </c>
      <c r="B9" s="63">
        <v>1000</v>
      </c>
      <c r="C9" s="98">
        <v>1</v>
      </c>
      <c r="D9" s="71">
        <f t="shared" si="0"/>
        <v>1000</v>
      </c>
      <c r="E9" s="64">
        <f>D9*'0. Assumptions'!$C$9</f>
        <v>13000</v>
      </c>
    </row>
    <row r="10" ht="15" customHeight="1">
      <c r="A10" s="58" t="s">
        <v>737</v>
      </c>
      <c r="B10" s="59">
        <v>3600</v>
      </c>
      <c r="C10" s="97">
        <v>1</v>
      </c>
      <c r="D10" s="70">
        <f t="shared" si="0"/>
        <v>3600</v>
      </c>
      <c r="E10" s="60">
        <f>D10*'0. Assumptions'!$C$9</f>
        <v>46800</v>
      </c>
    </row>
    <row r="11" ht="15.75" customHeight="1">
      <c r="A11" s="95" t="s">
        <v>568</v>
      </c>
      <c r="D11" s="96">
        <f t="shared" si="1" ref="D11:D30">SUM(D4:D10)</f>
        <v>65800</v>
      </c>
      <c r="E11" s="75">
        <f>D11*'0. Assumptions'!$C$9</f>
        <v>855400</v>
      </c>
    </row>
    <row r="12" ht="18" customHeight="1">
      <c r="A12" s="69" t="s">
        <v>738</v>
      </c>
      <c r="B12" s="69"/>
      <c r="C12" s="69"/>
      <c r="D12" s="69"/>
      <c r="E12" s="69"/>
      <c r="F12" s="69"/>
    </row>
    <row r="13" ht="15" customHeight="1">
      <c r="A13" s="58" t="s">
        <v>739</v>
      </c>
      <c r="B13" s="59">
        <v>1200</v>
      </c>
      <c r="C13" s="97">
        <v>18</v>
      </c>
      <c r="D13" s="70">
        <f t="shared" si="0"/>
        <v>21600</v>
      </c>
      <c r="E13" s="60">
        <f>D13*'0. Assumptions'!$C$9</f>
        <v>280800</v>
      </c>
    </row>
    <row r="14" ht="15" customHeight="1">
      <c r="A14" s="62" t="s">
        <v>740</v>
      </c>
      <c r="B14" s="63">
        <v>800</v>
      </c>
      <c r="C14" s="98">
        <v>9</v>
      </c>
      <c r="D14" s="71">
        <f t="shared" si="0"/>
        <v>7200</v>
      </c>
      <c r="E14" s="64">
        <f>D14*'0. Assumptions'!$C$9</f>
        <v>93600</v>
      </c>
    </row>
    <row r="15" ht="15" customHeight="1">
      <c r="A15" s="58" t="s">
        <v>741</v>
      </c>
      <c r="B15" s="59">
        <v>1500</v>
      </c>
      <c r="C15" s="97">
        <v>18</v>
      </c>
      <c r="D15" s="70">
        <f t="shared" si="0"/>
        <v>27000</v>
      </c>
      <c r="E15" s="60">
        <f>D15*'0. Assumptions'!$C$9</f>
        <v>351000</v>
      </c>
    </row>
    <row r="16" ht="15" customHeight="1">
      <c r="A16" s="62" t="s">
        <v>742</v>
      </c>
      <c r="B16" s="63">
        <v>2000</v>
      </c>
      <c r="C16" s="98">
        <v>6</v>
      </c>
      <c r="D16" s="71">
        <f t="shared" si="0"/>
        <v>12000</v>
      </c>
      <c r="E16" s="64">
        <f>D16*'0. Assumptions'!$C$9</f>
        <v>156000</v>
      </c>
    </row>
    <row r="17" ht="15" customHeight="1">
      <c r="A17" s="58" t="s">
        <v>743</v>
      </c>
      <c r="B17" s="59">
        <v>500</v>
      </c>
      <c r="C17" s="97">
        <v>18</v>
      </c>
      <c r="D17" s="70">
        <f t="shared" si="0"/>
        <v>9000</v>
      </c>
      <c r="E17" s="60">
        <f>D17*'0. Assumptions'!$C$9</f>
        <v>117000</v>
      </c>
    </row>
    <row r="18" ht="15" customHeight="1">
      <c r="A18" s="62" t="s">
        <v>744</v>
      </c>
      <c r="B18" s="63">
        <v>1000</v>
      </c>
      <c r="C18" s="98">
        <v>18</v>
      </c>
      <c r="D18" s="71">
        <f t="shared" si="0"/>
        <v>18000</v>
      </c>
      <c r="E18" s="64">
        <f>D18*'0. Assumptions'!$C$9</f>
        <v>234000</v>
      </c>
    </row>
    <row r="19" ht="15" customHeight="1">
      <c r="A19" s="58" t="s">
        <v>745</v>
      </c>
      <c r="B19" s="59">
        <v>1000</v>
      </c>
      <c r="C19" s="97">
        <v>18</v>
      </c>
      <c r="D19" s="70">
        <f t="shared" si="0"/>
        <v>18000</v>
      </c>
      <c r="E19" s="60">
        <f>D19*'0. Assumptions'!$C$9</f>
        <v>234000</v>
      </c>
    </row>
    <row r="20" ht="15" customHeight="1">
      <c r="A20" s="62" t="s">
        <v>746</v>
      </c>
      <c r="B20" s="63">
        <v>800</v>
      </c>
      <c r="C20" s="98">
        <v>9</v>
      </c>
      <c r="D20" s="71">
        <f t="shared" si="0"/>
        <v>7200</v>
      </c>
      <c r="E20" s="64">
        <f>D20*'0. Assumptions'!$C$9</f>
        <v>93600</v>
      </c>
    </row>
    <row r="21" ht="15.75" customHeight="1">
      <c r="A21" s="95" t="s">
        <v>568</v>
      </c>
      <c r="D21" s="96">
        <f>SUM(D13:D20)</f>
        <v>120000</v>
      </c>
      <c r="E21" s="75">
        <f>D21*'0. Assumptions'!$C$9</f>
        <v>1560000</v>
      </c>
    </row>
    <row r="22" ht="18" customHeight="1">
      <c r="A22" s="69" t="s">
        <v>747</v>
      </c>
      <c r="B22" s="69"/>
      <c r="C22" s="69"/>
      <c r="D22" s="69"/>
      <c r="E22" s="69"/>
      <c r="F22" s="69"/>
    </row>
    <row r="23" ht="15" customHeight="1">
      <c r="A23" s="58" t="s">
        <v>748</v>
      </c>
      <c r="B23" s="59">
        <v>8000</v>
      </c>
      <c r="C23" s="97">
        <v>1</v>
      </c>
      <c r="D23" s="70">
        <f t="shared" si="0"/>
        <v>8000</v>
      </c>
      <c r="E23" s="60">
        <f>D23*'0. Assumptions'!$C$9</f>
        <v>104000</v>
      </c>
    </row>
    <row r="24" ht="15" customHeight="1">
      <c r="A24" s="62" t="s">
        <v>749</v>
      </c>
      <c r="B24" s="63">
        <v>15000</v>
      </c>
      <c r="C24" s="98">
        <v>1</v>
      </c>
      <c r="D24" s="71">
        <f t="shared" si="0"/>
        <v>15000</v>
      </c>
      <c r="E24" s="64">
        <f>D24*'0. Assumptions'!$C$9</f>
        <v>195000</v>
      </c>
    </row>
    <row r="25" ht="15" customHeight="1">
      <c r="A25" s="58" t="s">
        <v>750</v>
      </c>
      <c r="B25" s="59">
        <v>3000</v>
      </c>
      <c r="C25" s="97">
        <v>10</v>
      </c>
      <c r="D25" s="70">
        <f t="shared" si="0"/>
        <v>30000</v>
      </c>
      <c r="E25" s="60">
        <f>D25*'0. Assumptions'!$C$9</f>
        <v>390000</v>
      </c>
    </row>
    <row r="26" ht="15" customHeight="1">
      <c r="A26" s="62" t="s">
        <v>751</v>
      </c>
      <c r="B26" s="63">
        <v>1500</v>
      </c>
      <c r="C26" s="98">
        <v>6</v>
      </c>
      <c r="D26" s="71">
        <f t="shared" si="0"/>
        <v>9000</v>
      </c>
      <c r="E26" s="64">
        <f>D26*'0. Assumptions'!$C$9</f>
        <v>117000</v>
      </c>
    </row>
    <row r="27" ht="15" customHeight="1">
      <c r="A27" s="58" t="s">
        <v>752</v>
      </c>
      <c r="B27" s="59">
        <v>10000</v>
      </c>
      <c r="C27" s="97">
        <v>1</v>
      </c>
      <c r="D27" s="70">
        <f t="shared" si="0"/>
        <v>10000</v>
      </c>
      <c r="E27" s="60">
        <f>D27*'0. Assumptions'!$C$9</f>
        <v>130000</v>
      </c>
    </row>
    <row r="28" ht="15" customHeight="1">
      <c r="A28" s="62" t="s">
        <v>753</v>
      </c>
      <c r="B28" s="63">
        <v>6000</v>
      </c>
      <c r="C28" s="98">
        <v>1</v>
      </c>
      <c r="D28" s="71">
        <f t="shared" si="0"/>
        <v>6000</v>
      </c>
      <c r="E28" s="64">
        <f>D28*'0. Assumptions'!$C$9</f>
        <v>78000</v>
      </c>
    </row>
    <row r="29" ht="15" customHeight="1">
      <c r="A29" s="58" t="s">
        <v>754</v>
      </c>
      <c r="B29" s="59">
        <v>8000</v>
      </c>
      <c r="C29" s="97">
        <v>1</v>
      </c>
      <c r="D29" s="70">
        <f t="shared" si="0"/>
        <v>8000</v>
      </c>
      <c r="E29" s="60">
        <f>D29*'0. Assumptions'!$C$9</f>
        <v>104000</v>
      </c>
    </row>
    <row r="30" ht="15.75" customHeight="1">
      <c r="A30" s="95" t="s">
        <v>568</v>
      </c>
      <c r="D30" s="96">
        <f t="shared" si="1"/>
        <v>86000</v>
      </c>
      <c r="E30" s="75">
        <f>D30*'0. Assumptions'!$C$9</f>
        <v>1118000</v>
      </c>
    </row>
    <row r="31" ht="18" customHeight="1">
      <c r="A31" s="69" t="s">
        <v>755</v>
      </c>
      <c r="B31" s="69"/>
      <c r="C31" s="69"/>
      <c r="D31" s="69"/>
      <c r="E31" s="69"/>
      <c r="F31" s="69"/>
    </row>
    <row r="32" ht="15" customHeight="1">
      <c r="A32" s="58" t="s">
        <v>756</v>
      </c>
      <c r="B32" s="59">
        <v>5000</v>
      </c>
      <c r="C32" s="97">
        <v>4</v>
      </c>
      <c r="D32" s="70">
        <f t="shared" si="0"/>
        <v>20000</v>
      </c>
      <c r="E32" s="60">
        <f>D32*'0. Assumptions'!$C$9</f>
        <v>260000</v>
      </c>
    </row>
    <row r="33" ht="15" customHeight="1">
      <c r="A33" s="62" t="s">
        <v>757</v>
      </c>
      <c r="B33" s="63">
        <v>3500</v>
      </c>
      <c r="C33" s="98">
        <v>4</v>
      </c>
      <c r="D33" s="71">
        <f t="shared" si="0"/>
        <v>14000</v>
      </c>
      <c r="E33" s="64">
        <f>D33*'0. Assumptions'!$C$9</f>
        <v>182000</v>
      </c>
    </row>
    <row r="34" ht="15" customHeight="1">
      <c r="A34" s="58" t="s">
        <v>758</v>
      </c>
      <c r="B34" s="59">
        <v>1500</v>
      </c>
      <c r="C34" s="97">
        <v>10</v>
      </c>
      <c r="D34" s="70">
        <f t="shared" si="0"/>
        <v>15000</v>
      </c>
      <c r="E34" s="60">
        <f>D34*'0. Assumptions'!$C$9</f>
        <v>195000</v>
      </c>
    </row>
    <row r="35" ht="15" customHeight="1">
      <c r="A35" s="62" t="s">
        <v>759</v>
      </c>
      <c r="B35" s="63">
        <v>1000</v>
      </c>
      <c r="C35" s="98">
        <v>18</v>
      </c>
      <c r="D35" s="71">
        <f t="shared" si="0"/>
        <v>18000</v>
      </c>
      <c r="E35" s="64">
        <f>D35*'0. Assumptions'!$C$9</f>
        <v>234000</v>
      </c>
    </row>
    <row r="36" ht="15" customHeight="1">
      <c r="A36" s="58" t="s">
        <v>760</v>
      </c>
      <c r="B36" s="59">
        <v>8000</v>
      </c>
      <c r="C36" s="97">
        <v>1</v>
      </c>
      <c r="D36" s="70">
        <f t="shared" si="0"/>
        <v>8000</v>
      </c>
      <c r="E36" s="60">
        <f>D36*'0. Assumptions'!$C$9</f>
        <v>104000</v>
      </c>
    </row>
    <row r="37" ht="15" customHeight="1">
      <c r="A37" s="62" t="s">
        <v>761</v>
      </c>
      <c r="B37" s="63">
        <v>5000</v>
      </c>
      <c r="C37" s="98">
        <v>1</v>
      </c>
      <c r="D37" s="71">
        <f t="shared" si="0"/>
        <v>5000</v>
      </c>
      <c r="E37" s="64">
        <f>D37*'0. Assumptions'!$C$9</f>
        <v>65000</v>
      </c>
    </row>
    <row r="38" ht="15.75" customHeight="1">
      <c r="A38" s="95" t="s">
        <v>568</v>
      </c>
      <c r="D38" s="96">
        <f>SUM(D32:D37)</f>
        <v>80000</v>
      </c>
      <c r="E38" s="75">
        <f>D38*'0. Assumptions'!$C$9</f>
        <v>1040000</v>
      </c>
    </row>
    <row r="39" ht="18" customHeight="1">
      <c r="A39" s="69" t="s">
        <v>762</v>
      </c>
      <c r="B39" s="69"/>
      <c r="C39" s="69"/>
      <c r="D39" s="69"/>
      <c r="E39" s="69"/>
      <c r="F39" s="69"/>
    </row>
    <row r="40" ht="15" customHeight="1">
      <c r="A40" s="58" t="s">
        <v>763</v>
      </c>
      <c r="B40" s="59">
        <v>1000</v>
      </c>
      <c r="C40" s="97">
        <v>18</v>
      </c>
      <c r="D40" s="70">
        <f t="shared" si="0"/>
        <v>18000</v>
      </c>
      <c r="E40" s="60">
        <f>D40*'0. Assumptions'!$C$9</f>
        <v>234000</v>
      </c>
    </row>
    <row r="41" ht="15" customHeight="1">
      <c r="A41" s="62" t="s">
        <v>764</v>
      </c>
      <c r="B41" s="63">
        <v>500</v>
      </c>
      <c r="C41" s="98">
        <v>18</v>
      </c>
      <c r="D41" s="71">
        <f t="shared" si="0"/>
        <v>9000</v>
      </c>
      <c r="E41" s="64">
        <f>D41*'0. Assumptions'!$C$9</f>
        <v>117000</v>
      </c>
    </row>
    <row r="42" ht="15" customHeight="1">
      <c r="A42" s="58" t="s">
        <v>765</v>
      </c>
      <c r="B42" s="59">
        <v>300</v>
      </c>
      <c r="C42" s="97">
        <v>18</v>
      </c>
      <c r="D42" s="70">
        <f t="shared" si="0"/>
        <v>5400</v>
      </c>
      <c r="E42" s="60">
        <f>D42*'0. Assumptions'!$C$9</f>
        <v>70200</v>
      </c>
    </row>
    <row r="43" ht="15" customHeight="1">
      <c r="A43" s="62" t="s">
        <v>766</v>
      </c>
      <c r="B43" s="63">
        <v>400</v>
      </c>
      <c r="C43" s="98">
        <v>18</v>
      </c>
      <c r="D43" s="71">
        <f t="shared" si="0"/>
        <v>7200</v>
      </c>
      <c r="E43" s="64">
        <f>D43*'0. Assumptions'!$C$9</f>
        <v>93600</v>
      </c>
    </row>
    <row r="44" ht="15" customHeight="1">
      <c r="A44" s="58" t="s">
        <v>767</v>
      </c>
      <c r="B44" s="59">
        <v>5000</v>
      </c>
      <c r="C44" s="97">
        <v>1</v>
      </c>
      <c r="D44" s="70">
        <f t="shared" si="0"/>
        <v>5000</v>
      </c>
      <c r="E44" s="60">
        <f>D44*'0. Assumptions'!$C$9</f>
        <v>65000</v>
      </c>
    </row>
    <row r="45" ht="15.75" customHeight="1">
      <c r="A45" s="95" t="s">
        <v>568</v>
      </c>
      <c r="D45" s="96">
        <f>SUM(D40:D44)</f>
        <v>44600</v>
      </c>
      <c r="E45" s="75">
        <f>D45*'0. Assumptions'!$C$9</f>
        <v>579800</v>
      </c>
    </row>
    <row r="46" ht="21.75" customHeight="1">
      <c r="A46" s="66" t="s">
        <v>768</v>
      </c>
      <c r="D46" s="67">
        <f>D11+D21+D30+D38+D45</f>
        <v>396400</v>
      </c>
      <c r="E46" s="67">
        <f>D46*'0. Assumptions'!$C$9</f>
        <v>5153200</v>
      </c>
    </row>
  </sheetData>
  <mergeCells>
    <mergeCell ref="A1:F1"/>
    <mergeCell ref="A3:F3"/>
    <mergeCell ref="A12:F12"/>
    <mergeCell ref="A22:F22"/>
    <mergeCell ref="A31:F31"/>
    <mergeCell ref="A39:F39"/>
  </mergeCells>
  <printOptions headings="1"/>
  <pageMargins left="0.75" right="0.75" top="1" bottom="1" header="0.51" footer="0.51"/>
  <pageSetup paperSize="9" pageOrder="downThenOver" orientation="portrai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505C03B-5368-C7AE-DFC1-3E9186F057E6}" mc:Ignorable="x14ac xr xr2 xr3">
  <dimension ref="A1:CV10000"/>
  <sheetViews>
    <sheetView topLeftCell="A1" workbookViewId="0">
      <selection activeCell="A1" sqref="A1"/>
    </sheetView>
  </sheetViews>
  <sheetFormatPr defaultRowHeight="15" defaultColWidth="8.7109375" customHeight="1"/>
  <cols>
    <col min="1" max="1" style="28" width="50.00390625" customWidth="1"/>
    <col min="2" max="3" style="28" width="16.00390625" customWidth="1"/>
    <col min="4" max="4" style="28" width="5.00390625" customWidth="1"/>
  </cols>
  <sheetData>
    <row r="1" ht="30" customHeight="1">
      <c r="A1" s="68" t="s">
        <v>769</v>
      </c>
      <c r="B1" s="68"/>
      <c r="C1" s="68"/>
      <c r="D1" s="68"/>
    </row>
    <row r="2" ht="19.5" customHeight="1">
      <c r="A2" s="57" t="s">
        <v>770</v>
      </c>
      <c r="B2" s="57" t="s">
        <v>184</v>
      </c>
      <c r="C2" s="57" t="s">
        <v>185</v>
      </c>
      <c r="D2" s="57"/>
    </row>
    <row r="3" ht="18" customHeight="1">
      <c r="A3" s="69" t="s">
        <v>771</v>
      </c>
      <c r="B3" s="69"/>
      <c r="C3" s="69"/>
      <c r="D3" s="69"/>
    </row>
    <row r="4" ht="15" customHeight="1">
      <c r="A4" s="58" t="s">
        <v>772</v>
      </c>
      <c r="B4" s="59">
        <v>12000</v>
      </c>
      <c r="C4" s="60">
        <f>B4*'0. Assumptions'!$C$9</f>
        <v>156000</v>
      </c>
    </row>
    <row r="5" ht="15" customHeight="1">
      <c r="A5" s="62" t="s">
        <v>773</v>
      </c>
      <c r="B5" s="63">
        <v>8000</v>
      </c>
      <c r="C5" s="64">
        <f>B5*'0. Assumptions'!$C$9</f>
        <v>104000</v>
      </c>
    </row>
    <row r="6" ht="15" customHeight="1">
      <c r="A6" s="58" t="s">
        <v>774</v>
      </c>
      <c r="B6" s="59">
        <v>2000</v>
      </c>
      <c r="C6" s="60">
        <f>B6*'0. Assumptions'!$C$9</f>
        <v>26000</v>
      </c>
    </row>
    <row r="7" ht="15" customHeight="1">
      <c r="A7" s="62" t="s">
        <v>775</v>
      </c>
      <c r="B7" s="63">
        <v>10000</v>
      </c>
      <c r="C7" s="64">
        <f>B7*'0. Assumptions'!$C$9</f>
        <v>130000</v>
      </c>
    </row>
    <row r="8" ht="15" customHeight="1">
      <c r="A8" s="58" t="s">
        <v>776</v>
      </c>
      <c r="B8" s="59">
        <v>8000</v>
      </c>
      <c r="C8" s="60">
        <f>B8*'0. Assumptions'!$C$9</f>
        <v>104000</v>
      </c>
    </row>
    <row r="9" ht="15" customHeight="1">
      <c r="A9" s="62" t="s">
        <v>777</v>
      </c>
      <c r="B9" s="63">
        <v>5000</v>
      </c>
      <c r="C9" s="64">
        <f>B9*'0. Assumptions'!$C$9</f>
        <v>65000</v>
      </c>
    </row>
    <row r="10" ht="15" customHeight="1">
      <c r="A10" s="58" t="s">
        <v>778</v>
      </c>
      <c r="B10" s="59">
        <v>20000</v>
      </c>
      <c r="C10" s="60">
        <f>B10*'0. Assumptions'!$C$9</f>
        <v>260000</v>
      </c>
    </row>
    <row r="11" ht="15" customHeight="1">
      <c r="A11" s="62" t="s">
        <v>779</v>
      </c>
      <c r="B11" s="63">
        <v>15000</v>
      </c>
      <c r="C11" s="64">
        <f>B11*'0. Assumptions'!$C$9</f>
        <v>195000</v>
      </c>
    </row>
    <row r="12" ht="15" customHeight="1">
      <c r="A12" s="58" t="s">
        <v>780</v>
      </c>
      <c r="B12" s="59">
        <v>12000</v>
      </c>
      <c r="C12" s="60">
        <f>B12*'0. Assumptions'!$C$9</f>
        <v>156000</v>
      </c>
    </row>
    <row r="13" ht="15" customHeight="1">
      <c r="A13" s="62" t="s">
        <v>781</v>
      </c>
      <c r="B13" s="63">
        <v>3000</v>
      </c>
      <c r="C13" s="64">
        <f>B13*'0. Assumptions'!$C$9</f>
        <v>39000</v>
      </c>
    </row>
    <row r="14" ht="15" customHeight="1">
      <c r="A14" s="58" t="s">
        <v>782</v>
      </c>
      <c r="B14" s="59">
        <v>4000</v>
      </c>
      <c r="C14" s="60">
        <f>B14*'0. Assumptions'!$C$9</f>
        <v>52000</v>
      </c>
    </row>
    <row r="15" ht="15.75" customHeight="1">
      <c r="A15" s="95" t="s">
        <v>568</v>
      </c>
      <c r="B15" s="96">
        <f>SUM(B4:B14)</f>
        <v>99000</v>
      </c>
      <c r="C15" s="75">
        <f>B15*'0. Assumptions'!$C$9</f>
        <v>1287000</v>
      </c>
    </row>
    <row r="16" ht="18" customHeight="1">
      <c r="A16" s="69" t="s">
        <v>783</v>
      </c>
      <c r="B16" s="69"/>
      <c r="C16" s="69"/>
      <c r="D16" s="69"/>
    </row>
    <row r="17" ht="15" customHeight="1">
      <c r="A17" s="58" t="s">
        <v>784</v>
      </c>
      <c r="B17" s="59">
        <v>15000</v>
      </c>
      <c r="C17" s="60">
        <f>B17*'0. Assumptions'!$C$9</f>
        <v>195000</v>
      </c>
    </row>
    <row r="18" ht="15" customHeight="1">
      <c r="A18" s="62" t="s">
        <v>785</v>
      </c>
      <c r="B18" s="63">
        <v>18000</v>
      </c>
      <c r="C18" s="64">
        <f>B18*'0. Assumptions'!$C$9</f>
        <v>234000</v>
      </c>
    </row>
    <row r="19" ht="15" customHeight="1">
      <c r="A19" s="58" t="s">
        <v>786</v>
      </c>
      <c r="B19" s="59">
        <v>10000</v>
      </c>
      <c r="C19" s="60">
        <f>B19*'0. Assumptions'!$C$9</f>
        <v>130000</v>
      </c>
    </row>
    <row r="20" ht="15" customHeight="1">
      <c r="A20" s="62" t="s">
        <v>787</v>
      </c>
      <c r="B20" s="63">
        <v>12000</v>
      </c>
      <c r="C20" s="64">
        <f>B20*'0. Assumptions'!$C$9</f>
        <v>156000</v>
      </c>
    </row>
    <row r="21" ht="15" customHeight="1">
      <c r="A21" s="58" t="s">
        <v>788</v>
      </c>
      <c r="B21" s="59">
        <v>8000</v>
      </c>
      <c r="C21" s="60">
        <f>B21*'0. Assumptions'!$C$9</f>
        <v>104000</v>
      </c>
    </row>
    <row r="22" ht="15.75" customHeight="1">
      <c r="A22" s="95" t="s">
        <v>568</v>
      </c>
      <c r="B22" s="96">
        <f t="shared" si="0" ref="B22:B50">SUM(B17:B21)</f>
        <v>63000</v>
      </c>
      <c r="C22" s="75">
        <f>B22*'0. Assumptions'!$C$9</f>
        <v>819000</v>
      </c>
    </row>
    <row r="23" ht="18" customHeight="1">
      <c r="A23" s="69" t="s">
        <v>789</v>
      </c>
      <c r="B23" s="69"/>
      <c r="C23" s="69"/>
      <c r="D23" s="69"/>
    </row>
    <row r="24" ht="15" customHeight="1">
      <c r="A24" s="58" t="s">
        <v>790</v>
      </c>
      <c r="B24" s="59">
        <v>18000</v>
      </c>
      <c r="C24" s="60">
        <f>B24*'0. Assumptions'!$C$9</f>
        <v>234000</v>
      </c>
    </row>
    <row r="25" ht="15" customHeight="1">
      <c r="A25" s="62" t="s">
        <v>791</v>
      </c>
      <c r="B25" s="63">
        <v>25000</v>
      </c>
      <c r="C25" s="64">
        <f>B25*'0. Assumptions'!$C$9</f>
        <v>325000</v>
      </c>
    </row>
    <row r="26" ht="15" customHeight="1">
      <c r="A26" s="58" t="s">
        <v>792</v>
      </c>
      <c r="B26" s="59">
        <v>30000</v>
      </c>
      <c r="C26" s="60">
        <f>B26*'0. Assumptions'!$C$9</f>
        <v>390000</v>
      </c>
    </row>
    <row r="27" ht="15" customHeight="1">
      <c r="A27" s="62" t="s">
        <v>793</v>
      </c>
      <c r="B27" s="63">
        <v>8000</v>
      </c>
      <c r="C27" s="64">
        <f>B27*'0. Assumptions'!$C$9</f>
        <v>104000</v>
      </c>
    </row>
    <row r="28" ht="15" customHeight="1">
      <c r="A28" s="58" t="s">
        <v>794</v>
      </c>
      <c r="B28" s="59">
        <v>10000</v>
      </c>
      <c r="C28" s="60">
        <f>B28*'0. Assumptions'!$C$9</f>
        <v>130000</v>
      </c>
    </row>
    <row r="29" ht="15.75" customHeight="1">
      <c r="A29" s="95" t="s">
        <v>568</v>
      </c>
      <c r="B29" s="96">
        <f t="shared" si="0"/>
        <v>91000</v>
      </c>
      <c r="C29" s="75">
        <f>B29*'0. Assumptions'!$C$9</f>
        <v>1183000</v>
      </c>
    </row>
    <row r="30" ht="18" customHeight="1">
      <c r="A30" s="69" t="s">
        <v>795</v>
      </c>
      <c r="B30" s="69"/>
      <c r="C30" s="69"/>
      <c r="D30" s="69"/>
    </row>
    <row r="31" ht="15" customHeight="1">
      <c r="A31" s="58" t="s">
        <v>796</v>
      </c>
      <c r="B31" s="59">
        <v>8000</v>
      </c>
      <c r="C31" s="60">
        <f>B31*'0. Assumptions'!$C$9</f>
        <v>104000</v>
      </c>
    </row>
    <row r="32" ht="15" customHeight="1">
      <c r="A32" s="62" t="s">
        <v>797</v>
      </c>
      <c r="B32" s="63">
        <v>4000</v>
      </c>
      <c r="C32" s="64">
        <f>B32*'0. Assumptions'!$C$9</f>
        <v>52000</v>
      </c>
    </row>
    <row r="33" ht="15" customHeight="1">
      <c r="A33" s="58" t="s">
        <v>798</v>
      </c>
      <c r="B33" s="59">
        <v>6000</v>
      </c>
      <c r="C33" s="60">
        <f>B33*'0. Assumptions'!$C$9</f>
        <v>78000</v>
      </c>
    </row>
    <row r="34" ht="15" customHeight="1">
      <c r="A34" s="62" t="s">
        <v>799</v>
      </c>
      <c r="B34" s="63">
        <v>5000</v>
      </c>
      <c r="C34" s="64">
        <f>B34*'0. Assumptions'!$C$9</f>
        <v>65000</v>
      </c>
    </row>
    <row r="35" ht="15" customHeight="1">
      <c r="A35" s="58" t="s">
        <v>800</v>
      </c>
      <c r="B35" s="59">
        <v>3000</v>
      </c>
      <c r="C35" s="60">
        <f>B35*'0. Assumptions'!$C$9</f>
        <v>39000</v>
      </c>
    </row>
    <row r="36" ht="15.75" customHeight="1">
      <c r="A36" s="95" t="s">
        <v>568</v>
      </c>
      <c r="B36" s="96">
        <f t="shared" si="0"/>
        <v>26000</v>
      </c>
      <c r="C36" s="75">
        <f>B36*'0. Assumptions'!$C$9</f>
        <v>338000</v>
      </c>
    </row>
    <row r="37" ht="18" customHeight="1">
      <c r="A37" s="69" t="s">
        <v>801</v>
      </c>
      <c r="B37" s="69"/>
      <c r="C37" s="69"/>
      <c r="D37" s="69"/>
    </row>
    <row r="38" ht="15" customHeight="1">
      <c r="A38" s="58" t="s">
        <v>361</v>
      </c>
      <c r="B38" s="59">
        <v>18000</v>
      </c>
      <c r="C38" s="60">
        <f>B38*'0. Assumptions'!$C$9</f>
        <v>234000</v>
      </c>
    </row>
    <row r="39" ht="15" customHeight="1">
      <c r="A39" s="62" t="s">
        <v>362</v>
      </c>
      <c r="B39" s="63">
        <v>14000</v>
      </c>
      <c r="C39" s="64">
        <f>B39*'0. Assumptions'!$C$9</f>
        <v>182000</v>
      </c>
    </row>
    <row r="40" ht="15" customHeight="1">
      <c r="A40" s="58" t="s">
        <v>802</v>
      </c>
      <c r="B40" s="59">
        <v>10000</v>
      </c>
      <c r="C40" s="60">
        <f>B40*'0. Assumptions'!$C$9</f>
        <v>130000</v>
      </c>
    </row>
    <row r="41" ht="15" customHeight="1">
      <c r="A41" s="62" t="s">
        <v>803</v>
      </c>
      <c r="B41" s="63">
        <v>8000</v>
      </c>
      <c r="C41" s="64">
        <f>B41*'0. Assumptions'!$C$9</f>
        <v>104000</v>
      </c>
    </row>
    <row r="42" ht="15" customHeight="1">
      <c r="A42" s="58" t="s">
        <v>804</v>
      </c>
      <c r="B42" s="59">
        <v>6000</v>
      </c>
      <c r="C42" s="60">
        <f>B42*'0. Assumptions'!$C$9</f>
        <v>78000</v>
      </c>
    </row>
    <row r="43" ht="15.75" customHeight="1">
      <c r="A43" s="95" t="s">
        <v>568</v>
      </c>
      <c r="B43" s="96">
        <f t="shared" si="0"/>
        <v>56000</v>
      </c>
      <c r="C43" s="75">
        <f>B43*'0. Assumptions'!$C$9</f>
        <v>728000</v>
      </c>
    </row>
    <row r="44" ht="18" customHeight="1">
      <c r="A44" s="69" t="s">
        <v>805</v>
      </c>
      <c r="B44" s="69"/>
      <c r="C44" s="69"/>
      <c r="D44" s="69"/>
    </row>
    <row r="45" ht="15" customHeight="1">
      <c r="A45" s="58" t="s">
        <v>806</v>
      </c>
      <c r="B45" s="59">
        <v>12000</v>
      </c>
      <c r="C45" s="60">
        <f>B45*'0. Assumptions'!$C$9</f>
        <v>156000</v>
      </c>
    </row>
    <row r="46" ht="15" customHeight="1">
      <c r="A46" s="62" t="s">
        <v>807</v>
      </c>
      <c r="B46" s="63">
        <v>10000</v>
      </c>
      <c r="C46" s="64">
        <f>B46*'0. Assumptions'!$C$9</f>
        <v>130000</v>
      </c>
    </row>
    <row r="47" ht="15" customHeight="1">
      <c r="A47" s="58" t="s">
        <v>808</v>
      </c>
      <c r="B47" s="59">
        <v>12000</v>
      </c>
      <c r="C47" s="60">
        <f>B47*'0. Assumptions'!$C$9</f>
        <v>156000</v>
      </c>
    </row>
    <row r="48" ht="15" customHeight="1">
      <c r="A48" s="62" t="s">
        <v>809</v>
      </c>
      <c r="B48" s="63">
        <v>8000</v>
      </c>
      <c r="C48" s="64">
        <f>B48*'0. Assumptions'!$C$9</f>
        <v>104000</v>
      </c>
    </row>
    <row r="49" ht="15" customHeight="1">
      <c r="A49" s="58" t="s">
        <v>810</v>
      </c>
      <c r="B49" s="59">
        <v>6000</v>
      </c>
      <c r="C49" s="60">
        <f>B49*'0. Assumptions'!$C$9</f>
        <v>78000</v>
      </c>
    </row>
    <row r="50" ht="15.75" customHeight="1">
      <c r="A50" s="95" t="s">
        <v>568</v>
      </c>
      <c r="B50" s="96">
        <f t="shared" si="0"/>
        <v>48000</v>
      </c>
      <c r="C50" s="75">
        <f>B50*'0. Assumptions'!$C$9</f>
        <v>624000</v>
      </c>
    </row>
    <row r="51" ht="21.75" customHeight="1">
      <c r="A51" s="66" t="s">
        <v>811</v>
      </c>
      <c r="B51" s="67">
        <f>B15+B22+B29+B36+B43+B50</f>
        <v>383000</v>
      </c>
      <c r="C51" s="67">
        <f>B51*'0. Assumptions'!$C$9</f>
        <v>4979000</v>
      </c>
    </row>
  </sheetData>
  <mergeCells>
    <mergeCell ref="A1:D1"/>
    <mergeCell ref="A3:D3"/>
    <mergeCell ref="A16:D16"/>
    <mergeCell ref="A23:D23"/>
    <mergeCell ref="A30:D30"/>
    <mergeCell ref="A37:D37"/>
    <mergeCell ref="A44:D44"/>
  </mergeCells>
  <printOptions headings="1"/>
  <pageMargins left="0.75" right="0.75" top="1" bottom="1" header="0.51" footer="0.51"/>
  <pageSetup paperSize="9" pageOrder="downThenOver" orientation="portrai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7401B78-41C8-22D8-7368-C358999B8858}" mc:Ignorable="x14ac xr xr2 xr3">
  <dimension ref="A1:CV10000"/>
  <sheetViews>
    <sheetView topLeftCell="A1" workbookViewId="0">
      <selection activeCell="A1" sqref="A1"/>
    </sheetView>
  </sheetViews>
  <sheetFormatPr defaultRowHeight="15" defaultColWidth="8.7109375" customHeight="1"/>
  <cols>
    <col min="1" max="1" style="28" width="50.00390625" customWidth="1"/>
    <col min="2" max="3" style="28" width="20.00390625" customWidth="1"/>
    <col min="4" max="4" style="28" width="5.00390625" customWidth="1"/>
  </cols>
  <sheetData>
    <row r="1" ht="30" customHeight="1">
      <c r="A1" s="68" t="s">
        <v>812</v>
      </c>
      <c r="B1" s="68"/>
      <c r="C1" s="68"/>
      <c r="D1" s="68"/>
    </row>
    <row r="2" ht="19.5" customHeight="1">
      <c r="A2" s="57" t="s">
        <v>813</v>
      </c>
      <c r="B2" s="57" t="s">
        <v>184</v>
      </c>
      <c r="C2" s="57" t="s">
        <v>185</v>
      </c>
      <c r="D2" s="57"/>
    </row>
    <row r="3" ht="18" customHeight="1">
      <c r="A3" s="69" t="s">
        <v>814</v>
      </c>
      <c r="B3" s="69"/>
      <c r="C3" s="69"/>
      <c r="D3" s="69"/>
    </row>
    <row r="4" ht="15" customHeight="1">
      <c r="A4" s="58" t="s">
        <v>815</v>
      </c>
      <c r="B4" s="59">
        <v>8000</v>
      </c>
      <c r="C4" s="60">
        <f>B4*'0. Assumptions'!$C$9</f>
        <v>104000</v>
      </c>
    </row>
    <row r="5" ht="15" customHeight="1">
      <c r="A5" s="62" t="s">
        <v>188</v>
      </c>
      <c r="B5" s="63">
        <v>5000</v>
      </c>
      <c r="C5" s="64">
        <f>B5*'0. Assumptions'!$C$9</f>
        <v>65000</v>
      </c>
    </row>
    <row r="6" ht="15" customHeight="1">
      <c r="A6" s="58" t="s">
        <v>816</v>
      </c>
      <c r="B6" s="59">
        <v>5000</v>
      </c>
      <c r="C6" s="60">
        <f>B6*'0. Assumptions'!$C$9</f>
        <v>65000</v>
      </c>
    </row>
    <row r="7" ht="15" customHeight="1">
      <c r="A7" s="62" t="s">
        <v>817</v>
      </c>
      <c r="B7" s="63">
        <v>4000</v>
      </c>
      <c r="C7" s="64">
        <f>B7*'0. Assumptions'!$C$9</f>
        <v>52000</v>
      </c>
    </row>
    <row r="8" ht="15" customHeight="1">
      <c r="A8" s="58" t="s">
        <v>818</v>
      </c>
      <c r="B8" s="59">
        <v>5000</v>
      </c>
      <c r="C8" s="60">
        <f>B8*'0. Assumptions'!$C$9</f>
        <v>65000</v>
      </c>
    </row>
    <row r="9" ht="15" customHeight="1">
      <c r="A9" s="62" t="s">
        <v>819</v>
      </c>
      <c r="B9" s="63">
        <v>3000</v>
      </c>
      <c r="C9" s="64">
        <f>B9*'0. Assumptions'!$C$9</f>
        <v>39000</v>
      </c>
    </row>
    <row r="10" ht="15" customHeight="1">
      <c r="A10" s="58" t="s">
        <v>820</v>
      </c>
      <c r="B10" s="59">
        <v>3000</v>
      </c>
      <c r="C10" s="60">
        <f>B10*'0. Assumptions'!$C$9</f>
        <v>39000</v>
      </c>
    </row>
    <row r="11" ht="15" customHeight="1">
      <c r="A11" s="62" t="s">
        <v>821</v>
      </c>
      <c r="B11" s="63">
        <v>6000</v>
      </c>
      <c r="C11" s="64">
        <f>B11*'0. Assumptions'!$C$9</f>
        <v>78000</v>
      </c>
    </row>
    <row r="12" ht="15" customHeight="1">
      <c r="A12" s="58" t="s">
        <v>822</v>
      </c>
      <c r="B12" s="59">
        <v>3000</v>
      </c>
      <c r="C12" s="60">
        <f>B12*'0. Assumptions'!$C$9</f>
        <v>39000</v>
      </c>
    </row>
    <row r="13" ht="15.75" customHeight="1">
      <c r="A13" s="95" t="s">
        <v>568</v>
      </c>
      <c r="B13" s="96">
        <f>SUM(B4:B12)</f>
        <v>42000</v>
      </c>
      <c r="C13" s="75">
        <f>B13*'0. Assumptions'!$C$9</f>
        <v>546000</v>
      </c>
    </row>
    <row r="14" ht="18" customHeight="1">
      <c r="A14" s="69" t="s">
        <v>823</v>
      </c>
      <c r="B14" s="69"/>
      <c r="C14" s="69"/>
      <c r="D14" s="69"/>
    </row>
    <row r="15" ht="15" customHeight="1">
      <c r="A15" s="58" t="s">
        <v>824</v>
      </c>
      <c r="B15" s="59">
        <v>6000</v>
      </c>
      <c r="C15" s="60">
        <f>B15*'0. Assumptions'!$C$9</f>
        <v>78000</v>
      </c>
    </row>
    <row r="16" ht="15" customHeight="1">
      <c r="A16" s="62" t="s">
        <v>825</v>
      </c>
      <c r="B16" s="63">
        <v>5000</v>
      </c>
      <c r="C16" s="64">
        <f>B16*'0. Assumptions'!$C$9</f>
        <v>65000</v>
      </c>
    </row>
    <row r="17" ht="15" customHeight="1">
      <c r="A17" s="58" t="s">
        <v>826</v>
      </c>
      <c r="B17" s="59">
        <v>5000</v>
      </c>
      <c r="C17" s="60">
        <f>B17*'0. Assumptions'!$C$9</f>
        <v>65000</v>
      </c>
    </row>
    <row r="18" ht="15" customHeight="1">
      <c r="A18" s="62" t="s">
        <v>827</v>
      </c>
      <c r="B18" s="63">
        <v>4000</v>
      </c>
      <c r="C18" s="64">
        <f>B18*'0. Assumptions'!$C$9</f>
        <v>52000</v>
      </c>
    </row>
    <row r="19" ht="15" customHeight="1">
      <c r="A19" s="58" t="s">
        <v>828</v>
      </c>
      <c r="B19" s="59">
        <v>4000</v>
      </c>
      <c r="C19" s="60">
        <f>B19*'0. Assumptions'!$C$9</f>
        <v>52000</v>
      </c>
    </row>
    <row r="20" ht="15" customHeight="1">
      <c r="A20" s="62" t="s">
        <v>829</v>
      </c>
      <c r="B20" s="63">
        <v>3000</v>
      </c>
      <c r="C20" s="64">
        <f>B20*'0. Assumptions'!$C$9</f>
        <v>39000</v>
      </c>
    </row>
    <row r="21" ht="15" customHeight="1">
      <c r="A21" s="58" t="s">
        <v>830</v>
      </c>
      <c r="B21" s="59">
        <v>4000</v>
      </c>
      <c r="C21" s="60">
        <f>B21*'0. Assumptions'!$C$9</f>
        <v>52000</v>
      </c>
    </row>
    <row r="22" ht="15" customHeight="1">
      <c r="A22" s="62" t="s">
        <v>831</v>
      </c>
      <c r="B22" s="63">
        <v>3000</v>
      </c>
      <c r="C22" s="64">
        <f>B22*'0. Assumptions'!$C$9</f>
        <v>39000</v>
      </c>
    </row>
    <row r="23" ht="15.75" customHeight="1">
      <c r="A23" s="95" t="s">
        <v>568</v>
      </c>
      <c r="B23" s="96">
        <f t="shared" si="0" ref="B23:B42">SUM(B15:B22)</f>
        <v>34000</v>
      </c>
      <c r="C23" s="75">
        <f>B23*'0. Assumptions'!$C$9</f>
        <v>442000</v>
      </c>
    </row>
    <row r="24" ht="18" customHeight="1">
      <c r="A24" s="69" t="s">
        <v>832</v>
      </c>
      <c r="B24" s="69"/>
      <c r="C24" s="69"/>
      <c r="D24" s="69"/>
    </row>
    <row r="25" ht="15" customHeight="1">
      <c r="A25" s="58" t="s">
        <v>833</v>
      </c>
      <c r="B25" s="59">
        <v>4000</v>
      </c>
      <c r="C25" s="60">
        <f>B25*'0. Assumptions'!$C$9</f>
        <v>52000</v>
      </c>
    </row>
    <row r="26" ht="15" customHeight="1">
      <c r="A26" s="62" t="s">
        <v>834</v>
      </c>
      <c r="B26" s="63">
        <v>5000</v>
      </c>
      <c r="C26" s="64">
        <f>B26*'0. Assumptions'!$C$9</f>
        <v>65000</v>
      </c>
    </row>
    <row r="27" ht="15" customHeight="1">
      <c r="A27" s="58" t="s">
        <v>835</v>
      </c>
      <c r="B27" s="59">
        <v>6000</v>
      </c>
      <c r="C27" s="60">
        <f>B27*'0. Assumptions'!$C$9</f>
        <v>78000</v>
      </c>
    </row>
    <row r="28" ht="15" customHeight="1">
      <c r="A28" s="62" t="s">
        <v>836</v>
      </c>
      <c r="B28" s="63">
        <v>3000</v>
      </c>
      <c r="C28" s="64">
        <f>B28*'0. Assumptions'!$C$9</f>
        <v>39000</v>
      </c>
    </row>
    <row r="29" ht="15" customHeight="1">
      <c r="A29" s="58" t="s">
        <v>837</v>
      </c>
      <c r="B29" s="59">
        <v>4000</v>
      </c>
      <c r="C29" s="60">
        <f>B29*'0. Assumptions'!$C$9</f>
        <v>52000</v>
      </c>
    </row>
    <row r="30" ht="15" customHeight="1">
      <c r="A30" s="62" t="s">
        <v>838</v>
      </c>
      <c r="B30" s="63">
        <v>3000</v>
      </c>
      <c r="C30" s="64">
        <f>B30*'0. Assumptions'!$C$9</f>
        <v>39000</v>
      </c>
    </row>
    <row r="31" ht="15" customHeight="1">
      <c r="A31" s="58" t="s">
        <v>839</v>
      </c>
      <c r="B31" s="59">
        <v>4000</v>
      </c>
      <c r="C31" s="60">
        <f>B31*'0. Assumptions'!$C$9</f>
        <v>52000</v>
      </c>
    </row>
    <row r="32" ht="15.75" customHeight="1">
      <c r="A32" s="95" t="s">
        <v>568</v>
      </c>
      <c r="B32" s="96">
        <f t="shared" si="1" ref="B32:B51">SUM(B25:B31)</f>
        <v>29000</v>
      </c>
      <c r="C32" s="75">
        <f>B32*'0. Assumptions'!$C$9</f>
        <v>377000</v>
      </c>
    </row>
    <row r="33" ht="18" customHeight="1">
      <c r="A33" s="69" t="s">
        <v>840</v>
      </c>
      <c r="B33" s="69"/>
      <c r="C33" s="69"/>
      <c r="D33" s="69"/>
    </row>
    <row r="34" ht="15" customHeight="1">
      <c r="A34" s="58" t="s">
        <v>841</v>
      </c>
      <c r="B34" s="59">
        <v>3000</v>
      </c>
      <c r="C34" s="60">
        <f>B34*'0. Assumptions'!$C$9</f>
        <v>39000</v>
      </c>
    </row>
    <row r="35" ht="15" customHeight="1">
      <c r="A35" s="62" t="s">
        <v>842</v>
      </c>
      <c r="B35" s="63">
        <v>2000</v>
      </c>
      <c r="C35" s="64">
        <f>B35*'0. Assumptions'!$C$9</f>
        <v>26000</v>
      </c>
    </row>
    <row r="36" ht="15" customHeight="1">
      <c r="A36" s="58" t="s">
        <v>843</v>
      </c>
      <c r="B36" s="59">
        <v>1500</v>
      </c>
      <c r="C36" s="60">
        <f>B36*'0. Assumptions'!$C$9</f>
        <v>19500</v>
      </c>
    </row>
    <row r="37" ht="15" customHeight="1">
      <c r="A37" s="62" t="s">
        <v>844</v>
      </c>
      <c r="B37" s="63">
        <v>2000</v>
      </c>
      <c r="C37" s="64">
        <f>B37*'0. Assumptions'!$C$9</f>
        <v>26000</v>
      </c>
    </row>
    <row r="38" ht="15" customHeight="1">
      <c r="A38" s="58" t="s">
        <v>845</v>
      </c>
      <c r="B38" s="59">
        <v>1500</v>
      </c>
      <c r="C38" s="60">
        <f>B38*'0. Assumptions'!$C$9</f>
        <v>19500</v>
      </c>
    </row>
    <row r="39" ht="15" customHeight="1">
      <c r="A39" s="62" t="s">
        <v>846</v>
      </c>
      <c r="B39" s="63">
        <v>2000</v>
      </c>
      <c r="C39" s="64">
        <f>B39*'0. Assumptions'!$C$9</f>
        <v>26000</v>
      </c>
    </row>
    <row r="40" ht="15" customHeight="1">
      <c r="A40" s="58" t="s">
        <v>847</v>
      </c>
      <c r="B40" s="59">
        <v>1500</v>
      </c>
      <c r="C40" s="60">
        <f>B40*'0. Assumptions'!$C$9</f>
        <v>19500</v>
      </c>
    </row>
    <row r="41" ht="15" customHeight="1">
      <c r="A41" s="62" t="s">
        <v>848</v>
      </c>
      <c r="B41" s="63">
        <v>4000</v>
      </c>
      <c r="C41" s="64">
        <f>B41*'0. Assumptions'!$C$9</f>
        <v>52000</v>
      </c>
    </row>
    <row r="42" ht="15.75" customHeight="1">
      <c r="A42" s="95" t="s">
        <v>568</v>
      </c>
      <c r="B42" s="96">
        <f t="shared" si="0"/>
        <v>17500</v>
      </c>
      <c r="C42" s="75">
        <f>B42*'0. Assumptions'!$C$9</f>
        <v>227500</v>
      </c>
    </row>
    <row r="43" ht="18" customHeight="1">
      <c r="A43" s="69" t="s">
        <v>849</v>
      </c>
      <c r="B43" s="69"/>
      <c r="C43" s="69"/>
      <c r="D43" s="69"/>
    </row>
    <row r="44" ht="15" customHeight="1">
      <c r="A44" s="58" t="s">
        <v>850</v>
      </c>
      <c r="B44" s="59">
        <v>4000</v>
      </c>
      <c r="C44" s="60">
        <f>B44*'0. Assumptions'!$C$9</f>
        <v>52000</v>
      </c>
    </row>
    <row r="45" ht="15" customHeight="1">
      <c r="A45" s="62" t="s">
        <v>851</v>
      </c>
      <c r="B45" s="63">
        <v>6000</v>
      </c>
      <c r="C45" s="64">
        <f>B45*'0. Assumptions'!$C$9</f>
        <v>78000</v>
      </c>
    </row>
    <row r="46" ht="15" customHeight="1">
      <c r="A46" s="58" t="s">
        <v>852</v>
      </c>
      <c r="B46" s="59">
        <v>5000</v>
      </c>
      <c r="C46" s="60">
        <f>B46*'0. Assumptions'!$C$9</f>
        <v>65000</v>
      </c>
    </row>
    <row r="47" ht="15" customHeight="1">
      <c r="A47" s="62" t="s">
        <v>853</v>
      </c>
      <c r="B47" s="63">
        <v>3000</v>
      </c>
      <c r="C47" s="64">
        <f>B47*'0. Assumptions'!$C$9</f>
        <v>39000</v>
      </c>
    </row>
    <row r="48" ht="15" customHeight="1">
      <c r="A48" s="58" t="s">
        <v>854</v>
      </c>
      <c r="B48" s="59">
        <v>3000</v>
      </c>
      <c r="C48" s="60">
        <f>B48*'0. Assumptions'!$C$9</f>
        <v>39000</v>
      </c>
    </row>
    <row r="49" ht="15" customHeight="1">
      <c r="A49" s="62" t="s">
        <v>855</v>
      </c>
      <c r="B49" s="63">
        <v>5000</v>
      </c>
      <c r="C49" s="64">
        <f>B49*'0. Assumptions'!$C$9</f>
        <v>65000</v>
      </c>
    </row>
    <row r="50" ht="15" customHeight="1">
      <c r="A50" s="58" t="s">
        <v>856</v>
      </c>
      <c r="B50" s="59">
        <v>4000</v>
      </c>
      <c r="C50" s="60">
        <f>B50*'0. Assumptions'!$C$9</f>
        <v>52000</v>
      </c>
    </row>
    <row r="51" ht="15.75" customHeight="1">
      <c r="A51" s="95" t="s">
        <v>568</v>
      </c>
      <c r="B51" s="96">
        <f t="shared" si="1"/>
        <v>30000</v>
      </c>
      <c r="C51" s="75">
        <f>B51*'0. Assumptions'!$C$9</f>
        <v>390000</v>
      </c>
    </row>
    <row r="52" ht="18" customHeight="1">
      <c r="A52" s="69" t="s">
        <v>857</v>
      </c>
      <c r="B52" s="69"/>
      <c r="C52" s="69"/>
      <c r="D52" s="69"/>
    </row>
    <row r="53" ht="15" customHeight="1">
      <c r="A53" s="58" t="s">
        <v>858</v>
      </c>
      <c r="B53" s="59">
        <v>8000</v>
      </c>
      <c r="C53" s="60">
        <f>B53*'0. Assumptions'!$C$9</f>
        <v>104000</v>
      </c>
    </row>
    <row r="54" ht="15" customHeight="1">
      <c r="A54" s="62" t="s">
        <v>859</v>
      </c>
      <c r="B54" s="63">
        <v>4000</v>
      </c>
      <c r="C54" s="64">
        <f>B54*'0. Assumptions'!$C$9</f>
        <v>52000</v>
      </c>
    </row>
    <row r="55" ht="15" customHeight="1">
      <c r="A55" s="58" t="s">
        <v>860</v>
      </c>
      <c r="B55" s="59">
        <v>5000</v>
      </c>
      <c r="C55" s="60">
        <f>B55*'0. Assumptions'!$C$9</f>
        <v>65000</v>
      </c>
    </row>
    <row r="56" ht="15" customHeight="1">
      <c r="A56" s="62" t="s">
        <v>861</v>
      </c>
      <c r="B56" s="63">
        <v>2000</v>
      </c>
      <c r="C56" s="64">
        <f>B56*'0. Assumptions'!$C$9</f>
        <v>26000</v>
      </c>
    </row>
    <row r="57" ht="15.75" customHeight="1">
      <c r="A57" s="95" t="s">
        <v>568</v>
      </c>
      <c r="B57" s="96">
        <f>SUM(B53:B56)</f>
        <v>19000</v>
      </c>
      <c r="C57" s="75">
        <f>B57*'0. Assumptions'!$C$9</f>
        <v>247000</v>
      </c>
    </row>
    <row r="58" ht="21.75" customHeight="1">
      <c r="A58" s="66" t="s">
        <v>862</v>
      </c>
      <c r="B58" s="67">
        <f>B13+B23+B32+B42+B51+B57</f>
        <v>171500</v>
      </c>
      <c r="C58" s="67">
        <f>B58*'0. Assumptions'!$C$9</f>
        <v>2229500</v>
      </c>
    </row>
  </sheetData>
  <mergeCells>
    <mergeCell ref="A1:D1"/>
    <mergeCell ref="A3:D3"/>
    <mergeCell ref="A14:D14"/>
    <mergeCell ref="A24:D24"/>
    <mergeCell ref="A33:D33"/>
    <mergeCell ref="A43:D43"/>
    <mergeCell ref="A52:D52"/>
  </mergeCells>
  <printOptions headings="1"/>
  <pageMargins left="0.75" right="0.75" top="1" bottom="1" header="0.51" footer="0.51"/>
  <pageSetup paperSize="9" pageOrder="downThenOver" orientation="portrai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CBE17A8-AB58-93D3-6E0B-32863386F2EB}" mc:Ignorable="x14ac xr xr2 xr3">
  <dimension ref="A1:CV10000"/>
  <sheetViews>
    <sheetView topLeftCell="A1" workbookViewId="0">
      <selection activeCell="A1" sqref="A1"/>
    </sheetView>
  </sheetViews>
  <sheetFormatPr defaultRowHeight="15" defaultColWidth="8.7109375" customHeight="1"/>
  <cols>
    <col min="1" max="1" style="28" width="5.00390625" customWidth="1"/>
    <col min="2" max="2" style="28" width="40.00390625" customWidth="1"/>
    <col min="3" max="5" style="28" width="18.00390625" customWidth="1"/>
    <col min="6" max="6" style="28" width="5.00390625" customWidth="1"/>
    <col min="7" max="7" style="28" width="18.00390625" customWidth="1"/>
  </cols>
  <sheetData>
    <row r="1" ht="30" customHeight="1">
      <c r="A1" s="68" t="s">
        <v>863</v>
      </c>
      <c r="B1" s="68"/>
      <c r="C1" s="68"/>
      <c r="D1" s="68"/>
      <c r="E1" s="68"/>
      <c r="F1" s="68"/>
    </row>
    <row r="2" ht="19.5" customHeight="1">
      <c r="A2" s="99" t="s">
        <v>864</v>
      </c>
      <c r="B2" s="99"/>
      <c r="C2" s="99"/>
      <c r="D2" s="99"/>
      <c r="E2" s="99"/>
      <c r="F2" s="99"/>
    </row>
    <row r="3" ht="19.5" customHeight="1">
      <c r="A3" s="57"/>
      <c r="B3" s="57" t="s">
        <v>69</v>
      </c>
      <c r="C3" s="57" t="s">
        <v>865</v>
      </c>
      <c r="D3" s="57" t="s">
        <v>34</v>
      </c>
      <c r="E3" s="57" t="s">
        <v>866</v>
      </c>
      <c r="F3" s="57" t="s">
        <v>867</v>
      </c>
    </row>
    <row r="4" ht="15" customHeight="1">
      <c r="B4" s="100" t="s">
        <v>868</v>
      </c>
      <c r="C4" s="58" t="s">
        <v>869</v>
      </c>
      <c r="D4" s="59">
        <v>3250000</v>
      </c>
      <c r="E4" s="83">
        <v>0.08</v>
      </c>
      <c r="F4" s="70">
        <f t="shared" si="0" ref="F4:F17">D4*E4</f>
        <v>260000</v>
      </c>
      <c r="G4" s="60">
        <f>F4*'0. Assumptions'!$C$9</f>
        <v>3380000</v>
      </c>
    </row>
    <row r="5" ht="15" customHeight="1">
      <c r="B5" s="101" t="s">
        <v>870</v>
      </c>
      <c r="C5" s="62" t="s">
        <v>871</v>
      </c>
      <c r="D5" s="63">
        <v>1980000</v>
      </c>
      <c r="E5" s="86">
        <v>0.12</v>
      </c>
      <c r="F5" s="71">
        <f t="shared" si="0"/>
        <v>237600</v>
      </c>
      <c r="G5" s="64">
        <f>F5*'0. Assumptions'!$C$9</f>
        <v>3088800</v>
      </c>
    </row>
    <row r="6" ht="15" customHeight="1">
      <c r="B6" s="100" t="s">
        <v>872</v>
      </c>
      <c r="C6" s="58" t="s">
        <v>873</v>
      </c>
      <c r="D6" s="59">
        <v>820000</v>
      </c>
      <c r="E6" s="83">
        <v>0.12</v>
      </c>
      <c r="F6" s="70">
        <f t="shared" si="0"/>
        <v>98400</v>
      </c>
      <c r="G6" s="60">
        <f>F6*'0. Assumptions'!$C$9</f>
        <v>1279200</v>
      </c>
    </row>
    <row r="7" ht="15" customHeight="1">
      <c r="B7" s="101" t="s">
        <v>874</v>
      </c>
      <c r="C7" s="62" t="s">
        <v>875</v>
      </c>
      <c r="D7" s="63">
        <v>540000</v>
      </c>
      <c r="E7" s="86">
        <v>0.08</v>
      </c>
      <c r="F7" s="71">
        <f t="shared" si="0"/>
        <v>43200</v>
      </c>
      <c r="G7" s="64">
        <f>F7*'0. Assumptions'!$C$9</f>
        <v>561600</v>
      </c>
    </row>
    <row r="8" ht="15" customHeight="1">
      <c r="B8" s="100" t="s">
        <v>876</v>
      </c>
      <c r="C8" s="58" t="s">
        <v>877</v>
      </c>
      <c r="D8" s="59">
        <v>310000</v>
      </c>
      <c r="E8" s="83">
        <v>0.05</v>
      </c>
      <c r="F8" s="70">
        <f t="shared" si="0"/>
        <v>15500</v>
      </c>
      <c r="G8" s="60">
        <f>F8*'0. Assumptions'!$C$9</f>
        <v>201500</v>
      </c>
    </row>
    <row r="9" ht="15" customHeight="1">
      <c r="B9" s="101" t="s">
        <v>878</v>
      </c>
      <c r="C9" s="62" t="s">
        <v>879</v>
      </c>
      <c r="D9" s="63">
        <v>680000</v>
      </c>
      <c r="E9" s="86">
        <v>0.1</v>
      </c>
      <c r="F9" s="71">
        <f t="shared" si="0"/>
        <v>68000</v>
      </c>
      <c r="G9" s="64">
        <f>F9*'0. Assumptions'!$C$9</f>
        <v>884000</v>
      </c>
    </row>
    <row r="10" ht="15" customHeight="1">
      <c r="B10" s="100" t="s">
        <v>880</v>
      </c>
      <c r="C10" s="58" t="s">
        <v>881</v>
      </c>
      <c r="D10" s="59">
        <v>400000</v>
      </c>
      <c r="E10" s="83">
        <v>0.1</v>
      </c>
      <c r="F10" s="70">
        <f t="shared" si="0"/>
        <v>40000</v>
      </c>
      <c r="G10" s="60">
        <f>F10*'0. Assumptions'!$C$9</f>
        <v>520000</v>
      </c>
    </row>
    <row r="11" ht="15" customHeight="1">
      <c r="B11" s="101" t="s">
        <v>882</v>
      </c>
      <c r="C11" s="62" t="s">
        <v>883</v>
      </c>
      <c r="D11" s="63">
        <v>640000</v>
      </c>
      <c r="E11" s="86">
        <v>0.15</v>
      </c>
      <c r="F11" s="71">
        <f t="shared" si="0"/>
        <v>96000</v>
      </c>
      <c r="G11" s="64">
        <f>F11*'0. Assumptions'!$C$9</f>
        <v>1248000</v>
      </c>
    </row>
    <row r="12" ht="15" customHeight="1">
      <c r="B12" s="100" t="s">
        <v>884</v>
      </c>
      <c r="C12" s="58" t="s">
        <v>885</v>
      </c>
      <c r="D12" s="59">
        <v>290000</v>
      </c>
      <c r="E12" s="83">
        <v>0.1</v>
      </c>
      <c r="F12" s="70">
        <f t="shared" si="0"/>
        <v>29000</v>
      </c>
      <c r="G12" s="60">
        <f>F12*'0. Assumptions'!$C$9</f>
        <v>377000</v>
      </c>
    </row>
    <row r="13" ht="15" customHeight="1">
      <c r="B13" s="101" t="s">
        <v>886</v>
      </c>
      <c r="C13" s="62" t="s">
        <v>887</v>
      </c>
      <c r="D13" s="63">
        <v>420000</v>
      </c>
      <c r="E13" s="86">
        <v>0.1</v>
      </c>
      <c r="F13" s="71">
        <f t="shared" si="0"/>
        <v>42000</v>
      </c>
      <c r="G13" s="64">
        <f>F13*'0. Assumptions'!$C$9</f>
        <v>546000</v>
      </c>
    </row>
    <row r="14" ht="15" customHeight="1">
      <c r="B14" s="100" t="s">
        <v>888</v>
      </c>
      <c r="C14" s="58" t="s">
        <v>889</v>
      </c>
      <c r="D14" s="59">
        <v>180000</v>
      </c>
      <c r="E14" s="83">
        <v>0.08</v>
      </c>
      <c r="F14" s="70">
        <f t="shared" si="0"/>
        <v>14400</v>
      </c>
      <c r="G14" s="60">
        <f>F14*'0. Assumptions'!$C$9</f>
        <v>187200</v>
      </c>
    </row>
    <row r="15" ht="15" customHeight="1">
      <c r="B15" s="101" t="s">
        <v>890</v>
      </c>
      <c r="C15" s="62" t="s">
        <v>891</v>
      </c>
      <c r="D15" s="63">
        <v>380000</v>
      </c>
      <c r="E15" s="86">
        <v>0.08</v>
      </c>
      <c r="F15" s="71">
        <f t="shared" si="0"/>
        <v>30400</v>
      </c>
      <c r="G15" s="64">
        <f>F15*'0. Assumptions'!$C$9</f>
        <v>395200</v>
      </c>
    </row>
    <row r="16" ht="15" customHeight="1">
      <c r="B16" s="100" t="s">
        <v>892</v>
      </c>
      <c r="C16" s="58" t="s">
        <v>893</v>
      </c>
      <c r="D16" s="59">
        <v>95000</v>
      </c>
      <c r="E16" s="83">
        <v>0.05</v>
      </c>
      <c r="F16" s="70">
        <f t="shared" si="0"/>
        <v>4750</v>
      </c>
      <c r="G16" s="60">
        <f>F16*'0. Assumptions'!$C$9</f>
        <v>61750</v>
      </c>
    </row>
    <row r="17" ht="15" customHeight="1">
      <c r="B17" s="101" t="s">
        <v>894</v>
      </c>
      <c r="C17" s="62" t="s">
        <v>895</v>
      </c>
      <c r="D17" s="63">
        <v>250000</v>
      </c>
      <c r="E17" s="86">
        <v>1</v>
      </c>
      <c r="F17" s="71">
        <f t="shared" si="0"/>
        <v>250000</v>
      </c>
      <c r="G17" s="64">
        <f>F17*'0. Assumptions'!$C$9</f>
        <v>3250000</v>
      </c>
    </row>
    <row r="18" ht="21.75" customHeight="1">
      <c r="B18" s="79" t="s">
        <v>896</v>
      </c>
      <c r="C18" s="79"/>
      <c r="D18" s="79"/>
      <c r="E18" s="79"/>
      <c r="F18" s="67">
        <f>SUM(F4:F17)</f>
        <v>1229250</v>
      </c>
      <c r="G18" s="67">
        <f>F18*'0. Assumptions'!$C$9</f>
        <v>15980250</v>
      </c>
    </row>
    <row r="20" ht="13.5" customHeight="1">
      <c r="B20" s="102" t="s">
        <v>897</v>
      </c>
      <c r="C20" s="102"/>
      <c r="D20" s="102"/>
      <c r="E20" s="102"/>
      <c r="F20" s="102"/>
      <c r="G20" s="102"/>
    </row>
    <row r="21" ht="13.5" customHeight="1">
      <c r="B21" s="103" t="s">
        <v>898</v>
      </c>
      <c r="C21" s="103"/>
      <c r="D21" s="103"/>
      <c r="E21" s="103"/>
      <c r="F21" s="103"/>
      <c r="G21" s="103"/>
    </row>
    <row r="22" ht="13.5" customHeight="1">
      <c r="B22" s="103" t="s">
        <v>899</v>
      </c>
      <c r="C22" s="103"/>
      <c r="D22" s="103"/>
      <c r="E22" s="103"/>
      <c r="F22" s="103"/>
      <c r="G22" s="103"/>
    </row>
    <row r="23" ht="13.5" customHeight="1">
      <c r="B23" s="103" t="s">
        <v>900</v>
      </c>
      <c r="C23" s="103"/>
      <c r="D23" s="103"/>
      <c r="E23" s="103"/>
      <c r="F23" s="103"/>
      <c r="G23" s="103"/>
    </row>
    <row r="24" ht="13.5" customHeight="1">
      <c r="B24" s="103" t="s">
        <v>901</v>
      </c>
      <c r="C24" s="103"/>
      <c r="D24" s="103"/>
      <c r="E24" s="103"/>
      <c r="F24" s="103"/>
      <c r="G24" s="103"/>
    </row>
    <row r="25" ht="13.5" customHeight="1">
      <c r="B25" s="103" t="s">
        <v>902</v>
      </c>
      <c r="C25" s="103"/>
      <c r="D25" s="103"/>
      <c r="E25" s="103"/>
      <c r="F25" s="103"/>
      <c r="G25" s="103"/>
    </row>
    <row r="26" ht="13.5" customHeight="1">
      <c r="B26" s="103" t="s">
        <v>903</v>
      </c>
      <c r="C26" s="103"/>
      <c r="D26" s="103"/>
      <c r="E26" s="103"/>
      <c r="F26" s="103"/>
      <c r="G26" s="103"/>
    </row>
  </sheetData>
  <mergeCells>
    <mergeCell ref="A1:F1"/>
    <mergeCell ref="A2:F2"/>
    <mergeCell ref="B18:E18"/>
    <mergeCell ref="B20:G20"/>
    <mergeCell ref="B21:G21"/>
    <mergeCell ref="B22:G22"/>
    <mergeCell ref="B23:G23"/>
    <mergeCell ref="B24:G24"/>
    <mergeCell ref="B25:G25"/>
    <mergeCell ref="B26:G26"/>
  </mergeCells>
  <printOptions headings="1"/>
  <pageMargins left="0.75" right="0.75" top="1" bottom="1" header="0.51" footer="0.51"/>
  <pageSetup paperSize="9" pageOrder="downThenOver" orientation="portrai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19EF9F7-2838-E6A7-1038-3D2A9872BCB9}" mc:Ignorable="x14ac xr xr2 xr3">
  <dimension ref="A1:CV10000"/>
  <sheetViews>
    <sheetView topLeftCell="A1" workbookViewId="0">
      <selection activeCell="A1" sqref="A1"/>
    </sheetView>
  </sheetViews>
  <sheetFormatPr defaultRowHeight="15" defaultColWidth="8.7109375" customHeight="1"/>
  <cols>
    <col min="1" max="1" style="28" width="5.00390625" customWidth="1"/>
    <col min="2" max="2" style="28" width="42.00390625" customWidth="1"/>
    <col min="3" max="6" style="28" width="18.00390625" customWidth="1"/>
    <col min="7" max="7" style="28" width="5.00390625" customWidth="1"/>
  </cols>
  <sheetData>
    <row r="1" ht="16.5" customHeight="1">
      <c r="A1" s="81" t="s">
        <v>904</v>
      </c>
      <c r="B1" s="81"/>
      <c r="C1" s="81"/>
      <c r="D1" s="81"/>
      <c r="E1" s="81"/>
      <c r="F1" s="81"/>
      <c r="G1" s="81"/>
    </row>
    <row r="2" ht="23.25" customHeight="1">
      <c r="A2" s="103" t="s">
        <v>905</v>
      </c>
      <c r="B2" s="103"/>
      <c r="C2" s="103"/>
      <c r="D2" s="103"/>
      <c r="E2" s="103"/>
      <c r="F2" s="103"/>
      <c r="G2" s="103"/>
    </row>
    <row r="4" ht="15" customHeight="1">
      <c r="A4" s="104" t="s">
        <v>906</v>
      </c>
      <c r="B4" s="104"/>
      <c r="C4" s="104"/>
      <c r="D4" s="104"/>
      <c r="E4" s="104"/>
      <c r="F4" s="104"/>
      <c r="G4" s="104"/>
    </row>
    <row r="5" ht="27.75" customHeight="1">
      <c r="A5" s="105"/>
      <c r="B5" s="105" t="s">
        <v>907</v>
      </c>
      <c r="C5" s="105" t="s">
        <v>908</v>
      </c>
      <c r="D5" s="105" t="s">
        <v>909</v>
      </c>
      <c r="E5" s="105" t="s">
        <v>910</v>
      </c>
      <c r="F5" s="105" t="s">
        <v>911</v>
      </c>
      <c r="G5" s="105"/>
    </row>
    <row r="6" ht="26.25" customHeight="1">
      <c r="B6" s="106" t="s">
        <v>912</v>
      </c>
      <c r="C6" s="107" t="s">
        <v>913</v>
      </c>
      <c r="D6" s="108">
        <v>2150</v>
      </c>
      <c r="E6" s="108">
        <v>2073675000</v>
      </c>
      <c r="F6" s="109">
        <f>E6*'0. Assumptions'!$C$9</f>
        <v>26957775000</v>
      </c>
    </row>
    <row r="7" ht="26.25" customHeight="1">
      <c r="B7" s="110" t="s">
        <v>914</v>
      </c>
      <c r="C7" s="87" t="s">
        <v>915</v>
      </c>
      <c r="D7" s="63">
        <v>2150</v>
      </c>
      <c r="E7" s="63">
        <v>62210250</v>
      </c>
      <c r="F7" s="64">
        <f>E7*'0. Assumptions'!$C$9</f>
        <v>808733250</v>
      </c>
    </row>
    <row r="8" ht="14.25" customHeight="1">
      <c r="B8" s="106" t="s">
        <v>916</v>
      </c>
      <c r="C8" s="107" t="s">
        <v>917</v>
      </c>
      <c r="D8" s="111"/>
      <c r="E8" s="108">
        <v>8500000</v>
      </c>
      <c r="F8" s="109">
        <f>E8*'0. Assumptions'!$C$9</f>
        <v>110500000</v>
      </c>
    </row>
    <row r="9" ht="14.25" customHeight="1">
      <c r="B9" s="110" t="s">
        <v>918</v>
      </c>
      <c r="C9" s="87" t="s">
        <v>919</v>
      </c>
      <c r="D9" s="78"/>
      <c r="E9" s="63">
        <v>2200000</v>
      </c>
      <c r="F9" s="64">
        <f>E9*'0. Assumptions'!$C$9</f>
        <v>28600000</v>
      </c>
    </row>
    <row r="10" ht="14.25" customHeight="1">
      <c r="B10" s="106" t="s">
        <v>920</v>
      </c>
      <c r="C10" s="107" t="s">
        <v>921</v>
      </c>
      <c r="D10" s="111"/>
      <c r="E10" s="108">
        <v>1800000</v>
      </c>
      <c r="F10" s="109">
        <f>E10*'0. Assumptions'!$C$9</f>
        <v>23400000</v>
      </c>
    </row>
    <row r="11" ht="14.25" customHeight="1">
      <c r="B11" s="110" t="s">
        <v>922</v>
      </c>
      <c r="C11" s="87" t="s">
        <v>923</v>
      </c>
      <c r="D11" s="78"/>
      <c r="E11" s="63">
        <v>900000</v>
      </c>
      <c r="F11" s="64">
        <f>E11*'0. Assumptions'!$C$9</f>
        <v>11700000</v>
      </c>
    </row>
    <row r="12" ht="15" customHeight="1">
      <c r="B12" s="112" t="s">
        <v>924</v>
      </c>
      <c r="C12" s="112"/>
      <c r="D12" s="112"/>
      <c r="E12" s="113">
        <f>SUM(E6:E11)</f>
        <v>2149285250</v>
      </c>
      <c r="F12" s="113">
        <f>E12*'0. Assumptions'!$C$9</f>
        <v>27940708250</v>
      </c>
    </row>
    <row r="14" ht="15" customHeight="1">
      <c r="A14" s="114" t="s">
        <v>925</v>
      </c>
      <c r="B14" s="114"/>
      <c r="C14" s="114"/>
      <c r="D14" s="114"/>
      <c r="E14" s="114"/>
      <c r="F14" s="114"/>
      <c r="G14" s="114"/>
    </row>
    <row r="15" ht="27.75" customHeight="1">
      <c r="A15" s="115"/>
      <c r="B15" s="115" t="s">
        <v>926</v>
      </c>
      <c r="C15" s="115" t="s">
        <v>927</v>
      </c>
      <c r="D15" s="115" t="s">
        <v>928</v>
      </c>
      <c r="E15" s="115" t="s">
        <v>929</v>
      </c>
      <c r="F15" s="115" t="s">
        <v>930</v>
      </c>
      <c r="G15" s="115"/>
    </row>
    <row r="16" ht="44.25" customHeight="1">
      <c r="B16" s="116" t="s">
        <v>931</v>
      </c>
      <c r="C16" s="117" t="s">
        <v>932</v>
      </c>
      <c r="D16" s="118">
        <v>0.25</v>
      </c>
      <c r="E16" s="119">
        <v>518418750</v>
      </c>
      <c r="F16" s="119">
        <f>E16*'0. Assumptions'!$C$9</f>
        <v>6739443750</v>
      </c>
    </row>
    <row r="17" ht="44.25" customHeight="1">
      <c r="B17" s="110" t="s">
        <v>933</v>
      </c>
      <c r="C17" s="92" t="s">
        <v>934</v>
      </c>
      <c r="D17" s="86">
        <v>0.12</v>
      </c>
      <c r="E17" s="120">
        <v>248841000</v>
      </c>
      <c r="F17" s="120">
        <f>E17*'0. Assumptions'!$C$9</f>
        <v>3234933000</v>
      </c>
    </row>
    <row r="18" ht="44.25" customHeight="1">
      <c r="B18" s="116" t="s">
        <v>935</v>
      </c>
      <c r="C18" s="117" t="s">
        <v>936</v>
      </c>
      <c r="D18" s="118">
        <v>0.3</v>
      </c>
      <c r="E18" s="119">
        <v>18663075</v>
      </c>
      <c r="F18" s="119">
        <f>E18*'0. Assumptions'!$C$9</f>
        <v>242619975</v>
      </c>
    </row>
    <row r="19" ht="33.75" customHeight="1">
      <c r="B19" s="110" t="s">
        <v>937</v>
      </c>
      <c r="C19" s="92" t="s">
        <v>938</v>
      </c>
      <c r="D19" s="86">
        <v>0.2</v>
      </c>
      <c r="E19" s="120">
        <v>20736750</v>
      </c>
      <c r="F19" s="120">
        <f>E19*'0. Assumptions'!$C$9</f>
        <v>269577750</v>
      </c>
    </row>
    <row r="20" ht="44.25" customHeight="1">
      <c r="B20" s="116" t="s">
        <v>939</v>
      </c>
      <c r="C20" s="117" t="s">
        <v>940</v>
      </c>
      <c r="D20" s="118">
        <v>0.05</v>
      </c>
      <c r="E20" s="119">
        <v>425000</v>
      </c>
      <c r="F20" s="119">
        <f>E20*'0. Assumptions'!$C$9</f>
        <v>5525000</v>
      </c>
    </row>
    <row r="21" ht="33.75" customHeight="1">
      <c r="B21" s="110" t="s">
        <v>941</v>
      </c>
      <c r="C21" s="92" t="s">
        <v>942</v>
      </c>
      <c r="D21" s="86">
        <v>0.1</v>
      </c>
      <c r="E21" s="120">
        <v>900000</v>
      </c>
      <c r="F21" s="120">
        <f>E21*'0. Assumptions'!$C$9</f>
        <v>11700000</v>
      </c>
    </row>
    <row r="22" ht="33.75" customHeight="1">
      <c r="B22" s="116" t="s">
        <v>943</v>
      </c>
      <c r="C22" s="117" t="s">
        <v>944</v>
      </c>
      <c r="D22" s="118">
        <v>0.08</v>
      </c>
      <c r="E22" s="119">
        <v>165894000</v>
      </c>
      <c r="F22" s="119">
        <f>E22*'0. Assumptions'!$C$9</f>
        <v>2156622000</v>
      </c>
    </row>
    <row r="23" ht="33.75" customHeight="1">
      <c r="B23" s="110" t="s">
        <v>945</v>
      </c>
      <c r="C23" s="92" t="s">
        <v>946</v>
      </c>
      <c r="D23" s="86">
        <v>0.35</v>
      </c>
      <c r="E23" s="120">
        <v>21773587</v>
      </c>
      <c r="F23" s="120">
        <f>E23*'0. Assumptions'!$C$9</f>
        <v>283056631</v>
      </c>
    </row>
    <row r="24" ht="15" customHeight="1">
      <c r="B24" s="121" t="s">
        <v>947</v>
      </c>
      <c r="C24" s="121"/>
      <c r="D24" s="121"/>
      <c r="E24" s="122">
        <f>SUM(E16:E23)</f>
        <v>995652162</v>
      </c>
      <c r="F24" s="122">
        <f>E24*'0. Assumptions'!$C$9</f>
        <v>12943478106</v>
      </c>
    </row>
    <row r="26" ht="15" customHeight="1">
      <c r="A26" s="76" t="s">
        <v>948</v>
      </c>
      <c r="B26" s="76"/>
      <c r="C26" s="76"/>
      <c r="D26" s="76"/>
      <c r="E26" s="76"/>
      <c r="F26" s="76"/>
      <c r="G26" s="76"/>
    </row>
    <row r="27" ht="40.5" customHeight="1">
      <c r="A27" s="123"/>
      <c r="B27" s="123" t="s">
        <v>949</v>
      </c>
      <c r="C27" s="123" t="s">
        <v>950</v>
      </c>
      <c r="D27" s="123" t="s">
        <v>951</v>
      </c>
      <c r="E27" s="123" t="s">
        <v>952</v>
      </c>
      <c r="F27" s="123" t="s">
        <v>953</v>
      </c>
      <c r="G27" s="123"/>
    </row>
    <row r="28" ht="54.75" customHeight="1">
      <c r="B28" s="124" t="s">
        <v>954</v>
      </c>
      <c r="C28" s="125" t="s">
        <v>955</v>
      </c>
      <c r="D28" s="126">
        <v>0.6</v>
      </c>
      <c r="E28" s="127">
        <v>311051250</v>
      </c>
      <c r="F28" s="128">
        <f>E28*'0. Assumptions'!$C$9</f>
        <v>4043666250</v>
      </c>
    </row>
    <row r="29" ht="44.25" customHeight="1">
      <c r="B29" s="110" t="s">
        <v>956</v>
      </c>
      <c r="C29" s="92" t="s">
        <v>957</v>
      </c>
      <c r="D29" s="86">
        <v>0.8</v>
      </c>
      <c r="E29" s="129">
        <v>199072800</v>
      </c>
      <c r="F29" s="64">
        <f>E29*'0. Assumptions'!$C$9</f>
        <v>2587946400</v>
      </c>
    </row>
    <row r="30" ht="44.25" customHeight="1">
      <c r="B30" s="124" t="s">
        <v>958</v>
      </c>
      <c r="C30" s="125" t="s">
        <v>959</v>
      </c>
      <c r="D30" s="126">
        <v>0.7</v>
      </c>
      <c r="E30" s="127">
        <v>13064152</v>
      </c>
      <c r="F30" s="128">
        <f>E30*'0. Assumptions'!$C$9</f>
        <v>169833976</v>
      </c>
    </row>
    <row r="31" ht="54.75" customHeight="1">
      <c r="B31" s="110" t="s">
        <v>960</v>
      </c>
      <c r="C31" s="92" t="s">
        <v>961</v>
      </c>
      <c r="D31" s="86">
        <v>0.65</v>
      </c>
      <c r="E31" s="129">
        <v>13478887</v>
      </c>
      <c r="F31" s="64">
        <f>E31*'0. Assumptions'!$C$9</f>
        <v>175225531</v>
      </c>
    </row>
    <row r="32" ht="44.25" customHeight="1">
      <c r="B32" s="124" t="s">
        <v>962</v>
      </c>
      <c r="C32" s="125" t="s">
        <v>963</v>
      </c>
      <c r="D32" s="126">
        <v>1</v>
      </c>
      <c r="E32" s="127">
        <v>6000000</v>
      </c>
      <c r="F32" s="128">
        <f>E32*'0. Assumptions'!$C$9</f>
        <v>78000000</v>
      </c>
    </row>
    <row r="33" ht="33.75" customHeight="1">
      <c r="B33" s="110" t="s">
        <v>964</v>
      </c>
      <c r="C33" s="92" t="s">
        <v>965</v>
      </c>
      <c r="D33" s="86">
        <v>1</v>
      </c>
      <c r="E33" s="129">
        <v>3500000</v>
      </c>
      <c r="F33" s="64">
        <f>E33*'0. Assumptions'!$C$9</f>
        <v>45500000</v>
      </c>
    </row>
    <row r="34" ht="44.25" customHeight="1">
      <c r="B34" s="124" t="s">
        <v>966</v>
      </c>
      <c r="C34" s="125" t="s">
        <v>967</v>
      </c>
      <c r="D34" s="126">
        <v>1</v>
      </c>
      <c r="E34" s="127">
        <v>2200000</v>
      </c>
      <c r="F34" s="128">
        <f>E34*'0. Assumptions'!$C$9</f>
        <v>28600000</v>
      </c>
    </row>
    <row r="35" ht="44.25" customHeight="1">
      <c r="B35" s="110" t="s">
        <v>968</v>
      </c>
      <c r="C35" s="92" t="s">
        <v>969</v>
      </c>
      <c r="D35" s="86">
        <v>1</v>
      </c>
      <c r="E35" s="129">
        <v>4800000</v>
      </c>
      <c r="F35" s="64">
        <f>E35*'0. Assumptions'!$C$9</f>
        <v>62400000</v>
      </c>
    </row>
    <row r="36" ht="54.75" customHeight="1">
      <c r="B36" s="124" t="s">
        <v>970</v>
      </c>
      <c r="C36" s="125" t="s">
        <v>971</v>
      </c>
      <c r="D36" s="126">
        <v>1</v>
      </c>
      <c r="E36" s="127">
        <v>31105125</v>
      </c>
      <c r="F36" s="128">
        <f>E36*'0. Assumptions'!$C$9</f>
        <v>404366625</v>
      </c>
    </row>
    <row r="37" ht="33.75" customHeight="1">
      <c r="B37" s="110" t="s">
        <v>972</v>
      </c>
      <c r="C37" s="92" t="s">
        <v>973</v>
      </c>
      <c r="D37" s="86">
        <v>1</v>
      </c>
      <c r="E37" s="129">
        <v>1200000</v>
      </c>
      <c r="F37" s="64">
        <f>E37*'0. Assumptions'!$C$9</f>
        <v>15600000</v>
      </c>
    </row>
    <row r="38" ht="44.25" customHeight="1">
      <c r="B38" s="124" t="s">
        <v>974</v>
      </c>
      <c r="C38" s="125" t="s">
        <v>975</v>
      </c>
      <c r="D38" s="126">
        <v>1</v>
      </c>
      <c r="E38" s="127">
        <v>2500000</v>
      </c>
      <c r="F38" s="128">
        <f>E38*'0. Assumptions'!$C$9</f>
        <v>32500000</v>
      </c>
    </row>
    <row r="39" ht="44.25" customHeight="1">
      <c r="B39" s="110" t="s">
        <v>976</v>
      </c>
      <c r="C39" s="92" t="s">
        <v>977</v>
      </c>
      <c r="D39" s="86">
        <v>1</v>
      </c>
      <c r="E39" s="129">
        <v>10000000</v>
      </c>
      <c r="F39" s="64">
        <f>E39*'0. Assumptions'!$C$9</f>
        <v>130000000</v>
      </c>
    </row>
    <row r="40" ht="15" customHeight="1">
      <c r="B40" s="130" t="s">
        <v>978</v>
      </c>
      <c r="C40" s="130"/>
      <c r="D40" s="130"/>
      <c r="E40" s="131">
        <f>SUM(E28:E39)</f>
        <v>597972214</v>
      </c>
      <c r="F40" s="131">
        <f>E40*'0. Assumptions'!$C$9</f>
        <v>7773638782</v>
      </c>
    </row>
    <row r="42" ht="15" customHeight="1">
      <c r="A42" s="132" t="s">
        <v>979</v>
      </c>
      <c r="B42" s="132"/>
      <c r="C42" s="132"/>
      <c r="D42" s="132"/>
      <c r="E42" s="132"/>
      <c r="F42" s="132"/>
      <c r="G42" s="132"/>
    </row>
    <row r="43" ht="15.75" customHeight="1">
      <c r="B43" s="124" t="s">
        <v>980</v>
      </c>
      <c r="C43" s="133" t="s">
        <v>31</v>
      </c>
      <c r="E43" s="134">
        <f>'0. Assumptions'!C8</f>
        <v>11355000</v>
      </c>
      <c r="F43" s="135">
        <f>E43*'0. Assumptions'!$C$9</f>
        <v>147615000</v>
      </c>
    </row>
    <row r="44" ht="15" customHeight="1">
      <c r="B44" s="110" t="s">
        <v>981</v>
      </c>
      <c r="C44" s="101" t="s">
        <v>31</v>
      </c>
      <c r="E44" s="136">
        <f>E40</f>
        <v>597972214</v>
      </c>
    </row>
    <row r="45" ht="15" customHeight="1">
      <c r="B45" s="124" t="s">
        <v>982</v>
      </c>
      <c r="C45" s="133" t="s">
        <v>116</v>
      </c>
      <c r="E45" s="137" t="s">
        <v>983</v>
      </c>
    </row>
    <row r="46" ht="15" customHeight="1">
      <c r="B46" s="110" t="s">
        <v>984</v>
      </c>
      <c r="C46" s="101" t="s">
        <v>31</v>
      </c>
      <c r="E46" s="136">
        <f>E40*5-E43</f>
        <v>2978506070</v>
      </c>
    </row>
    <row r="47" ht="15" customHeight="1">
      <c r="B47" s="124" t="s">
        <v>985</v>
      </c>
      <c r="C47" s="133" t="s">
        <v>31</v>
      </c>
      <c r="E47" s="134">
        <f>E40*10-E43</f>
        <v>5968367140</v>
      </c>
    </row>
    <row r="48" ht="15" customHeight="1">
      <c r="B48" s="110" t="s">
        <v>986</v>
      </c>
      <c r="C48" s="101" t="s">
        <v>987</v>
      </c>
      <c r="E48" s="138">
        <f>(E40*2-E43)/E43</f>
        <v>104.323155261999</v>
      </c>
    </row>
    <row r="49" ht="15" customHeight="1">
      <c r="B49" s="124" t="s">
        <v>988</v>
      </c>
      <c r="C49" s="133" t="s">
        <v>987</v>
      </c>
      <c r="E49" s="139">
        <f>(E40*4-E43)/E43</f>
        <v>209.646310523998</v>
      </c>
    </row>
    <row r="50" ht="15" customHeight="1">
      <c r="B50" s="110" t="s">
        <v>989</v>
      </c>
      <c r="C50" s="101" t="s">
        <v>990</v>
      </c>
      <c r="E50" s="140">
        <f>E40*4/E43</f>
        <v>210.646310523998</v>
      </c>
    </row>
    <row r="52" ht="31.5" customHeight="1">
      <c r="A52" s="141" t="s">
        <v>991</v>
      </c>
      <c r="B52" s="141"/>
      <c r="C52" s="141"/>
      <c r="D52" s="141"/>
      <c r="E52" s="141"/>
      <c r="F52" s="141"/>
      <c r="G52" s="141"/>
    </row>
  </sheetData>
  <mergeCells>
    <mergeCell ref="A1:G1"/>
    <mergeCell ref="A2:G2"/>
    <mergeCell ref="A4:G4"/>
    <mergeCell ref="B12:D12"/>
    <mergeCell ref="A14:G14"/>
    <mergeCell ref="B24:D24"/>
    <mergeCell ref="A26:G26"/>
    <mergeCell ref="B40:D40"/>
    <mergeCell ref="A42:G42"/>
    <mergeCell ref="A52:G52"/>
  </mergeCells>
  <printOptions headings="1"/>
  <pageMargins left="0.75" right="0.75" top="1" bottom="1" header="0.51" footer="0.51"/>
  <pageSetup paperSize="9" pageOrder="downThenOver" orientation="portrai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Shortcut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2026-04-13T23:44:22Z</dcterms:created>
  <dc:creator>Shortcut</dc:creator>
  <dc:description/>
  <dc:language>en-US</dc:language>
  <cp:lastModifiedBy>Shortcut</cp:lastModifiedBy>
  <dcterms:modified xsi:type="dcterms:W3CDTF">2026-04-14T00:07:26Z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c6546862-5944-4765-84ca-496b33e53dfd</vt:lpwstr>
  </property>
</Properties>
</file>
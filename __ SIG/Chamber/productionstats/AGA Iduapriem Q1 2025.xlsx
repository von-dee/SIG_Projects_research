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ghanachamberofminesorg-my.sharepoint.com/personal/powusu_ghanachamberofmines_org/Documents/Desktop/Priscilla/2027 Annual Report/Q1 2026/"/>
    </mc:Choice>
  </mc:AlternateContent>
  <xr:revisionPtr revIDLastSave="0" documentId="8_{F263F43F-0674-4EAB-A7CD-398CF7787A38}" xr6:coauthVersionLast="47" xr6:coauthVersionMax="47" xr10:uidLastSave="{00000000-0000-0000-0000-000000000000}"/>
  <bookViews>
    <workbookView xWindow="-98" yWindow="-98" windowWidth="20715" windowHeight="13155" activeTab="1" xr2:uid="{FBEF5809-C873-4F17-B4CE-1B76CACB3A5D}"/>
  </bookViews>
  <sheets>
    <sheet name="WGC template &amp; guidance note" sheetId="2" r:id="rId1"/>
    <sheet name="2025 Chamber Template" sheetId="1"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61" i="1" l="1"/>
  <c r="B23" i="1"/>
  <c r="F79" i="1"/>
  <c r="B90" i="1"/>
  <c r="B85" i="1"/>
  <c r="B79" i="1"/>
  <c r="B80" i="1"/>
  <c r="B59" i="1" l="1"/>
  <c r="B56" i="1" l="1"/>
  <c r="B54" i="1"/>
  <c r="B53" i="1"/>
  <c r="B51" i="1"/>
  <c r="B50" i="1"/>
  <c r="B49" i="1"/>
  <c r="B48" i="1" l="1"/>
  <c r="B47" i="1"/>
  <c r="B46" i="1"/>
  <c r="B45" i="1" l="1"/>
  <c r="B42" i="1"/>
  <c r="B41" i="1"/>
  <c r="B40" i="1"/>
  <c r="B38" i="1"/>
  <c r="B35" i="1"/>
  <c r="B34" i="1"/>
  <c r="B18" i="1" l="1"/>
  <c r="B26" i="1"/>
  <c r="B27" i="1"/>
  <c r="B12" i="1"/>
  <c r="B10" i="1"/>
  <c r="B9" i="1"/>
  <c r="B8" i="1"/>
  <c r="B7" i="1"/>
  <c r="B5" i="1"/>
  <c r="G88" i="1"/>
  <c r="F89" i="1"/>
  <c r="G89" i="1" s="1"/>
  <c r="F88" i="1"/>
  <c r="F87" i="1"/>
  <c r="G87" i="1" s="1"/>
  <c r="F86" i="1"/>
  <c r="G86" i="1" s="1"/>
  <c r="F84" i="1"/>
  <c r="G84" i="1" s="1"/>
  <c r="F83" i="1"/>
  <c r="G83" i="1" s="1"/>
  <c r="F82" i="1"/>
  <c r="G82" i="1" s="1"/>
  <c r="F81" i="1"/>
  <c r="G81" i="1" s="1"/>
  <c r="B29" i="1" l="1"/>
  <c r="B30" i="1" l="1"/>
  <c r="B22" i="1" l="1"/>
  <c r="B13" i="1" l="1"/>
  <c r="F90" i="1" l="1"/>
  <c r="G90" i="1" s="1"/>
  <c r="F85" i="1"/>
  <c r="G85" i="1" s="1"/>
  <c r="G79" i="1"/>
  <c r="F80" i="1"/>
  <c r="G80" i="1" s="1"/>
  <c r="B14" i="1" l="1"/>
  <c r="B15" i="1" l="1"/>
  <c r="E91" i="1" l="1"/>
  <c r="D91" i="1"/>
  <c r="C91" i="1"/>
  <c r="B91" i="1"/>
  <c r="B17" i="1" l="1"/>
  <c r="B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Priscilla Owusu</author>
  </authors>
  <commentList>
    <comment ref="C33" authorId="0" shapeId="0" xr:uid="{B139BB32-DA82-47FB-A0CF-8C96EAD88701}">
      <text>
        <r>
          <rPr>
            <b/>
            <sz val="9"/>
            <color indexed="81"/>
            <rFont val="Tahoma"/>
            <family val="2"/>
          </rPr>
          <t>Priscilla Owusu:</t>
        </r>
        <r>
          <rPr>
            <sz val="9"/>
            <color indexed="81"/>
            <rFont val="Tahoma"/>
            <family val="2"/>
          </rPr>
          <t xml:space="preserve">
kindly provide the total amount paid for total power consumed in USD</t>
        </r>
      </text>
    </comment>
    <comment ref="C35" authorId="0" shapeId="0" xr:uid="{9DC2CB3A-B8D6-44F1-B500-FB85B05A1596}">
      <text>
        <r>
          <rPr>
            <b/>
            <sz val="9"/>
            <color indexed="81"/>
            <rFont val="Tahoma"/>
            <family val="2"/>
          </rPr>
          <t>Priscilla Owusu:</t>
        </r>
        <r>
          <rPr>
            <sz val="9"/>
            <color indexed="81"/>
            <rFont val="Tahoma"/>
            <family val="2"/>
          </rPr>
          <t xml:space="preserve">
kindly provide the total amount paid for total diesel consumed in USD</t>
        </r>
      </text>
    </comment>
  </commentList>
</comments>
</file>

<file path=xl/sharedStrings.xml><?xml version="1.0" encoding="utf-8"?>
<sst xmlns="http://schemas.openxmlformats.org/spreadsheetml/2006/main" count="195" uniqueCount="154">
  <si>
    <t>Quarter information from Members</t>
  </si>
  <si>
    <t>Financial Information</t>
  </si>
  <si>
    <t>Cash cost (US$/oz) for gold producing companies</t>
  </si>
  <si>
    <t>*All-in Sustaining Costs (US$/oz) for gold producing companies</t>
  </si>
  <si>
    <t>*All-in Costs (US$/oz) for gold producing companies</t>
  </si>
  <si>
    <t>How much (in USD) of your total imports (both consumables and CAPEX) did you fund from the following:</t>
  </si>
  <si>
    <t>(i) Mineral revenue retained off-shore</t>
  </si>
  <si>
    <t>(ii) Mineral revenue returned to the country</t>
  </si>
  <si>
    <t>(iii) Other Sources(please specify)</t>
  </si>
  <si>
    <t>Technical Information</t>
  </si>
  <si>
    <t>Ore Mined (tons) - Open Pit</t>
  </si>
  <si>
    <t>Average grade of gold mined (g/t) - Open Pit</t>
  </si>
  <si>
    <t>Ore mined (tons)-Underground</t>
  </si>
  <si>
    <t>Average grade of gold mined (g/t)- Underground</t>
  </si>
  <si>
    <t>Ore Processed (tons)  - Plant Production</t>
  </si>
  <si>
    <t>Average Mill head grade (g/t)</t>
  </si>
  <si>
    <t>Recovery Rate (%)</t>
  </si>
  <si>
    <t>Mineral Production (in oz for gold and in tons for bauxite and manganese)- Mine Production</t>
  </si>
  <si>
    <t>Mineral Exported( in oz for gold and in tons for bauxite and manganese)</t>
  </si>
  <si>
    <t>Electrical Power consumed (Kw-hr)</t>
  </si>
  <si>
    <t>Electrical Power; Maximum Demand (KVA)</t>
  </si>
  <si>
    <t>Human Resource Information</t>
  </si>
  <si>
    <t>Number of Ghanaian Employees @ End of Quarter</t>
  </si>
  <si>
    <t>Gross Salary of all Staff - US$</t>
  </si>
  <si>
    <t>Provident Fund (Company's contribution) - US$</t>
  </si>
  <si>
    <t>Other Payments-bonuses, overtime etc (US$)</t>
  </si>
  <si>
    <t>Socio-economic Contributions to Community ex Company's Budget (US$)</t>
  </si>
  <si>
    <t>Education</t>
  </si>
  <si>
    <t>Health</t>
  </si>
  <si>
    <t>Electricity</t>
  </si>
  <si>
    <t>Roads</t>
  </si>
  <si>
    <t>Water</t>
  </si>
  <si>
    <t>Housing</t>
  </si>
  <si>
    <t>Agro-Industry</t>
  </si>
  <si>
    <t>Agriculture</t>
  </si>
  <si>
    <t>Sanitation</t>
  </si>
  <si>
    <t>Resettlement Action Plan (RAP)</t>
  </si>
  <si>
    <t>Alternative Livelihood Projects (please specify)</t>
  </si>
  <si>
    <t>Others (please specify)</t>
  </si>
  <si>
    <t>Total</t>
  </si>
  <si>
    <t>Socio-economic Contributions to Community ex Company's Trust Fund for Host Community (US$)</t>
  </si>
  <si>
    <t>Socio-economic Contributions to General Public (US$)</t>
  </si>
  <si>
    <t>* refer to WGC template and guidance note sheet</t>
  </si>
  <si>
    <t>US $ / gold ounces sold</t>
  </si>
  <si>
    <t>On-Site Mining Costs (on a sales basis)</t>
  </si>
  <si>
    <t>Income Statement</t>
  </si>
  <si>
    <t>(a)</t>
  </si>
  <si>
    <t>On-Site General &amp; Administrative costs</t>
  </si>
  <si>
    <t>(b)</t>
  </si>
  <si>
    <t>Royalties &amp; Production Taxes</t>
  </si>
  <si>
    <t>(c)</t>
  </si>
  <si>
    <t>Realised Gains/Losses on Hedges due to operating costs</t>
  </si>
  <si>
    <t>(d)</t>
  </si>
  <si>
    <t>Community Costs related to current operations</t>
  </si>
  <si>
    <t>(e)</t>
  </si>
  <si>
    <t>Permitting Costs related to current operations</t>
  </si>
  <si>
    <t>(f)</t>
  </si>
  <si>
    <r>
      <t>3</t>
    </r>
    <r>
      <rPr>
        <sz val="6"/>
        <color theme="1"/>
        <rFont val="Arial"/>
        <family val="2"/>
      </rPr>
      <t xml:space="preserve">rd </t>
    </r>
    <r>
      <rPr>
        <sz val="9"/>
        <color theme="1"/>
        <rFont val="Arial"/>
        <family val="2"/>
      </rPr>
      <t>party smelting, refining and transport costs</t>
    </r>
  </si>
  <si>
    <t>(g)</t>
  </si>
  <si>
    <t>Non-Cash Remuneration (Site-Based)</t>
  </si>
  <si>
    <t>(h)</t>
  </si>
  <si>
    <t>Stock-piles / product inventory write down</t>
  </si>
  <si>
    <t>(i)</t>
  </si>
  <si>
    <t>Operational Stripping Costs</t>
  </si>
  <si>
    <t>(j)</t>
  </si>
  <si>
    <t>By-Product Credits</t>
  </si>
  <si>
    <r>
      <t xml:space="preserve">(k) </t>
    </r>
    <r>
      <rPr>
        <i/>
        <sz val="9"/>
        <color theme="1"/>
        <rFont val="Arial"/>
        <family val="2"/>
      </rPr>
      <t>Note: this will be a credit</t>
    </r>
  </si>
  <si>
    <t>Sub-Total (Adjusted Operating Costs)</t>
  </si>
  <si>
    <t>(l) = (a) + (b) + (c) + (d) + (e)</t>
  </si>
  <si>
    <t>+ (f) + (g) + (h) + (i) + (j) + (k)</t>
  </si>
  <si>
    <t>Corporate General &amp; Administrative costs</t>
  </si>
  <si>
    <t>(m)</t>
  </si>
  <si>
    <t>(including share-based remuneration)</t>
  </si>
  <si>
    <t>Reclamation &amp; remediation – accretion &amp;</t>
  </si>
  <si>
    <t>(n)</t>
  </si>
  <si>
    <t>amortisation (operating sites)</t>
  </si>
  <si>
    <t>Exploration and study costs (sustaining)</t>
  </si>
  <si>
    <t>(o)</t>
  </si>
  <si>
    <t>Capital exploration (sustaining)</t>
  </si>
  <si>
    <t>Cash  Flow</t>
  </si>
  <si>
    <t>(p)</t>
  </si>
  <si>
    <t>Capitalised stripping &amp; underground mine development (sustaining)</t>
  </si>
  <si>
    <t>Cash Flow</t>
  </si>
  <si>
    <t>(q)</t>
  </si>
  <si>
    <t>Capital expenditure (sustaining)</t>
  </si>
  <si>
    <t>(r)</t>
  </si>
  <si>
    <t>All-in Sustaining Costs</t>
  </si>
  <si>
    <t>(s) = (l) + (m) + (n) + (o) + (p)</t>
  </si>
  <si>
    <t>+ (q) + (r)</t>
  </si>
  <si>
    <r>
      <t xml:space="preserve">Community Costs </t>
    </r>
    <r>
      <rPr>
        <u/>
        <sz val="9"/>
        <color theme="1"/>
        <rFont val="Arial"/>
        <family val="2"/>
      </rPr>
      <t>not</t>
    </r>
    <r>
      <rPr>
        <sz val="9"/>
        <color theme="1"/>
        <rFont val="Arial"/>
        <family val="2"/>
      </rPr>
      <t xml:space="preserve"> related to current operations</t>
    </r>
  </si>
  <si>
    <t>(t)</t>
  </si>
  <si>
    <r>
      <t xml:space="preserve">Permitting Costs </t>
    </r>
    <r>
      <rPr>
        <u/>
        <sz val="9"/>
        <color theme="1"/>
        <rFont val="Arial"/>
        <family val="2"/>
      </rPr>
      <t>not</t>
    </r>
    <r>
      <rPr>
        <sz val="9"/>
        <color theme="1"/>
        <rFont val="Arial"/>
        <family val="2"/>
      </rPr>
      <t xml:space="preserve"> related to current operations</t>
    </r>
  </si>
  <si>
    <t>(u)</t>
  </si>
  <si>
    <r>
      <t xml:space="preserve">Reclamation and remediation costs </t>
    </r>
    <r>
      <rPr>
        <u/>
        <sz val="9"/>
        <color theme="1"/>
        <rFont val="Arial"/>
        <family val="2"/>
      </rPr>
      <t>not</t>
    </r>
    <r>
      <rPr>
        <sz val="9"/>
        <color theme="1"/>
        <rFont val="Arial"/>
        <family val="2"/>
      </rPr>
      <t xml:space="preserve"> related to current operations</t>
    </r>
  </si>
  <si>
    <t>(v)</t>
  </si>
  <si>
    <t>Exploration and study costs (non-sustaining)</t>
  </si>
  <si>
    <t>(w)</t>
  </si>
  <si>
    <t>Capital exploration (non-sustaining)</t>
  </si>
  <si>
    <t>(x)</t>
  </si>
  <si>
    <t>Capitalised stripping &amp; underground mine development (non-sustaining)</t>
  </si>
  <si>
    <t>(y)</t>
  </si>
  <si>
    <t>Capital expenditure (non-sustaining)</t>
  </si>
  <si>
    <t>(z)</t>
  </si>
  <si>
    <t>All-in Costs</t>
  </si>
  <si>
    <t>= (s) + (t) + (u) + (v) + (w) + (x) + (y) + (z)</t>
  </si>
  <si>
    <t>NOTE:</t>
  </si>
  <si>
    <r>
      <rPr>
        <b/>
        <sz val="11"/>
        <color theme="1"/>
        <rFont val="Calibri"/>
        <family val="2"/>
        <scheme val="minor"/>
      </rPr>
      <t>1.</t>
    </r>
    <r>
      <rPr>
        <sz val="11"/>
        <color theme="1"/>
        <rFont val="Calibri"/>
        <family val="2"/>
        <scheme val="minor"/>
      </rPr>
      <t xml:space="preserve">  All companies using this guidance are encouraged to disclose both their all-in sustaining costs and all-in costs and reconcile these metrics to their GAAP reporting. It is not expected that companies will disclose all individual cost items.</t>
    </r>
  </si>
  <si>
    <t>The use of  the sub-total (adjusted operating costs) may be helpful for certain companies  in providing reconciliation to historical metrics but it is not expected that all companies will provide disclosure at this level. The sub-total (adjusted operating costs) metric may not be directly comparable across companies, for example, because of differences between IFRS and US GAAP.</t>
  </si>
  <si>
    <r>
      <rPr>
        <b/>
        <sz val="11"/>
        <color theme="1"/>
        <rFont val="Calibri"/>
        <family val="2"/>
        <scheme val="minor"/>
      </rPr>
      <t>2.</t>
    </r>
    <r>
      <rPr>
        <sz val="11"/>
        <color theme="1"/>
        <rFont val="Calibri"/>
        <family val="2"/>
        <scheme val="minor"/>
      </rPr>
      <t xml:space="preserve">  It is recognised that accretion related to asset retirement obligations ("ARO") and amortisation of the ARO assets for reclamation and remediation do not reflect annual cash outflows but these accounting calculations are considered to be more representative of the periodic costs of reclamation and remediation.</t>
    </r>
  </si>
  <si>
    <r>
      <rPr>
        <b/>
        <sz val="11"/>
        <color theme="1"/>
        <rFont val="Calibri"/>
        <family val="2"/>
        <scheme val="minor"/>
      </rPr>
      <t xml:space="preserve">3.  </t>
    </r>
    <r>
      <rPr>
        <sz val="11"/>
        <color theme="1"/>
        <rFont val="Calibri"/>
        <family val="2"/>
        <scheme val="minor"/>
      </rPr>
      <t>Non-sustaining costs are those costs incurred at new operations and costs related to 'major projects' at existing operations where these projects will materially increase production. Companies need to publicly disclose those operations and 'major projects' which are considered non- sustaining. All other costs related to existing operations are considered sustaining.</t>
    </r>
  </si>
  <si>
    <r>
      <rPr>
        <b/>
        <sz val="11"/>
        <color theme="1"/>
        <rFont val="Calibri"/>
        <family val="2"/>
        <scheme val="minor"/>
      </rPr>
      <t>4.</t>
    </r>
    <r>
      <rPr>
        <sz val="11"/>
        <color theme="1"/>
        <rFont val="Calibri"/>
        <family val="2"/>
        <scheme val="minor"/>
      </rPr>
      <t xml:space="preserve"> Costs should be reported on the same basis as sales (i.e. if sales figures are reported on a consolidated basis, costs should be reported on a consolidated basis; if sales figures are reported on an attributable basis, costs should be reported on an attributable basis).</t>
    </r>
  </si>
  <si>
    <r>
      <rPr>
        <b/>
        <sz val="11"/>
        <color theme="1"/>
        <rFont val="Calibri"/>
        <family val="2"/>
        <scheme val="minor"/>
      </rPr>
      <t>5.</t>
    </r>
    <r>
      <rPr>
        <sz val="11"/>
        <color theme="1"/>
        <rFont val="Calibri"/>
        <family val="2"/>
        <scheme val="minor"/>
      </rPr>
      <t xml:space="preserve"> Costs Excluded</t>
    </r>
  </si>
  <si>
    <t>The following costs are excluded from the guidance:</t>
  </si>
  <si>
    <t>o  Income tax.</t>
  </si>
  <si>
    <t>o  Working capital (except for adjustments to inventory on a sales basis).</t>
  </si>
  <si>
    <t>o  All financing charges (including capitalised interest).</t>
  </si>
  <si>
    <t>o  Costs related to business combinations, asset acquisitions and asset disposals.</t>
  </si>
  <si>
    <t>o  Items needed to normalise earnings, for example impairments on non-current assets and one- time material severance charges. Costs related to any of the listed line-items used to calculate all-in costs in the above table should not be excluded.</t>
  </si>
  <si>
    <t>Number of Expatriates @ End of Quarter</t>
  </si>
  <si>
    <t xml:space="preserve">Social Security Payments (Company's contribution) </t>
  </si>
  <si>
    <t xml:space="preserve">Employee Income Tax Payments </t>
  </si>
  <si>
    <t xml:space="preserve">Property Rates Payments </t>
  </si>
  <si>
    <t xml:space="preserve">Ground Rent </t>
  </si>
  <si>
    <t>Customs Duty</t>
  </si>
  <si>
    <t>Customs Processing Fee</t>
  </si>
  <si>
    <t xml:space="preserve">Concessionnary Levy (5% on Imports) </t>
  </si>
  <si>
    <t>Export Development Levy</t>
  </si>
  <si>
    <t>ECOWAS Levy</t>
  </si>
  <si>
    <t>Dividends paid to the State</t>
  </si>
  <si>
    <t>Corporate Tax</t>
  </si>
  <si>
    <t>Withholding tax on Dividends, interest and services</t>
  </si>
  <si>
    <t>Dividends Paid to Other Shareholders</t>
  </si>
  <si>
    <t>Retained Earnings</t>
  </si>
  <si>
    <t>CAPEX</t>
  </si>
  <si>
    <t>Others - please specify</t>
  </si>
  <si>
    <t>Statutory Payments (US$)</t>
  </si>
  <si>
    <t>Volume of Diesel Consumed  by Mine and Contractors in (Litres)</t>
  </si>
  <si>
    <t>Total Amount Paid for Diesel Consumed in US$</t>
  </si>
  <si>
    <t>Total Amount Paid for Electric Power Consumed in US$</t>
  </si>
  <si>
    <t>Mineral Production value ( USD)</t>
  </si>
  <si>
    <t>Mineral Exported value  (USD)</t>
  </si>
  <si>
    <t>Amount for amortizing loans, including interest payments (USD)</t>
  </si>
  <si>
    <t>Amount spent on Imported Consumables (USD)</t>
  </si>
  <si>
    <t>Local Purchases of goods (excluding Diesel &amp; Electric Power) (USD)</t>
  </si>
  <si>
    <t>Local Purchase of Services &amp; Contracts for handling ore, security etc. (USD)</t>
  </si>
  <si>
    <t>Mineral Revenue Returned to the Country through Bank of Ghana (Mandatory Surrender)  (USD)</t>
  </si>
  <si>
    <t>Mineral Revenue Returned to the Country through Commercial Banks (Voluntary Repatriation) (USD)</t>
  </si>
  <si>
    <t xml:space="preserve">Mineral Royalty Payments </t>
  </si>
  <si>
    <t>Company Name:  ANGLOGOLD ASHANTI IDUAPRIEM MINE</t>
  </si>
  <si>
    <t>Ghana Chamber of Mines 2026</t>
  </si>
  <si>
    <t>Quarter 1, 2026</t>
  </si>
  <si>
    <t>Quarter 2, 2026</t>
  </si>
  <si>
    <t>Quarter 3, 2026</t>
  </si>
  <si>
    <t>Quarter 4,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</si>
</sst>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18" x14ac:knownFonts="1">
    <font>
      <sz val="11"/>
      <color theme="1"/>
      <name val="Calibri"/>
      <family val="2"/>
      <scheme val="minor"/>
    </font>
    <font>
      <b/>
      <sz val="11"/>
      <color theme="1"/>
      <name val="Calibri"/>
      <family val="2"/>
      <scheme val="minor"/>
    </font>
    <font>
      <b/>
      <sz val="16"/>
      <name val="Calibri"/>
      <family val="2"/>
      <scheme val="minor"/>
    </font>
    <font>
      <sz val="12"/>
      <name val="Calibri"/>
      <family val="2"/>
      <scheme val="minor"/>
    </font>
    <font>
      <b/>
      <sz val="12"/>
      <name val="Calibri"/>
      <family val="2"/>
      <scheme val="minor"/>
    </font>
    <font>
      <sz val="11"/>
      <name val="Calibri"/>
      <family val="2"/>
      <scheme val="minor"/>
    </font>
    <font>
      <sz val="12"/>
      <color theme="1"/>
      <name val="Times New Roman"/>
      <family val="1"/>
    </font>
    <font>
      <b/>
      <sz val="9"/>
      <color theme="1"/>
      <name val="Arial"/>
      <family val="2"/>
    </font>
    <font>
      <sz val="9"/>
      <color theme="1"/>
      <name val="Arial"/>
      <family val="2"/>
    </font>
    <font>
      <sz val="6"/>
      <color theme="1"/>
      <name val="Arial"/>
      <family val="2"/>
    </font>
    <font>
      <i/>
      <sz val="9"/>
      <color theme="1"/>
      <name val="Arial"/>
      <family val="2"/>
    </font>
    <font>
      <u/>
      <sz val="9"/>
      <color theme="1"/>
      <name val="Arial"/>
      <family val="2"/>
    </font>
    <font>
      <sz val="9"/>
      <color indexed="81"/>
      <name val="Tahoma"/>
      <family val="2"/>
    </font>
    <font>
      <b/>
      <sz val="9"/>
      <color indexed="81"/>
      <name val="Tahoma"/>
      <family val="2"/>
    </font>
    <font>
      <sz val="11"/>
      <color theme="1"/>
      <name val="Calibri"/>
      <family val="2"/>
      <scheme val="minor"/>
    </font>
    <font>
      <b/>
      <sz val="12"/>
      <color rgb="FF000000"/>
      <name val="Calibri"/>
      <family val="2"/>
    </font>
    <font>
      <sz val="11"/>
      <name val="Calibri"/>
      <family val="2"/>
    </font>
    <font>
      <sz val="12"/>
      <color rgb="FF000000"/>
      <name val="Calibri"/>
      <family val="2"/>
    </font>
  </fonts>
  <fills count="4">
    <fill>
      <patternFill patternType="none"/>
    </fill>
    <fill>
      <patternFill patternType="gray125"/>
    </fill>
    <fill>
      <patternFill patternType="solid">
        <fgColor theme="0"/>
        <bgColor indexed="64"/>
      </patternFill>
    </fill>
    <fill>
      <patternFill patternType="solid">
        <fgColor theme="1" tint="0.499984740745262"/>
        <bgColor indexed="64"/>
      </patternFill>
    </fill>
  </fills>
  <borders count="13">
    <border>
      <left/>
      <right/>
      <top/>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4" fillId="0" borderId="0" applyFont="0" applyFill="0" applyBorder="0" applyAlignment="0" applyProtection="0"/>
  </cellStyleXfs>
  <cellXfs count="60">
    <xf numFmtId="0" fontId="0" fillId="0" borderId="0" xfId="0"/>
    <xf numFmtId="0" fontId="2" fillId="0" borderId="1" xfId="0" applyFont="1" applyBorder="1"/>
    <xf numFmtId="0" fontId="3" fillId="0" borderId="2" xfId="0" applyFont="1" applyBorder="1"/>
    <xf numFmtId="0" fontId="4" fillId="0" borderId="2" xfId="0" applyFont="1" applyBorder="1"/>
    <xf numFmtId="0" fontId="5" fillId="0" borderId="2" xfId="0" applyFont="1" applyBorder="1"/>
    <xf numFmtId="0" fontId="3" fillId="0" borderId="3" xfId="0" applyFont="1" applyBorder="1"/>
    <xf numFmtId="0" fontId="4" fillId="0" borderId="3" xfId="0" applyFont="1" applyBorder="1"/>
    <xf numFmtId="0" fontId="3" fillId="0" borderId="0" xfId="0" applyFont="1"/>
    <xf numFmtId="0" fontId="4" fillId="0" borderId="0" xfId="0" applyFont="1"/>
    <xf numFmtId="0" fontId="6" fillId="0" borderId="4" xfId="0" applyFont="1" applyBorder="1" applyAlignment="1">
      <alignment vertical="top" wrapText="1"/>
    </xf>
    <xf numFmtId="0" fontId="6" fillId="0" borderId="5" xfId="0" applyFont="1" applyBorder="1" applyAlignment="1">
      <alignment vertical="top" wrapText="1"/>
    </xf>
    <xf numFmtId="0" fontId="7" fillId="0" borderId="5" xfId="0" applyFont="1" applyBorder="1" applyAlignment="1">
      <alignment vertical="top" wrapText="1"/>
    </xf>
    <xf numFmtId="0" fontId="6" fillId="0" borderId="6" xfId="0" applyFont="1" applyBorder="1" applyAlignment="1">
      <alignment vertical="top" wrapText="1"/>
    </xf>
    <xf numFmtId="0" fontId="6" fillId="0" borderId="7" xfId="0" applyFont="1" applyBorder="1" applyAlignment="1">
      <alignment vertical="top" wrapText="1"/>
    </xf>
    <xf numFmtId="0" fontId="8" fillId="0" borderId="6" xfId="0" applyFont="1" applyBorder="1" applyAlignment="1">
      <alignment vertical="top" wrapText="1"/>
    </xf>
    <xf numFmtId="0" fontId="8" fillId="0" borderId="7" xfId="0" applyFont="1" applyBorder="1" applyAlignment="1">
      <alignment vertical="top" wrapText="1"/>
    </xf>
    <xf numFmtId="0" fontId="8" fillId="0" borderId="9" xfId="0" applyFont="1" applyBorder="1" applyAlignment="1">
      <alignment vertical="top" wrapText="1"/>
    </xf>
    <xf numFmtId="0" fontId="8" fillId="0" borderId="10" xfId="0" applyFont="1" applyBorder="1" applyAlignment="1">
      <alignment vertical="top" wrapText="1"/>
    </xf>
    <xf numFmtId="0" fontId="7" fillId="0" borderId="6" xfId="0" applyFont="1" applyBorder="1" applyAlignment="1">
      <alignment vertical="top" wrapText="1"/>
    </xf>
    <xf numFmtId="0" fontId="8" fillId="0" borderId="7" xfId="0" quotePrefix="1" applyFont="1" applyBorder="1" applyAlignment="1">
      <alignment vertical="top" wrapText="1"/>
    </xf>
    <xf numFmtId="0" fontId="1" fillId="0" borderId="0" xfId="0" applyFont="1"/>
    <xf numFmtId="0" fontId="4" fillId="3" borderId="2" xfId="0" applyFont="1" applyFill="1" applyBorder="1"/>
    <xf numFmtId="0" fontId="0" fillId="3" borderId="0" xfId="0" applyFill="1"/>
    <xf numFmtId="0" fontId="0" fillId="2" borderId="0" xfId="0" applyFill="1"/>
    <xf numFmtId="0" fontId="3" fillId="2" borderId="2" xfId="0" applyFont="1" applyFill="1" applyBorder="1"/>
    <xf numFmtId="164" fontId="0" fillId="0" borderId="0" xfId="1" applyFont="1"/>
    <xf numFmtId="164" fontId="0" fillId="3" borderId="0" xfId="1" applyFont="1" applyFill="1"/>
    <xf numFmtId="0" fontId="3" fillId="0" borderId="0" xfId="0" applyFont="1" applyBorder="1"/>
    <xf numFmtId="0" fontId="4" fillId="3" borderId="0" xfId="0" applyFont="1" applyFill="1" applyBorder="1"/>
    <xf numFmtId="0" fontId="4" fillId="0" borderId="0" xfId="0" applyFont="1" applyBorder="1"/>
    <xf numFmtId="165" fontId="17" fillId="0" borderId="11" xfId="1" applyNumberFormat="1" applyFont="1" applyFill="1" applyBorder="1"/>
    <xf numFmtId="165" fontId="16" fillId="0" borderId="11" xfId="1" applyNumberFormat="1" applyFont="1" applyFill="1" applyBorder="1" applyAlignment="1"/>
    <xf numFmtId="165" fontId="17" fillId="0" borderId="11" xfId="1" applyNumberFormat="1" applyFont="1" applyBorder="1"/>
    <xf numFmtId="0" fontId="3" fillId="0" borderId="11" xfId="0" applyFont="1" applyBorder="1"/>
    <xf numFmtId="164" fontId="0" fillId="0" borderId="11" xfId="1" applyFont="1" applyBorder="1"/>
    <xf numFmtId="0" fontId="0" fillId="0" borderId="11" xfId="0" applyBorder="1"/>
    <xf numFmtId="0" fontId="4" fillId="3" borderId="11" xfId="0" applyFont="1" applyFill="1" applyBorder="1"/>
    <xf numFmtId="164" fontId="0" fillId="3" borderId="11" xfId="1" applyFont="1" applyFill="1" applyBorder="1"/>
    <xf numFmtId="0" fontId="0" fillId="3" borderId="11" xfId="0" applyFill="1" applyBorder="1"/>
    <xf numFmtId="165" fontId="0" fillId="0" borderId="11" xfId="1" applyNumberFormat="1" applyFont="1" applyBorder="1"/>
    <xf numFmtId="165" fontId="3" fillId="0" borderId="11" xfId="1" applyNumberFormat="1" applyFont="1" applyBorder="1"/>
    <xf numFmtId="165" fontId="4" fillId="3" borderId="11" xfId="1" applyNumberFormat="1" applyFont="1" applyFill="1" applyBorder="1"/>
    <xf numFmtId="165" fontId="0" fillId="3" borderId="11" xfId="1" applyNumberFormat="1" applyFont="1" applyFill="1" applyBorder="1"/>
    <xf numFmtId="165" fontId="5" fillId="0" borderId="11" xfId="1" applyNumberFormat="1" applyFont="1" applyBorder="1"/>
    <xf numFmtId="165" fontId="0" fillId="2" borderId="11" xfId="1" applyNumberFormat="1" applyFont="1" applyFill="1" applyBorder="1"/>
    <xf numFmtId="165" fontId="0" fillId="0" borderId="11" xfId="1" applyNumberFormat="1" applyFont="1" applyFill="1" applyBorder="1"/>
    <xf numFmtId="165" fontId="3" fillId="0" borderId="12" xfId="0" applyNumberFormat="1" applyFont="1" applyBorder="1"/>
    <xf numFmtId="165" fontId="15" fillId="0" borderId="11" xfId="1" applyNumberFormat="1" applyFont="1" applyFill="1" applyBorder="1"/>
    <xf numFmtId="165" fontId="0" fillId="0" borderId="0" xfId="0" applyNumberFormat="1"/>
    <xf numFmtId="1" fontId="0" fillId="0" borderId="0" xfId="0" applyNumberFormat="1"/>
    <xf numFmtId="165" fontId="17" fillId="0" borderId="11" xfId="1" applyNumberFormat="1" applyFont="1" applyFill="1" applyBorder="1"/>
    <xf numFmtId="0" fontId="10" fillId="0" borderId="8" xfId="0" applyFont="1" applyBorder="1" applyAlignment="1">
      <alignment vertical="top" wrapText="1"/>
    </xf>
    <xf numFmtId="0" fontId="10" fillId="0" borderId="6" xfId="0" applyFont="1" applyBorder="1" applyAlignment="1">
      <alignment vertical="top" wrapText="1"/>
    </xf>
    <xf numFmtId="0" fontId="6" fillId="0" borderId="8" xfId="0" applyFont="1" applyBorder="1" applyAlignment="1">
      <alignment vertical="top" wrapText="1"/>
    </xf>
    <xf numFmtId="0" fontId="6" fillId="0" borderId="6" xfId="0" applyFont="1" applyBorder="1" applyAlignment="1">
      <alignment vertical="top" wrapText="1"/>
    </xf>
    <xf numFmtId="0" fontId="8" fillId="0" borderId="8" xfId="0" applyFont="1" applyBorder="1" applyAlignment="1">
      <alignment vertical="top" wrapText="1"/>
    </xf>
    <xf numFmtId="0" fontId="8" fillId="0" borderId="6" xfId="0" applyFont="1" applyBorder="1" applyAlignment="1">
      <alignment vertical="top" wrapText="1"/>
    </xf>
    <xf numFmtId="0" fontId="7" fillId="0" borderId="8" xfId="0" applyFont="1" applyBorder="1" applyAlignment="1">
      <alignment vertical="top" wrapText="1"/>
    </xf>
    <xf numFmtId="0" fontId="7" fillId="0" borderId="6" xfId="0" applyFont="1" applyBorder="1" applyAlignment="1">
      <alignment vertical="top" wrapText="1"/>
    </xf>
    <xf numFmtId="164" fontId="15" fillId="0" borderId="11" xfId="1" applyFont="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haredStrings" Target="sharedString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O:\Rose%20Amoah\Bank%20of%20Ghana\2025\2026\BoG%20Return%20Monthly%202026%20SAP.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O:\Rose%20Amoah\Bank%20of%20Ghana\2025\2026\Iduapriem%20BoG%20Q1%202026%20%20Retur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New%20files\Month%20End%20Reporting\Period%20End%20Reporting\HFMD\HFMD%20Iduapriem%20202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anglogoldashanti-my.sharepoint.com/personal/aansah_aga_gold/Documents/Desktop/bank%20statement%20dick%20C/FUEL%20CONSUMPTION202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HBEKOE\Reports\Reports%202026\Appendices\Q1\App35a-c%20Payments%20to%20government%20%20Q1%20202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New%20files\Month%20End%20Reporting\Period%20End%20Reporting\HFM%20Master%20Actual%202026%20Iduapriem.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New%20files\Month%20End%20Reporting\Period%20End%20Reporting\Capital%202026.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HBEKOE\Reports\Reports%202026\Community%20Investment\Community%20Investment%20Mar%2026.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G:\HBEKOE\Reports\Reports%202026\Community%20Investment\Community%20Investment%20Jan%2026.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G:\HBEKOE\Reports\Reports%202026\Community%20Investment\Community%20Investment%20FEB%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sheetName val="Form (2)"/>
      <sheetName val="Data"/>
      <sheetName val="GIB"/>
      <sheetName val="Revenue"/>
      <sheetName val="Salaries"/>
      <sheetName val="dividend"/>
      <sheetName val="Ls_XLB_WorkbookFile"/>
      <sheetName val="Ls_AgXLB_WorkbookFile"/>
      <sheetName val="Royalties"/>
      <sheetName val="corp tax"/>
      <sheetName val="RETAINED EARNINGS"/>
      <sheetName val="Voluntary RepatriationUSD(forex"/>
      <sheetName val="Off Shore (2)"/>
      <sheetName val="Off Shore"/>
      <sheetName val="On Shore (2)"/>
      <sheetName val="On Shore"/>
      <sheetName val="tmpscrapsheet"/>
    </sheetNames>
    <sheetDataSet>
      <sheetData sheetId="0"/>
      <sheetData sheetId="1"/>
      <sheetData sheetId="2">
        <row r="5">
          <cell r="C5">
            <v>50317570.659999996</v>
          </cell>
          <cell r="D5">
            <v>67999665.209999993</v>
          </cell>
          <cell r="E5">
            <v>98971419.099999994</v>
          </cell>
        </row>
        <row r="18">
          <cell r="E18">
            <v>692</v>
          </cell>
        </row>
      </sheetData>
      <sheetData sheetId="3"/>
      <sheetData sheetId="4"/>
      <sheetData sheetId="5">
        <row r="8">
          <cell r="C8">
            <v>643999.44999999995</v>
          </cell>
          <cell r="D8">
            <v>670298.54</v>
          </cell>
          <cell r="E8">
            <v>645109.92000000004</v>
          </cell>
        </row>
        <row r="12">
          <cell r="C12">
            <v>1253562.71</v>
          </cell>
          <cell r="D12">
            <v>1310743.71</v>
          </cell>
          <cell r="E12">
            <v>1282273.24</v>
          </cell>
        </row>
        <row r="13">
          <cell r="C13">
            <v>125566.77</v>
          </cell>
          <cell r="D13">
            <v>131515.70000000001</v>
          </cell>
          <cell r="E13">
            <v>128571.4</v>
          </cell>
        </row>
        <row r="19">
          <cell r="C19">
            <v>-6343.61</v>
          </cell>
          <cell r="D19">
            <v>11433.59</v>
          </cell>
          <cell r="E19">
            <v>-17.11</v>
          </cell>
        </row>
        <row r="21">
          <cell r="C21">
            <v>4701326.4000000004</v>
          </cell>
          <cell r="D21">
            <v>4636947.0999999996</v>
          </cell>
          <cell r="E21">
            <v>3560019.31</v>
          </cell>
        </row>
      </sheetData>
      <sheetData sheetId="6"/>
      <sheetData sheetId="7"/>
      <sheetData sheetId="8"/>
      <sheetData sheetId="9">
        <row r="64">
          <cell r="H64">
            <v>5532202.8399999999</v>
          </cell>
        </row>
        <row r="72">
          <cell r="H72">
            <v>2515854.9500000011</v>
          </cell>
        </row>
      </sheetData>
      <sheetData sheetId="10"/>
      <sheetData sheetId="11">
        <row r="151">
          <cell r="H151">
            <v>16549548.850000001</v>
          </cell>
        </row>
      </sheetData>
      <sheetData sheetId="12">
        <row r="22">
          <cell r="E22">
            <v>40000000</v>
          </cell>
        </row>
      </sheetData>
      <sheetData sheetId="13"/>
      <sheetData sheetId="14">
        <row r="3324">
          <cell r="I3324">
            <v>2615830.25</v>
          </cell>
        </row>
        <row r="3358">
          <cell r="I3358">
            <v>970599.08</v>
          </cell>
        </row>
        <row r="3380">
          <cell r="I3380">
            <v>281464.94</v>
          </cell>
        </row>
      </sheetData>
      <sheetData sheetId="15"/>
      <sheetData sheetId="16">
        <row r="17513">
          <cell r="I17513">
            <v>463026.5</v>
          </cell>
        </row>
        <row r="18034">
          <cell r="I18034">
            <v>34015520.230000004</v>
          </cell>
        </row>
        <row r="18089">
          <cell r="I18089">
            <v>3066909.870000001</v>
          </cell>
        </row>
        <row r="18434">
          <cell r="I18434">
            <v>26566377.390000045</v>
          </cell>
        </row>
        <row r="18535">
          <cell r="I18535">
            <v>10361640.200000001</v>
          </cell>
        </row>
        <row r="19067">
          <cell r="I19067">
            <v>25599132.009999998</v>
          </cell>
        </row>
      </sheetData>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Appendix A Off Shore"/>
      <sheetName val="Appendix A On shsore"/>
    </sheetNames>
    <sheetDataSet>
      <sheetData sheetId="0">
        <row r="63">
          <cell r="F63">
            <v>35000000</v>
          </cell>
        </row>
      </sheetData>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Sheet1"/>
      <sheetName val="Sum"/>
      <sheetName val="Sum BudOEAct"/>
      <sheetName val="Sum BudOEAct (2)"/>
      <sheetName val="Sum BudFCAct"/>
      <sheetName val="Act 2026"/>
      <sheetName val="PM 2026"/>
      <sheetName val="Bud 2026"/>
      <sheetName val="Bud 2027(BP26)"/>
      <sheetName val="Act 2025"/>
      <sheetName val="Bud 2025"/>
      <sheetName val="Bud 2026(BP25)"/>
      <sheetName val="Sum BudOEAct (3)"/>
      <sheetName val="Sum BudOEOL26"/>
      <sheetName val="Act 2024"/>
      <sheetName val="Bud 2024"/>
      <sheetName val="Bud P80"/>
      <sheetName val="Bud P50 24"/>
      <sheetName val="OL 2024"/>
      <sheetName val="OL 2025"/>
      <sheetName val="Bud PO24"/>
      <sheetName val="Bud 2023"/>
      <sheetName val="Act 2023"/>
      <sheetName val="Act 2023 BuPr"/>
      <sheetName val="Sum FCF BudPri"/>
      <sheetName val="Sum BudOEActBudPr"/>
      <sheetName val="Bud 2022"/>
      <sheetName val="Act 2022"/>
      <sheetName val="BP2023"/>
      <sheetName val="BP2024"/>
      <sheetName val="2023 Bud P50"/>
      <sheetName val="2024 Bud P50"/>
      <sheetName val="22Bud 2023"/>
      <sheetName val="Fcast 2023"/>
      <sheetName val="Act 2021"/>
      <sheetName val="OE 2021"/>
      <sheetName val="Bud 2021"/>
      <sheetName val="Act 2020"/>
      <sheetName val="Bud. P50"/>
      <sheetName val="Fc 2022"/>
      <sheetName val="Qtr FC"/>
      <sheetName val="Bud 2020"/>
      <sheetName val="Act 2019"/>
      <sheetName val="Bud 2019"/>
      <sheetName val="Act 2018"/>
      <sheetName val="Bud 2018"/>
      <sheetName val="Act 2017"/>
      <sheetName val="Bud 2017"/>
      <sheetName val="Bud 2018."/>
      <sheetName val="Fcast 2021"/>
    </sheetNames>
    <sheetDataSet>
      <sheetData sheetId="0"/>
      <sheetData sheetId="1"/>
      <sheetData sheetId="2"/>
      <sheetData sheetId="3"/>
      <sheetData sheetId="4"/>
      <sheetData sheetId="5"/>
      <sheetData sheetId="6">
        <row r="11">
          <cell r="H11">
            <v>247590.10967789346</v>
          </cell>
          <cell r="I11">
            <v>153367.31222462968</v>
          </cell>
          <cell r="J11">
            <v>290820.61630372482</v>
          </cell>
        </row>
        <row r="18">
          <cell r="H18">
            <v>14506.493578128006</v>
          </cell>
          <cell r="I18">
            <v>14776.05019104</v>
          </cell>
          <cell r="J18">
            <v>14788.841025528</v>
          </cell>
        </row>
        <row r="19">
          <cell r="H19">
            <v>10352.634726751363</v>
          </cell>
          <cell r="I19">
            <v>13673.544393644637</v>
          </cell>
          <cell r="J19">
            <v>20724.007440338344</v>
          </cell>
        </row>
        <row r="32">
          <cell r="H32">
            <v>1197.102299495931</v>
          </cell>
          <cell r="I32">
            <v>1117.8052772191813</v>
          </cell>
          <cell r="J32">
            <v>1354.2772490033537</v>
          </cell>
        </row>
        <row r="34">
          <cell r="H34">
            <v>2694.2683854115553</v>
          </cell>
          <cell r="I34">
            <v>2616.5254150656779</v>
          </cell>
          <cell r="J34">
            <v>2838.3732904623798</v>
          </cell>
        </row>
        <row r="35">
          <cell r="H35">
            <v>2795.6070521075849</v>
          </cell>
          <cell r="I35">
            <v>2623.5966211272857</v>
          </cell>
          <cell r="J35">
            <v>2926.2781107653327</v>
          </cell>
        </row>
        <row r="372">
          <cell r="H372">
            <v>455227.13752440002</v>
          </cell>
          <cell r="I372">
            <v>449945.08060530009</v>
          </cell>
          <cell r="J372">
            <v>488244.02049939998</v>
          </cell>
        </row>
        <row r="374">
          <cell r="H374">
            <v>1.786195902189218</v>
          </cell>
          <cell r="I374">
            <v>1.723439569405655</v>
          </cell>
          <cell r="J374">
            <v>1.6196912117314219</v>
          </cell>
        </row>
        <row r="391">
          <cell r="H391">
            <v>1.0527906856236358</v>
          </cell>
          <cell r="I391">
            <v>1.0216813601862085</v>
          </cell>
          <cell r="J391">
            <v>1.1102654283218572</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2021"/>
      <sheetName val="Feb. 2021"/>
      <sheetName val="Mar. 2021"/>
      <sheetName val="Apr.2021"/>
      <sheetName val="May.2021"/>
      <sheetName val="June.2021"/>
      <sheetName val="July.2021"/>
      <sheetName val="August.2021"/>
      <sheetName val="SEPT21"/>
      <sheetName val="OCT2021"/>
      <sheetName val="NOV2021"/>
      <sheetName val="DEC2021"/>
      <sheetName val="JAN2022"/>
      <sheetName val="FEB2022"/>
      <sheetName val="MAR2022"/>
      <sheetName val="APRIL2022"/>
      <sheetName val="MAY 2022"/>
      <sheetName val="JUNE 2022"/>
      <sheetName val="JULY 2022"/>
      <sheetName val="AUGUST2022"/>
      <sheetName val="SEPTEMBER 2022"/>
      <sheetName val="OCTOBER 2022"/>
      <sheetName val="NOVEMBER 2022"/>
      <sheetName val="DECEMBER 2022"/>
      <sheetName val="JANUARY 2023"/>
      <sheetName val="FEBRUARY 2023"/>
      <sheetName val="MARCH 2023"/>
      <sheetName val="APRIL 2023"/>
      <sheetName val="MAY 2023"/>
      <sheetName val="JUNE 2023"/>
      <sheetName val="JULY 2023"/>
      <sheetName val="AUGUST 2023"/>
      <sheetName val="SEPTEMBER 2023"/>
      <sheetName val="OCTOBER 2023"/>
      <sheetName val="NOVEMBER 2023"/>
      <sheetName val="DECEMBER 2023 (2)"/>
      <sheetName val="JANUARY 2024"/>
      <sheetName val="FEBRUARY 2024"/>
      <sheetName val="MARCH 2024"/>
      <sheetName val="APRIL 2024"/>
      <sheetName val="MAY 2024"/>
      <sheetName val="JUNE 2024"/>
      <sheetName val="JULY 2024"/>
      <sheetName val="AUGUT 2024"/>
      <sheetName val="SEPTEMBER 2024"/>
      <sheetName val="OCTOBER 2024"/>
      <sheetName val="NOVEMBER 2024"/>
      <sheetName val="DECEMBER 2024"/>
      <sheetName val="JANUARY 2025"/>
      <sheetName val="FEBRUARY 2025"/>
      <sheetName val="MARCH 2025"/>
      <sheetName val="APRIL 2025"/>
      <sheetName val="MAY 2025"/>
      <sheetName val="JUNE 2025"/>
      <sheetName val="JULY 2025"/>
      <sheetName val="AUGUST 2025"/>
      <sheetName val="SEPTEMBER 2025"/>
      <sheetName val="OCTOBER 2025"/>
      <sheetName val="NOVEMBER 2025"/>
      <sheetName val="DECEMBER 2025"/>
      <sheetName val="JANUARY 2026"/>
      <sheetName val="FEBRUARY 2026"/>
      <sheetName val="MARCH 2026"/>
      <sheetName val="APRIL 202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ow r="33">
          <cell r="P33">
            <v>2402738.52</v>
          </cell>
        </row>
      </sheetData>
      <sheetData sheetId="52">
        <row r="38">
          <cell r="P38">
            <v>2884806.03</v>
          </cell>
        </row>
      </sheetData>
      <sheetData sheetId="53">
        <row r="44">
          <cell r="P44">
            <v>3560392.42</v>
          </cell>
        </row>
      </sheetData>
      <sheetData sheetId="54">
        <row r="33">
          <cell r="P33">
            <v>2190015.86</v>
          </cell>
        </row>
      </sheetData>
      <sheetData sheetId="55">
        <row r="39">
          <cell r="P39">
            <v>2969027.09</v>
          </cell>
        </row>
      </sheetData>
      <sheetData sheetId="56">
        <row r="44">
          <cell r="P44">
            <v>3780379.93</v>
          </cell>
        </row>
      </sheetData>
      <sheetData sheetId="57">
        <row r="33">
          <cell r="P33">
            <v>2796466.75</v>
          </cell>
        </row>
      </sheetData>
      <sheetData sheetId="58">
        <row r="39">
          <cell r="P39">
            <v>3569243.2200000007</v>
          </cell>
        </row>
      </sheetData>
      <sheetData sheetId="59">
        <row r="45">
          <cell r="P45">
            <v>4187097.6700000004</v>
          </cell>
        </row>
      </sheetData>
      <sheetData sheetId="60">
        <row r="40">
          <cell r="P40">
            <v>3467302.0600000005</v>
          </cell>
        </row>
      </sheetData>
      <sheetData sheetId="61">
        <row r="36">
          <cell r="T36">
            <v>3252951.8629999999</v>
          </cell>
        </row>
      </sheetData>
      <sheetData sheetId="62">
        <row r="38">
          <cell r="U38">
            <v>3457181.79</v>
          </cell>
        </row>
      </sheetData>
      <sheetData sheetId="6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p 35a"/>
      <sheetName val="App 35b"/>
      <sheetName val="App 35c"/>
      <sheetName val="Details"/>
      <sheetName val="Sheet1"/>
      <sheetName val="Sheet2"/>
      <sheetName val="Ls_AgXLB_WorkbookFile"/>
    </sheetNames>
    <sheetDataSet>
      <sheetData sheetId="0" refreshError="1"/>
      <sheetData sheetId="1" refreshError="1"/>
      <sheetData sheetId="2" refreshError="1"/>
      <sheetData sheetId="3">
        <row r="406">
          <cell r="H406">
            <v>348357.26</v>
          </cell>
        </row>
        <row r="407">
          <cell r="H407">
            <v>65048.800000000003</v>
          </cell>
        </row>
        <row r="409">
          <cell r="H409">
            <v>26099.98</v>
          </cell>
        </row>
        <row r="410">
          <cell r="H410">
            <v>17766.579999999998</v>
          </cell>
        </row>
        <row r="415">
          <cell r="E415">
            <v>38632529.359999999</v>
          </cell>
        </row>
        <row r="430">
          <cell r="E430">
            <v>913165.92999999993</v>
          </cell>
        </row>
        <row r="431">
          <cell r="E431">
            <v>739245.58</v>
          </cell>
        </row>
        <row r="432">
          <cell r="E432">
            <v>959996.6</v>
          </cell>
        </row>
        <row r="434">
          <cell r="E434">
            <v>287426.18</v>
          </cell>
        </row>
        <row r="435">
          <cell r="E435">
            <v>219801</v>
          </cell>
        </row>
        <row r="436">
          <cell r="E436">
            <v>221150.92</v>
          </cell>
        </row>
        <row r="442">
          <cell r="E442">
            <v>637000</v>
          </cell>
        </row>
        <row r="443">
          <cell r="E443">
            <v>175520.25</v>
          </cell>
        </row>
      </sheetData>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Operational units"/>
      <sheetName val="Income statement"/>
      <sheetName val="Balance sheet"/>
      <sheetName val="Cashflow"/>
      <sheetName val="Stat accounts"/>
      <sheetName val="Fin Ind"/>
    </sheetNames>
    <sheetDataSet>
      <sheetData sheetId="0"/>
      <sheetData sheetId="1"/>
      <sheetData sheetId="2">
        <row r="506">
          <cell r="J506">
            <v>11055114.250000007</v>
          </cell>
          <cell r="K506">
            <v>31079492.890000001</v>
          </cell>
          <cell r="L506">
            <v>23434633.550000008</v>
          </cell>
        </row>
      </sheetData>
      <sheetData sheetId="3"/>
      <sheetData sheetId="4"/>
      <sheetData sheetId="5"/>
      <sheetData sheetId="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_Det"/>
      <sheetName val="Actual+Forecast"/>
      <sheetName val="HFM Summary_Link"/>
      <sheetName val="Forecast"/>
      <sheetName val="Previous Outlook"/>
      <sheetName val="Budget "/>
      <sheetName val="Budget_HFM Summary_TM1"/>
      <sheetName val="Budget summary"/>
      <sheetName val="AUC"/>
      <sheetName val="Analysis"/>
      <sheetName val="DTSF Tracking"/>
      <sheetName val="TM1 Budget"/>
      <sheetName val="Outlook"/>
      <sheetName val="3+9"/>
      <sheetName val="2+10"/>
      <sheetName val="Summary"/>
      <sheetName val="OPs Readiness"/>
      <sheetName val="Input_Actual Spent"/>
    </sheetNames>
    <sheetDataSet>
      <sheetData sheetId="0"/>
      <sheetData sheetId="1">
        <row r="272">
          <cell r="U272">
            <v>42108468.539999999</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munity Investment Sept 2025"/>
      <sheetName val="Sheet1"/>
    </sheetNames>
    <sheetDataSet>
      <sheetData sheetId="0">
        <row r="262">
          <cell r="G262">
            <v>47374.74</v>
          </cell>
        </row>
        <row r="264">
          <cell r="G264">
            <v>74981.71999999971</v>
          </cell>
        </row>
        <row r="266">
          <cell r="G266">
            <v>282.44</v>
          </cell>
        </row>
        <row r="267">
          <cell r="G267">
            <v>21784.370000000003</v>
          </cell>
        </row>
        <row r="268">
          <cell r="G268">
            <v>14363.380000000001</v>
          </cell>
        </row>
      </sheetData>
      <sheetData sheetId="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munity Investment Sept 2025"/>
      <sheetName val="Sheet1"/>
    </sheetNames>
    <sheetDataSet>
      <sheetData sheetId="0">
        <row r="296">
          <cell r="G296">
            <v>55466.720000000001</v>
          </cell>
        </row>
        <row r="298">
          <cell r="G298">
            <v>155508.64000000022</v>
          </cell>
        </row>
        <row r="300">
          <cell r="G300">
            <v>11777.690000000002</v>
          </cell>
        </row>
        <row r="301">
          <cell r="G301">
            <v>195380.83999999997</v>
          </cell>
        </row>
      </sheetData>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munity Investment Sept 2025"/>
      <sheetName val="Sheet1"/>
    </sheetNames>
    <sheetDataSet>
      <sheetData sheetId="0">
        <row r="159">
          <cell r="G159">
            <v>16643.54</v>
          </cell>
        </row>
        <row r="161">
          <cell r="G161">
            <v>7927.19</v>
          </cell>
        </row>
        <row r="163">
          <cell r="G163">
            <v>11447.869999999999</v>
          </cell>
        </row>
        <row r="164">
          <cell r="G164">
            <v>81564.319999999992</v>
          </cell>
        </row>
        <row r="165">
          <cell r="G165">
            <v>19081.699999999997</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3CE9F-7A77-407E-966E-B2FFD6D3B3FC}">
  <dimension ref="A1:C56"/>
  <sheetViews>
    <sheetView workbookViewId="0">
      <selection activeCell="E6" sqref="E6"/>
    </sheetView>
  </sheetViews>
  <sheetFormatPr defaultColWidth="9.1328125" defaultRowHeight="14.25" x14ac:dyDescent="0.45"/>
  <cols>
    <col min="1" max="1" width="37.1328125" customWidth="1"/>
    <col min="2" max="2" width="33.3984375" customWidth="1"/>
    <col min="3" max="3" width="35.73046875" customWidth="1"/>
  </cols>
  <sheetData>
    <row r="1" spans="1:3" ht="14.65" thickBot="1" x14ac:dyDescent="0.5"/>
    <row r="2" spans="1:3" ht="15.75" thickBot="1" x14ac:dyDescent="0.5">
      <c r="A2" s="9"/>
      <c r="B2" s="10"/>
      <c r="C2" s="11" t="s">
        <v>43</v>
      </c>
    </row>
    <row r="3" spans="1:3" ht="15.75" thickBot="1" x14ac:dyDescent="0.5">
      <c r="A3" s="12"/>
      <c r="B3" s="13"/>
      <c r="C3" s="13"/>
    </row>
    <row r="4" spans="1:3" ht="14.65" thickBot="1" x14ac:dyDescent="0.5">
      <c r="A4" s="14" t="s">
        <v>44</v>
      </c>
      <c r="B4" s="15" t="s">
        <v>45</v>
      </c>
      <c r="C4" s="15" t="s">
        <v>46</v>
      </c>
    </row>
    <row r="5" spans="1:3" ht="14.65" thickBot="1" x14ac:dyDescent="0.5">
      <c r="A5" s="14" t="s">
        <v>47</v>
      </c>
      <c r="B5" s="15" t="s">
        <v>45</v>
      </c>
      <c r="C5" s="15" t="s">
        <v>48</v>
      </c>
    </row>
    <row r="6" spans="1:3" ht="14.65" thickBot="1" x14ac:dyDescent="0.5">
      <c r="A6" s="14" t="s">
        <v>49</v>
      </c>
      <c r="B6" s="15" t="s">
        <v>45</v>
      </c>
      <c r="C6" s="15" t="s">
        <v>50</v>
      </c>
    </row>
    <row r="7" spans="1:3" ht="23.65" thickBot="1" x14ac:dyDescent="0.5">
      <c r="A7" s="14" t="s">
        <v>51</v>
      </c>
      <c r="B7" s="15" t="s">
        <v>45</v>
      </c>
      <c r="C7" s="15" t="s">
        <v>52</v>
      </c>
    </row>
    <row r="8" spans="1:3" ht="14.65" thickBot="1" x14ac:dyDescent="0.5">
      <c r="A8" s="14" t="s">
        <v>53</v>
      </c>
      <c r="B8" s="15" t="s">
        <v>45</v>
      </c>
      <c r="C8" s="15" t="s">
        <v>54</v>
      </c>
    </row>
    <row r="9" spans="1:3" ht="14.65" thickBot="1" x14ac:dyDescent="0.5">
      <c r="A9" s="14" t="s">
        <v>55</v>
      </c>
      <c r="B9" s="15" t="s">
        <v>45</v>
      </c>
      <c r="C9" s="15" t="s">
        <v>56</v>
      </c>
    </row>
    <row r="10" spans="1:3" ht="14.65" thickBot="1" x14ac:dyDescent="0.5">
      <c r="A10" s="14" t="s">
        <v>57</v>
      </c>
      <c r="B10" s="15" t="s">
        <v>45</v>
      </c>
      <c r="C10" s="15" t="s">
        <v>58</v>
      </c>
    </row>
    <row r="11" spans="1:3" ht="14.65" thickBot="1" x14ac:dyDescent="0.5">
      <c r="A11" s="14" t="s">
        <v>59</v>
      </c>
      <c r="B11" s="15" t="s">
        <v>45</v>
      </c>
      <c r="C11" s="15" t="s">
        <v>60</v>
      </c>
    </row>
    <row r="12" spans="1:3" ht="14.65" thickBot="1" x14ac:dyDescent="0.5">
      <c r="A12" s="14" t="s">
        <v>61</v>
      </c>
      <c r="B12" s="15" t="s">
        <v>45</v>
      </c>
      <c r="C12" s="15" t="s">
        <v>62</v>
      </c>
    </row>
    <row r="13" spans="1:3" ht="14.65" thickBot="1" x14ac:dyDescent="0.5">
      <c r="A13" s="14" t="s">
        <v>63</v>
      </c>
      <c r="B13" s="15" t="s">
        <v>45</v>
      </c>
      <c r="C13" s="15" t="s">
        <v>64</v>
      </c>
    </row>
    <row r="14" spans="1:3" ht="14.65" thickBot="1" x14ac:dyDescent="0.5">
      <c r="A14" s="14" t="s">
        <v>65</v>
      </c>
      <c r="B14" s="15" t="s">
        <v>45</v>
      </c>
      <c r="C14" s="15" t="s">
        <v>66</v>
      </c>
    </row>
    <row r="15" spans="1:3" x14ac:dyDescent="0.45">
      <c r="A15" s="51" t="s">
        <v>67</v>
      </c>
      <c r="B15" s="53"/>
      <c r="C15" s="16" t="s">
        <v>68</v>
      </c>
    </row>
    <row r="16" spans="1:3" ht="14.65" thickBot="1" x14ac:dyDescent="0.5">
      <c r="A16" s="52"/>
      <c r="B16" s="54"/>
      <c r="C16" s="15" t="s">
        <v>69</v>
      </c>
    </row>
    <row r="17" spans="1:3" ht="15.75" thickBot="1" x14ac:dyDescent="0.5">
      <c r="A17" s="12"/>
      <c r="B17" s="13"/>
      <c r="C17" s="13"/>
    </row>
    <row r="18" spans="1:3" x14ac:dyDescent="0.45">
      <c r="A18" s="17" t="s">
        <v>70</v>
      </c>
      <c r="B18" s="55" t="s">
        <v>45</v>
      </c>
      <c r="C18" s="55" t="s">
        <v>71</v>
      </c>
    </row>
    <row r="19" spans="1:3" ht="14.65" thickBot="1" x14ac:dyDescent="0.5">
      <c r="A19" s="14" t="s">
        <v>72</v>
      </c>
      <c r="B19" s="56"/>
      <c r="C19" s="56"/>
    </row>
    <row r="20" spans="1:3" x14ac:dyDescent="0.45">
      <c r="A20" s="17" t="s">
        <v>73</v>
      </c>
      <c r="B20" s="55" t="s">
        <v>45</v>
      </c>
      <c r="C20" s="55" t="s">
        <v>74</v>
      </c>
    </row>
    <row r="21" spans="1:3" ht="14.65" thickBot="1" x14ac:dyDescent="0.5">
      <c r="A21" s="14" t="s">
        <v>75</v>
      </c>
      <c r="B21" s="56"/>
      <c r="C21" s="56"/>
    </row>
    <row r="22" spans="1:3" ht="14.65" thickBot="1" x14ac:dyDescent="0.5">
      <c r="A22" s="14" t="s">
        <v>76</v>
      </c>
      <c r="B22" s="15" t="s">
        <v>45</v>
      </c>
      <c r="C22" s="15" t="s">
        <v>77</v>
      </c>
    </row>
    <row r="23" spans="1:3" ht="14.65" thickBot="1" x14ac:dyDescent="0.5">
      <c r="A23" s="14" t="s">
        <v>78</v>
      </c>
      <c r="B23" s="15" t="s">
        <v>79</v>
      </c>
      <c r="C23" s="15" t="s">
        <v>80</v>
      </c>
    </row>
    <row r="24" spans="1:3" ht="23.65" thickBot="1" x14ac:dyDescent="0.5">
      <c r="A24" s="14" t="s">
        <v>81</v>
      </c>
      <c r="B24" s="15" t="s">
        <v>82</v>
      </c>
      <c r="C24" s="15" t="s">
        <v>83</v>
      </c>
    </row>
    <row r="25" spans="1:3" ht="14.65" thickBot="1" x14ac:dyDescent="0.5">
      <c r="A25" s="14" t="s">
        <v>84</v>
      </c>
      <c r="B25" s="15" t="s">
        <v>82</v>
      </c>
      <c r="C25" s="15" t="s">
        <v>85</v>
      </c>
    </row>
    <row r="26" spans="1:3" x14ac:dyDescent="0.45">
      <c r="A26" s="57" t="s">
        <v>86</v>
      </c>
      <c r="B26" s="53"/>
      <c r="C26" s="16" t="s">
        <v>87</v>
      </c>
    </row>
    <row r="27" spans="1:3" ht="14.65" thickBot="1" x14ac:dyDescent="0.5">
      <c r="A27" s="58"/>
      <c r="B27" s="54"/>
      <c r="C27" s="15" t="s">
        <v>88</v>
      </c>
    </row>
    <row r="28" spans="1:3" ht="15.75" thickBot="1" x14ac:dyDescent="0.5">
      <c r="A28" s="12"/>
      <c r="B28" s="13"/>
      <c r="C28" s="13"/>
    </row>
    <row r="29" spans="1:3" ht="23.65" thickBot="1" x14ac:dyDescent="0.5">
      <c r="A29" s="14" t="s">
        <v>89</v>
      </c>
      <c r="B29" s="15" t="s">
        <v>45</v>
      </c>
      <c r="C29" s="15" t="s">
        <v>90</v>
      </c>
    </row>
    <row r="30" spans="1:3" ht="14.65" thickBot="1" x14ac:dyDescent="0.5">
      <c r="A30" s="14" t="s">
        <v>91</v>
      </c>
      <c r="B30" s="15" t="s">
        <v>45</v>
      </c>
      <c r="C30" s="15" t="s">
        <v>92</v>
      </c>
    </row>
    <row r="31" spans="1:3" ht="23.65" thickBot="1" x14ac:dyDescent="0.5">
      <c r="A31" s="14" t="s">
        <v>93</v>
      </c>
      <c r="B31" s="15" t="s">
        <v>45</v>
      </c>
      <c r="C31" s="15" t="s">
        <v>94</v>
      </c>
    </row>
    <row r="32" spans="1:3" ht="14.65" thickBot="1" x14ac:dyDescent="0.5">
      <c r="A32" s="14" t="s">
        <v>95</v>
      </c>
      <c r="B32" s="15" t="s">
        <v>45</v>
      </c>
      <c r="C32" s="15" t="s">
        <v>96</v>
      </c>
    </row>
    <row r="33" spans="1:3" ht="14.65" thickBot="1" x14ac:dyDescent="0.5">
      <c r="A33" s="14" t="s">
        <v>97</v>
      </c>
      <c r="B33" s="15" t="s">
        <v>82</v>
      </c>
      <c r="C33" s="15" t="s">
        <v>98</v>
      </c>
    </row>
    <row r="34" spans="1:3" ht="23.65" thickBot="1" x14ac:dyDescent="0.5">
      <c r="A34" s="14" t="s">
        <v>99</v>
      </c>
      <c r="B34" s="15" t="s">
        <v>82</v>
      </c>
      <c r="C34" s="15" t="s">
        <v>100</v>
      </c>
    </row>
    <row r="35" spans="1:3" ht="14.65" thickBot="1" x14ac:dyDescent="0.5">
      <c r="A35" s="14" t="s">
        <v>101</v>
      </c>
      <c r="B35" s="15" t="s">
        <v>82</v>
      </c>
      <c r="C35" s="15" t="s">
        <v>102</v>
      </c>
    </row>
    <row r="36" spans="1:3" ht="15.75" thickBot="1" x14ac:dyDescent="0.5">
      <c r="A36" s="12"/>
      <c r="B36" s="13"/>
      <c r="C36" s="13"/>
    </row>
    <row r="37" spans="1:3" ht="15.75" thickBot="1" x14ac:dyDescent="0.5">
      <c r="A37" s="18" t="s">
        <v>103</v>
      </c>
      <c r="B37" s="13"/>
      <c r="C37" s="19" t="s">
        <v>104</v>
      </c>
    </row>
    <row r="39" spans="1:3" x14ac:dyDescent="0.45">
      <c r="A39" s="20" t="s">
        <v>105</v>
      </c>
    </row>
    <row r="40" spans="1:3" x14ac:dyDescent="0.45">
      <c r="A40" t="s">
        <v>106</v>
      </c>
    </row>
    <row r="41" spans="1:3" x14ac:dyDescent="0.45">
      <c r="A41" t="s">
        <v>107</v>
      </c>
    </row>
    <row r="43" spans="1:3" x14ac:dyDescent="0.45">
      <c r="A43" t="s">
        <v>108</v>
      </c>
    </row>
    <row r="45" spans="1:3" x14ac:dyDescent="0.45">
      <c r="A45" t="s">
        <v>109</v>
      </c>
    </row>
    <row r="47" spans="1:3" x14ac:dyDescent="0.45">
      <c r="A47" t="s">
        <v>110</v>
      </c>
    </row>
    <row r="49" spans="1:1" x14ac:dyDescent="0.45">
      <c r="A49" t="s">
        <v>111</v>
      </c>
    </row>
    <row r="51" spans="1:1" x14ac:dyDescent="0.45">
      <c r="A51" t="s">
        <v>112</v>
      </c>
    </row>
    <row r="52" spans="1:1" x14ac:dyDescent="0.45">
      <c r="A52" t="s">
        <v>113</v>
      </c>
    </row>
    <row r="53" spans="1:1" x14ac:dyDescent="0.45">
      <c r="A53" t="s">
        <v>114</v>
      </c>
    </row>
    <row r="54" spans="1:1" x14ac:dyDescent="0.45">
      <c r="A54" t="s">
        <v>115</v>
      </c>
    </row>
    <row r="55" spans="1:1" x14ac:dyDescent="0.45">
      <c r="A55" t="s">
        <v>116</v>
      </c>
    </row>
    <row r="56" spans="1:1" x14ac:dyDescent="0.45">
      <c r="A56" t="s">
        <v>117</v>
      </c>
    </row>
  </sheetData>
  <mergeCells count="8">
    <mergeCell ref="A26:A27"/>
    <mergeCell ref="B26:B27"/>
    <mergeCell ref="A15:A16"/>
    <mergeCell ref="B15:B16"/>
    <mergeCell ref="B18:B19"/>
    <mergeCell ref="C18:C19"/>
    <mergeCell ref="B20:B21"/>
    <mergeCell ref="C20:C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70D0-4DD0-404E-8F4D-50081A11C4FE}">
  <dimension ref="A1:G102"/>
  <sheetViews>
    <sheetView tabSelected="1" workbookViewId="0">
      <selection activeCell="B9" sqref="B9"/>
    </sheetView>
  </sheetViews>
  <sheetFormatPr defaultRowHeight="14.25" x14ac:dyDescent="0.45"/>
  <cols>
    <col min="1" max="1" width="101" bestFit="1" customWidth="1"/>
    <col min="2" max="2" width="17.86328125" bestFit="1" customWidth="1"/>
    <col min="3" max="3" width="17.86328125" style="25" bestFit="1" customWidth="1"/>
    <col min="4" max="4" width="17.86328125" bestFit="1" customWidth="1"/>
    <col min="5" max="5" width="17.86328125" style="25" bestFit="1" customWidth="1"/>
    <col min="6" max="6" width="14.3984375" bestFit="1" customWidth="1"/>
    <col min="7" max="7" width="14.73046875" bestFit="1" customWidth="1"/>
  </cols>
  <sheetData>
    <row r="1" spans="1:7" ht="21" x14ac:dyDescent="0.65">
      <c r="A1" s="1" t="s">
        <v>149</v>
      </c>
      <c r="B1" s="59" t="s">
        <v>150</v>
      </c>
      <c r="C1" s="59" t="s">
        <v>151</v>
      </c>
      <c r="D1" s="59" t="s">
        <v>152</v>
      </c>
      <c r="E1" s="59" t="s">
        <v>153</v>
      </c>
      <c r="F1" s="20"/>
      <c r="G1" s="20"/>
    </row>
    <row r="2" spans="1:7" ht="15.75" x14ac:dyDescent="0.5">
      <c r="A2" s="2" t="s">
        <v>0</v>
      </c>
      <c r="B2" s="59"/>
      <c r="C2" s="59"/>
      <c r="D2" s="59"/>
      <c r="E2" s="59"/>
    </row>
    <row r="3" spans="1:7" ht="15.75" x14ac:dyDescent="0.5">
      <c r="A3" s="2" t="s">
        <v>148</v>
      </c>
      <c r="B3" s="33"/>
      <c r="C3" s="34"/>
      <c r="D3" s="35"/>
      <c r="E3" s="34"/>
    </row>
    <row r="4" spans="1:7" s="22" customFormat="1" ht="15.75" x14ac:dyDescent="0.5">
      <c r="A4" s="21" t="s">
        <v>1</v>
      </c>
      <c r="B4" s="36"/>
      <c r="C4" s="37"/>
      <c r="D4" s="38"/>
      <c r="E4" s="37"/>
    </row>
    <row r="5" spans="1:7" ht="15.75" x14ac:dyDescent="0.5">
      <c r="A5" s="2" t="s">
        <v>139</v>
      </c>
      <c r="B5" s="30">
        <f>SUM([1]Data!$C$5:$E$5)</f>
        <v>217288654.96999997</v>
      </c>
      <c r="C5" s="39"/>
      <c r="D5" s="39"/>
      <c r="E5" s="39"/>
    </row>
    <row r="6" spans="1:7" ht="15.75" x14ac:dyDescent="0.5">
      <c r="A6" s="2" t="s">
        <v>140</v>
      </c>
      <c r="B6" s="30">
        <f>+B5</f>
        <v>217288654.96999997</v>
      </c>
      <c r="C6" s="39"/>
      <c r="D6" s="39"/>
      <c r="E6" s="39"/>
    </row>
    <row r="7" spans="1:7" ht="15.75" x14ac:dyDescent="0.5">
      <c r="A7" s="2" t="s">
        <v>145</v>
      </c>
      <c r="B7" s="30">
        <f>+'[1]RETAINED EARNINGS'!$H$151</f>
        <v>16549548.850000001</v>
      </c>
      <c r="C7" s="39"/>
      <c r="D7" s="39"/>
      <c r="E7" s="39"/>
    </row>
    <row r="8" spans="1:7" ht="15.75" x14ac:dyDescent="0.5">
      <c r="A8" s="2" t="s">
        <v>146</v>
      </c>
      <c r="B8" s="30">
        <f>+'[1]Voluntary RepatriationUSD(forex'!$E$22</f>
        <v>40000000</v>
      </c>
      <c r="C8" s="39"/>
      <c r="D8" s="39"/>
      <c r="E8" s="39"/>
    </row>
    <row r="9" spans="1:7" ht="15.75" x14ac:dyDescent="0.5">
      <c r="A9" s="2" t="s">
        <v>141</v>
      </c>
      <c r="B9" s="30">
        <f>+[2]Sheet1!$F$63</f>
        <v>35000000</v>
      </c>
      <c r="C9" s="39"/>
      <c r="D9" s="39"/>
      <c r="E9" s="39"/>
    </row>
    <row r="10" spans="1:7" ht="15.75" x14ac:dyDescent="0.5">
      <c r="A10" s="2" t="s">
        <v>142</v>
      </c>
      <c r="B10" s="30">
        <f>+'[1]Off Shore'!$I$3324+'[1]Off Shore'!$I$3358+'[1]Off Shore'!$I$3380</f>
        <v>3867894.27</v>
      </c>
      <c r="C10" s="39"/>
      <c r="D10" s="39"/>
      <c r="E10" s="39"/>
    </row>
    <row r="11" spans="1:7" ht="15.75" x14ac:dyDescent="0.5">
      <c r="A11" s="2" t="s">
        <v>143</v>
      </c>
      <c r="B11" s="30">
        <v>14435458.690000001</v>
      </c>
      <c r="C11" s="39"/>
      <c r="D11" s="39"/>
      <c r="E11" s="39"/>
    </row>
    <row r="12" spans="1:7" ht="15.75" x14ac:dyDescent="0.5">
      <c r="A12" s="2" t="s">
        <v>144</v>
      </c>
      <c r="B12" s="30">
        <f>+'[1]On Shore'!$I$18034+'[1]On Shore'!$I$18434+'[1]On Shore'!$I$19067</f>
        <v>86181029.630000055</v>
      </c>
      <c r="C12" s="39"/>
      <c r="D12" s="39"/>
      <c r="E12" s="39"/>
    </row>
    <row r="13" spans="1:7" ht="15.75" x14ac:dyDescent="0.5">
      <c r="A13" s="2" t="s">
        <v>2</v>
      </c>
      <c r="B13" s="30">
        <f>AVERAGE('[3]Act 2026'!$H$32:$J$32)</f>
        <v>1223.0616085728223</v>
      </c>
      <c r="C13" s="39"/>
      <c r="D13" s="39"/>
      <c r="E13" s="39"/>
    </row>
    <row r="14" spans="1:7" ht="15.75" x14ac:dyDescent="0.5">
      <c r="A14" s="3" t="s">
        <v>3</v>
      </c>
      <c r="B14" s="30">
        <f>+AVERAGE('[3]Act 2026'!$H$34:$J$34)</f>
        <v>2716.3890303132043</v>
      </c>
      <c r="C14" s="39"/>
      <c r="D14" s="39"/>
      <c r="E14" s="39"/>
    </row>
    <row r="15" spans="1:7" ht="15.75" x14ac:dyDescent="0.5">
      <c r="A15" s="3" t="s">
        <v>4</v>
      </c>
      <c r="B15" s="30">
        <f>+AVERAGE('[3]Act 2026'!$H$35:$J$35)</f>
        <v>2781.8272613334011</v>
      </c>
      <c r="C15" s="39"/>
      <c r="D15" s="39"/>
      <c r="E15" s="39"/>
    </row>
    <row r="16" spans="1:7" ht="15.75" x14ac:dyDescent="0.5">
      <c r="A16" s="2" t="s">
        <v>5</v>
      </c>
      <c r="B16" s="30"/>
      <c r="C16" s="31"/>
      <c r="D16" s="39"/>
      <c r="E16" s="39"/>
    </row>
    <row r="17" spans="1:5" ht="15.75" x14ac:dyDescent="0.5">
      <c r="A17" s="2" t="s">
        <v>6</v>
      </c>
      <c r="B17" s="31">
        <f>(B10+B56)</f>
        <v>42500423.630000003</v>
      </c>
      <c r="C17" s="31"/>
      <c r="D17" s="31"/>
      <c r="E17" s="31"/>
    </row>
    <row r="18" spans="1:5" ht="15.75" x14ac:dyDescent="0.5">
      <c r="A18" s="2" t="s">
        <v>7</v>
      </c>
      <c r="B18" s="31">
        <f>+'[1]RETAINED EARNINGS'!$H$151</f>
        <v>16549548.850000001</v>
      </c>
      <c r="C18" s="39"/>
      <c r="D18" s="39"/>
      <c r="E18" s="39"/>
    </row>
    <row r="19" spans="1:5" ht="15.75" x14ac:dyDescent="0.5">
      <c r="A19" s="2" t="s">
        <v>8</v>
      </c>
      <c r="B19" s="40"/>
      <c r="C19" s="39"/>
      <c r="D19" s="39"/>
      <c r="E19" s="39"/>
    </row>
    <row r="20" spans="1:5" ht="15.75" x14ac:dyDescent="0.5">
      <c r="A20" s="2"/>
      <c r="B20" s="40"/>
      <c r="C20" s="39"/>
      <c r="D20" s="39"/>
      <c r="E20" s="39"/>
    </row>
    <row r="21" spans="1:5" s="22" customFormat="1" ht="15.75" x14ac:dyDescent="0.5">
      <c r="A21" s="21" t="s">
        <v>9</v>
      </c>
      <c r="B21" s="41"/>
      <c r="C21" s="42"/>
      <c r="D21" s="42"/>
      <c r="E21" s="42"/>
    </row>
    <row r="22" spans="1:5" ht="15.75" x14ac:dyDescent="0.5">
      <c r="A22" s="2" t="s">
        <v>10</v>
      </c>
      <c r="B22" s="30">
        <f>+SUM('[3]Act 2026'!$H$11:$J$11)</f>
        <v>691778.03820624796</v>
      </c>
      <c r="C22" s="39"/>
      <c r="D22" s="39"/>
      <c r="E22" s="39"/>
    </row>
    <row r="23" spans="1:5" ht="15.75" x14ac:dyDescent="0.5">
      <c r="A23" s="2" t="s">
        <v>11</v>
      </c>
      <c r="B23" s="30">
        <f>+AVERAGE('[3]Act 2026'!$H$374:$J$374)</f>
        <v>1.7097755611087651</v>
      </c>
      <c r="C23" s="39"/>
      <c r="D23" s="39"/>
      <c r="E23" s="39"/>
    </row>
    <row r="24" spans="1:5" x14ac:dyDescent="0.45">
      <c r="A24" s="4" t="s">
        <v>12</v>
      </c>
      <c r="B24" s="43"/>
      <c r="C24" s="39"/>
      <c r="D24" s="39"/>
      <c r="E24" s="39"/>
    </row>
    <row r="25" spans="1:5" x14ac:dyDescent="0.45">
      <c r="A25" s="4" t="s">
        <v>13</v>
      </c>
      <c r="B25" s="43"/>
      <c r="C25" s="39"/>
      <c r="D25" s="39"/>
      <c r="E25" s="39"/>
    </row>
    <row r="26" spans="1:5" ht="15.75" x14ac:dyDescent="0.5">
      <c r="A26" s="2" t="s">
        <v>14</v>
      </c>
      <c r="B26" s="30">
        <f>+SUM('[3]Act 2026'!$H$372:$J$372)</f>
        <v>1393416.2386290999</v>
      </c>
      <c r="C26" s="39"/>
      <c r="D26" s="39"/>
      <c r="E26" s="39"/>
    </row>
    <row r="27" spans="1:5" ht="15.75" x14ac:dyDescent="0.5">
      <c r="A27" s="2" t="s">
        <v>15</v>
      </c>
      <c r="B27" s="30">
        <f>+AVERAGE('[3]Act 2026'!$H$391:$J$391)</f>
        <v>1.0615791580439005</v>
      </c>
      <c r="C27" s="39"/>
      <c r="D27" s="39"/>
      <c r="E27" s="39"/>
    </row>
    <row r="28" spans="1:5" ht="15.75" x14ac:dyDescent="0.5">
      <c r="A28" s="2" t="s">
        <v>16</v>
      </c>
      <c r="B28" s="30">
        <v>93.75</v>
      </c>
      <c r="C28" s="39"/>
      <c r="D28" s="39"/>
      <c r="E28" s="39"/>
    </row>
    <row r="29" spans="1:5" ht="15.75" x14ac:dyDescent="0.5">
      <c r="A29" s="2" t="s">
        <v>17</v>
      </c>
      <c r="B29" s="30">
        <f>+SUM('[3]Act 2026'!$H$18:$J$18)</f>
        <v>44071.384794696001</v>
      </c>
      <c r="C29" s="39"/>
      <c r="D29" s="39"/>
      <c r="E29" s="39"/>
    </row>
    <row r="30" spans="1:5" ht="15.75" x14ac:dyDescent="0.5">
      <c r="A30" s="2" t="s">
        <v>18</v>
      </c>
      <c r="B30" s="30">
        <f>+SUM('[3]Act 2026'!$H$19:$J$19)</f>
        <v>44750.18656073435</v>
      </c>
      <c r="C30" s="39"/>
      <c r="D30" s="39"/>
      <c r="E30" s="39"/>
    </row>
    <row r="31" spans="1:5" ht="15.75" x14ac:dyDescent="0.5">
      <c r="A31" s="2" t="s">
        <v>19</v>
      </c>
      <c r="B31" s="50">
        <v>44856790</v>
      </c>
      <c r="C31" s="39"/>
      <c r="D31" s="39"/>
      <c r="E31" s="39"/>
    </row>
    <row r="32" spans="1:5" ht="15.75" x14ac:dyDescent="0.5">
      <c r="A32" s="2" t="s">
        <v>20</v>
      </c>
      <c r="B32" s="50">
        <v>116580</v>
      </c>
      <c r="C32" s="39"/>
      <c r="D32" s="39"/>
      <c r="E32" s="39"/>
    </row>
    <row r="33" spans="1:6" ht="15.75" x14ac:dyDescent="0.5">
      <c r="A33" s="2" t="s">
        <v>138</v>
      </c>
      <c r="B33" s="50">
        <v>6419040.9900000002</v>
      </c>
      <c r="C33" s="39"/>
      <c r="D33" s="39"/>
      <c r="E33" s="39"/>
      <c r="F33" s="48"/>
    </row>
    <row r="34" spans="1:6" ht="15.75" x14ac:dyDescent="0.5">
      <c r="A34" s="2" t="s">
        <v>136</v>
      </c>
      <c r="B34" s="39">
        <f>+'[4]JANUARY 2026'!$P$40+'[4]FEBRUARY 2026'!$T$36+'[4]MARCH 2026'!$U$38</f>
        <v>10177435.713</v>
      </c>
      <c r="C34" s="39"/>
      <c r="D34" s="39"/>
      <c r="E34" s="39"/>
    </row>
    <row r="35" spans="1:6" ht="15.75" x14ac:dyDescent="0.5">
      <c r="A35" s="2" t="s">
        <v>137</v>
      </c>
      <c r="B35" s="30">
        <f>+'[1]On Shore'!$I$18535+'[1]On Shore'!$I$18089+'[1]On Shore'!$I$17513</f>
        <v>13891576.570000002</v>
      </c>
      <c r="C35" s="39"/>
      <c r="D35" s="39"/>
      <c r="E35" s="39"/>
    </row>
    <row r="36" spans="1:6" ht="15.75" x14ac:dyDescent="0.5">
      <c r="A36" s="2"/>
      <c r="B36" s="40"/>
      <c r="C36" s="39"/>
      <c r="D36" s="39"/>
      <c r="E36" s="39"/>
    </row>
    <row r="37" spans="1:6" s="22" customFormat="1" ht="15.75" x14ac:dyDescent="0.5">
      <c r="A37" s="21" t="s">
        <v>21</v>
      </c>
      <c r="B37" s="41"/>
      <c r="C37" s="42"/>
      <c r="D37" s="42"/>
      <c r="E37" s="42"/>
    </row>
    <row r="38" spans="1:6" s="23" customFormat="1" ht="15.75" x14ac:dyDescent="0.5">
      <c r="A38" s="24" t="s">
        <v>22</v>
      </c>
      <c r="B38" s="30">
        <f>+[1]Data!$E$18</f>
        <v>692</v>
      </c>
      <c r="C38" s="44"/>
      <c r="D38" s="44"/>
      <c r="E38" s="44"/>
    </row>
    <row r="39" spans="1:6" ht="15.75" x14ac:dyDescent="0.5">
      <c r="A39" s="2" t="s">
        <v>118</v>
      </c>
      <c r="B39" s="32">
        <v>0</v>
      </c>
      <c r="C39" s="39"/>
      <c r="D39" s="39"/>
      <c r="E39" s="39"/>
    </row>
    <row r="40" spans="1:6" ht="15.75" x14ac:dyDescent="0.5">
      <c r="A40" s="2" t="s">
        <v>23</v>
      </c>
      <c r="B40" s="30">
        <f>+SUM([1]Salaries!$C$21:$E$21)</f>
        <v>12898292.810000001</v>
      </c>
      <c r="C40" s="39"/>
      <c r="D40" s="39"/>
      <c r="E40" s="39"/>
    </row>
    <row r="41" spans="1:6" ht="15.75" x14ac:dyDescent="0.5">
      <c r="A41" s="2" t="s">
        <v>24</v>
      </c>
      <c r="B41" s="30">
        <f>SUM([1]Salaries!$C$13:$E$13)</f>
        <v>385653.87</v>
      </c>
      <c r="C41" s="39"/>
      <c r="D41" s="39"/>
      <c r="E41" s="39"/>
    </row>
    <row r="42" spans="1:6" ht="15.75" x14ac:dyDescent="0.5">
      <c r="A42" s="2" t="s">
        <v>25</v>
      </c>
      <c r="B42" s="30">
        <f>+SUM([1]Salaries!$C$8:$E$8,[1]Salaries!$C$12:$E$12,[1]Salaries!$C$19:$E$19)</f>
        <v>5811060.4399999995</v>
      </c>
      <c r="C42" s="39"/>
      <c r="D42" s="39"/>
      <c r="E42" s="39"/>
    </row>
    <row r="43" spans="1:6" ht="15.75" x14ac:dyDescent="0.5">
      <c r="A43" s="2"/>
      <c r="B43" s="40"/>
      <c r="C43" s="39"/>
      <c r="D43" s="39"/>
      <c r="E43" s="39"/>
    </row>
    <row r="44" spans="1:6" s="22" customFormat="1" ht="15.75" x14ac:dyDescent="0.5">
      <c r="A44" s="21" t="s">
        <v>135</v>
      </c>
      <c r="B44" s="41"/>
      <c r="C44" s="42"/>
      <c r="D44" s="42"/>
      <c r="E44" s="42"/>
    </row>
    <row r="45" spans="1:6" ht="15.75" x14ac:dyDescent="0.5">
      <c r="A45" s="2" t="s">
        <v>147</v>
      </c>
      <c r="B45" s="30">
        <f>+[1]Royalties!$H$64+[1]Royalties!$H$72</f>
        <v>8048057.790000001</v>
      </c>
      <c r="C45" s="45"/>
      <c r="D45" s="39"/>
      <c r="E45" s="39"/>
    </row>
    <row r="46" spans="1:6" ht="15.75" x14ac:dyDescent="0.5">
      <c r="A46" s="2" t="s">
        <v>119</v>
      </c>
      <c r="B46" s="30">
        <f>+SUM([5]Details!$E$434:$E$436)</f>
        <v>728378.1</v>
      </c>
      <c r="C46" s="39"/>
      <c r="D46" s="39"/>
      <c r="E46" s="39"/>
    </row>
    <row r="47" spans="1:6" ht="15.75" x14ac:dyDescent="0.5">
      <c r="A47" s="2" t="s">
        <v>120</v>
      </c>
      <c r="B47" s="30">
        <f>+SUM([5]Details!$E$430:$E$432)</f>
        <v>2612408.11</v>
      </c>
      <c r="C47" s="39"/>
      <c r="D47" s="39"/>
      <c r="E47" s="39"/>
    </row>
    <row r="48" spans="1:6" ht="15.75" x14ac:dyDescent="0.5">
      <c r="A48" s="2" t="s">
        <v>121</v>
      </c>
      <c r="B48" s="30">
        <f>+[5]Details!$E$442</f>
        <v>637000</v>
      </c>
      <c r="C48" s="39"/>
      <c r="D48" s="39"/>
      <c r="E48" s="39"/>
    </row>
    <row r="49" spans="1:5" ht="15.75" x14ac:dyDescent="0.5">
      <c r="A49" s="2" t="s">
        <v>122</v>
      </c>
      <c r="B49" s="30">
        <f>+[5]Details!$E$443</f>
        <v>175520.25</v>
      </c>
      <c r="C49" s="39"/>
      <c r="D49" s="39"/>
      <c r="E49" s="39"/>
    </row>
    <row r="50" spans="1:5" ht="15.75" x14ac:dyDescent="0.5">
      <c r="A50" s="2" t="s">
        <v>123</v>
      </c>
      <c r="B50" s="30">
        <f>+[5]Details!$H$406</f>
        <v>348357.26</v>
      </c>
      <c r="C50" s="39"/>
      <c r="D50" s="39"/>
      <c r="E50" s="39"/>
    </row>
    <row r="51" spans="1:5" ht="15.75" x14ac:dyDescent="0.5">
      <c r="A51" s="2" t="s">
        <v>124</v>
      </c>
      <c r="B51" s="30">
        <f>+[5]Details!$H$407</f>
        <v>65048.800000000003</v>
      </c>
      <c r="C51" s="39"/>
      <c r="D51" s="39"/>
      <c r="E51" s="39"/>
    </row>
    <row r="52" spans="1:5" ht="15.75" x14ac:dyDescent="0.5">
      <c r="A52" s="2" t="s">
        <v>125</v>
      </c>
      <c r="B52" s="30"/>
      <c r="C52" s="39"/>
      <c r="D52" s="39"/>
      <c r="E52" s="39"/>
    </row>
    <row r="53" spans="1:5" ht="15.75" x14ac:dyDescent="0.5">
      <c r="A53" s="2" t="s">
        <v>126</v>
      </c>
      <c r="B53" s="30">
        <f>+[5]Details!$H$409</f>
        <v>26099.98</v>
      </c>
      <c r="C53" s="39"/>
      <c r="D53" s="39"/>
      <c r="E53" s="39"/>
    </row>
    <row r="54" spans="1:5" ht="15.75" x14ac:dyDescent="0.5">
      <c r="A54" s="2" t="s">
        <v>127</v>
      </c>
      <c r="B54" s="30">
        <f>+[5]Details!$H$410</f>
        <v>17766.579999999998</v>
      </c>
      <c r="C54" s="39"/>
      <c r="D54" s="39"/>
      <c r="E54" s="39"/>
    </row>
    <row r="55" spans="1:5" ht="15.75" x14ac:dyDescent="0.5">
      <c r="A55" s="2" t="s">
        <v>128</v>
      </c>
      <c r="B55" s="30"/>
      <c r="C55" s="39"/>
      <c r="D55" s="39"/>
      <c r="E55" s="39"/>
    </row>
    <row r="56" spans="1:5" ht="15.75" x14ac:dyDescent="0.5">
      <c r="A56" s="2" t="s">
        <v>129</v>
      </c>
      <c r="B56" s="30">
        <f>+[5]Details!$E$415</f>
        <v>38632529.359999999</v>
      </c>
      <c r="C56" s="39"/>
      <c r="D56" s="39"/>
      <c r="E56" s="39"/>
    </row>
    <row r="57" spans="1:5" ht="15.75" x14ac:dyDescent="0.5">
      <c r="A57" s="2" t="s">
        <v>130</v>
      </c>
      <c r="B57" s="30"/>
      <c r="C57" s="39"/>
      <c r="D57" s="39"/>
      <c r="E57" s="39"/>
    </row>
    <row r="58" spans="1:5" ht="15.75" x14ac:dyDescent="0.5">
      <c r="A58" s="2" t="s">
        <v>131</v>
      </c>
      <c r="B58" s="30"/>
      <c r="C58" s="39"/>
      <c r="D58" s="39"/>
      <c r="E58" s="39"/>
    </row>
    <row r="59" spans="1:5" ht="15.75" x14ac:dyDescent="0.5">
      <c r="A59" s="3" t="s">
        <v>132</v>
      </c>
      <c r="B59" s="47">
        <f>+SUM('[6]Income statement'!$J$506:$L$506)</f>
        <v>65569240.690000013</v>
      </c>
      <c r="C59" s="47"/>
      <c r="D59" s="47"/>
      <c r="E59" s="47"/>
    </row>
    <row r="60" spans="1:5" ht="15.75" x14ac:dyDescent="0.5">
      <c r="A60" s="2" t="s">
        <v>134</v>
      </c>
      <c r="B60" s="30"/>
      <c r="C60" s="39"/>
      <c r="D60" s="39"/>
      <c r="E60" s="39"/>
    </row>
    <row r="61" spans="1:5" ht="15.75" x14ac:dyDescent="0.5">
      <c r="A61" s="2" t="s">
        <v>133</v>
      </c>
      <c r="B61" s="30">
        <f>+'[7]Actual+Forecast'!$U$272</f>
        <v>42108468.539999999</v>
      </c>
      <c r="C61" s="39"/>
      <c r="D61" s="39"/>
      <c r="E61" s="39"/>
    </row>
    <row r="62" spans="1:5" ht="15.75" hidden="1" x14ac:dyDescent="0.5">
      <c r="A62" s="2"/>
      <c r="B62" s="40"/>
      <c r="C62" s="39"/>
      <c r="D62" s="39"/>
      <c r="E62" s="39"/>
    </row>
    <row r="63" spans="1:5" s="22" customFormat="1" ht="15.75" hidden="1" x14ac:dyDescent="0.5">
      <c r="A63" s="21" t="s">
        <v>26</v>
      </c>
      <c r="B63" s="41"/>
      <c r="C63" s="42"/>
      <c r="D63" s="42"/>
      <c r="E63" s="42"/>
    </row>
    <row r="64" spans="1:5" ht="15.75" hidden="1" x14ac:dyDescent="0.5">
      <c r="A64" s="2" t="s">
        <v>27</v>
      </c>
      <c r="B64" s="40"/>
      <c r="C64" s="39"/>
      <c r="D64" s="39"/>
      <c r="E64" s="39"/>
    </row>
    <row r="65" spans="1:7" ht="15.75" hidden="1" x14ac:dyDescent="0.5">
      <c r="A65" s="2" t="s">
        <v>28</v>
      </c>
      <c r="B65" s="40"/>
      <c r="C65" s="39"/>
      <c r="D65" s="39"/>
      <c r="E65" s="39"/>
    </row>
    <row r="66" spans="1:7" ht="15.75" hidden="1" x14ac:dyDescent="0.5">
      <c r="A66" s="2" t="s">
        <v>29</v>
      </c>
      <c r="B66" s="40"/>
      <c r="C66" s="39"/>
      <c r="D66" s="39"/>
      <c r="E66" s="39"/>
    </row>
    <row r="67" spans="1:7" ht="15.75" hidden="1" x14ac:dyDescent="0.5">
      <c r="A67" s="2" t="s">
        <v>30</v>
      </c>
      <c r="B67" s="40"/>
      <c r="C67" s="39"/>
      <c r="D67" s="39"/>
      <c r="E67" s="39"/>
    </row>
    <row r="68" spans="1:7" ht="15.75" hidden="1" x14ac:dyDescent="0.5">
      <c r="A68" s="2" t="s">
        <v>31</v>
      </c>
      <c r="B68" s="40"/>
      <c r="C68" s="39"/>
      <c r="D68" s="39"/>
      <c r="E68" s="39"/>
    </row>
    <row r="69" spans="1:7" ht="15.75" hidden="1" x14ac:dyDescent="0.5">
      <c r="A69" s="2" t="s">
        <v>32</v>
      </c>
      <c r="B69" s="40"/>
      <c r="C69" s="39"/>
      <c r="D69" s="39"/>
      <c r="E69" s="39"/>
    </row>
    <row r="70" spans="1:7" ht="15.75" hidden="1" x14ac:dyDescent="0.5">
      <c r="A70" s="2" t="s">
        <v>33</v>
      </c>
      <c r="B70" s="40"/>
      <c r="C70" s="39"/>
      <c r="D70" s="39"/>
      <c r="E70" s="39"/>
    </row>
    <row r="71" spans="1:7" ht="15.75" hidden="1" x14ac:dyDescent="0.5">
      <c r="A71" s="2" t="s">
        <v>34</v>
      </c>
      <c r="B71" s="40"/>
      <c r="C71" s="39"/>
      <c r="D71" s="39"/>
      <c r="E71" s="39"/>
    </row>
    <row r="72" spans="1:7" ht="15.75" hidden="1" x14ac:dyDescent="0.5">
      <c r="A72" s="2" t="s">
        <v>35</v>
      </c>
      <c r="B72" s="40"/>
      <c r="C72" s="39"/>
      <c r="D72" s="39"/>
      <c r="E72" s="39"/>
    </row>
    <row r="73" spans="1:7" ht="15.75" hidden="1" x14ac:dyDescent="0.5">
      <c r="A73" s="2" t="s">
        <v>36</v>
      </c>
      <c r="B73" s="40"/>
      <c r="C73" s="39"/>
      <c r="D73" s="39"/>
      <c r="E73" s="39"/>
    </row>
    <row r="74" spans="1:7" ht="15.75" hidden="1" x14ac:dyDescent="0.5">
      <c r="A74" s="2" t="s">
        <v>37</v>
      </c>
      <c r="B74" s="40"/>
      <c r="C74" s="39"/>
      <c r="D74" s="39"/>
      <c r="E74" s="39"/>
    </row>
    <row r="75" spans="1:7" ht="15.75" hidden="1" x14ac:dyDescent="0.5">
      <c r="A75" s="2" t="s">
        <v>38</v>
      </c>
      <c r="B75" s="40"/>
      <c r="C75" s="39"/>
      <c r="D75" s="39"/>
      <c r="E75" s="39"/>
    </row>
    <row r="76" spans="1:7" ht="15.75" hidden="1" x14ac:dyDescent="0.5">
      <c r="A76" s="5" t="s">
        <v>39</v>
      </c>
      <c r="B76" s="40"/>
      <c r="C76" s="39"/>
      <c r="D76" s="39"/>
      <c r="E76" s="39"/>
    </row>
    <row r="77" spans="1:7" ht="15.75" hidden="1" x14ac:dyDescent="0.5">
      <c r="A77" s="2"/>
      <c r="B77" s="40"/>
      <c r="C77" s="39"/>
      <c r="D77" s="39"/>
      <c r="E77" s="39"/>
    </row>
    <row r="78" spans="1:7" s="22" customFormat="1" ht="15.75" x14ac:dyDescent="0.5">
      <c r="A78" s="21" t="s">
        <v>40</v>
      </c>
      <c r="B78" s="41"/>
      <c r="C78" s="42"/>
      <c r="D78" s="42"/>
      <c r="E78" s="42"/>
    </row>
    <row r="79" spans="1:7" ht="15.75" x14ac:dyDescent="0.5">
      <c r="A79" s="2" t="s">
        <v>27</v>
      </c>
      <c r="B79" s="30">
        <f>+'[8]Community Investment Sept 2025'!$G$264+'[9]Community Investment Sept 2025'!$G$298+'[10]Community Investment Sept 2025'!$G$161</f>
        <v>238417.54999999993</v>
      </c>
      <c r="C79" s="39"/>
      <c r="D79" s="39"/>
      <c r="E79" s="39"/>
      <c r="F79" s="48">
        <f>SUM(B79:E79)</f>
        <v>238417.54999999993</v>
      </c>
      <c r="G79" s="49">
        <f>+F79/1000</f>
        <v>238.41754999999992</v>
      </c>
    </row>
    <row r="80" spans="1:7" ht="15.75" x14ac:dyDescent="0.5">
      <c r="A80" s="2" t="s">
        <v>28</v>
      </c>
      <c r="B80" s="30">
        <f>+'[8]Community Investment Sept 2025'!$G$262+'[9]Community Investment Sept 2025'!$G$296+'[10]Community Investment Sept 2025'!$G$159</f>
        <v>119485</v>
      </c>
      <c r="C80" s="39"/>
      <c r="D80" s="39"/>
      <c r="E80" s="39"/>
      <c r="F80" s="48">
        <f t="shared" ref="F80:F90" si="0">SUM(B80:E80)</f>
        <v>119485</v>
      </c>
      <c r="G80" s="49">
        <f t="shared" ref="G80:G90" si="1">+F80/1000</f>
        <v>119.485</v>
      </c>
    </row>
    <row r="81" spans="1:7" ht="15.75" x14ac:dyDescent="0.5">
      <c r="A81" s="2" t="s">
        <v>29</v>
      </c>
      <c r="B81" s="30"/>
      <c r="C81" s="39"/>
      <c r="D81" s="39"/>
      <c r="E81" s="39"/>
      <c r="F81" s="48">
        <f t="shared" si="0"/>
        <v>0</v>
      </c>
      <c r="G81" s="49">
        <f t="shared" si="1"/>
        <v>0</v>
      </c>
    </row>
    <row r="82" spans="1:7" ht="15.75" x14ac:dyDescent="0.5">
      <c r="A82" s="2" t="s">
        <v>30</v>
      </c>
      <c r="B82" s="30"/>
      <c r="C82" s="39"/>
      <c r="D82" s="39"/>
      <c r="E82" s="39"/>
      <c r="F82" s="48">
        <f t="shared" si="0"/>
        <v>0</v>
      </c>
      <c r="G82" s="49">
        <f t="shared" si="1"/>
        <v>0</v>
      </c>
    </row>
    <row r="83" spans="1:7" ht="15.75" x14ac:dyDescent="0.5">
      <c r="A83" s="2" t="s">
        <v>31</v>
      </c>
      <c r="B83" s="30"/>
      <c r="C83" s="39"/>
      <c r="D83" s="39"/>
      <c r="E83" s="39"/>
      <c r="F83" s="48">
        <f t="shared" si="0"/>
        <v>0</v>
      </c>
      <c r="G83" s="49">
        <f t="shared" si="1"/>
        <v>0</v>
      </c>
    </row>
    <row r="84" spans="1:7" ht="15.75" x14ac:dyDescent="0.5">
      <c r="A84" s="2" t="s">
        <v>32</v>
      </c>
      <c r="B84" s="30"/>
      <c r="C84" s="39"/>
      <c r="D84" s="39"/>
      <c r="E84" s="39"/>
      <c r="F84" s="48">
        <f t="shared" si="0"/>
        <v>0</v>
      </c>
      <c r="G84" s="49">
        <f t="shared" si="1"/>
        <v>0</v>
      </c>
    </row>
    <row r="85" spans="1:7" ht="15.75" x14ac:dyDescent="0.5">
      <c r="A85" s="2" t="s">
        <v>33</v>
      </c>
      <c r="B85" s="30">
        <f>+'[8]Community Investment Sept 2025'!$G$266+'[9]Community Investment Sept 2025'!$G$300+'[10]Community Investment Sept 2025'!$G$163</f>
        <v>23508</v>
      </c>
      <c r="C85" s="39"/>
      <c r="D85" s="39"/>
      <c r="E85" s="39"/>
      <c r="F85" s="48">
        <f t="shared" si="0"/>
        <v>23508</v>
      </c>
      <c r="G85" s="49">
        <f t="shared" si="1"/>
        <v>23.507999999999999</v>
      </c>
    </row>
    <row r="86" spans="1:7" ht="15.75" x14ac:dyDescent="0.5">
      <c r="A86" s="2" t="s">
        <v>34</v>
      </c>
      <c r="B86" s="30"/>
      <c r="C86" s="39"/>
      <c r="D86" s="39"/>
      <c r="E86" s="39"/>
      <c r="F86" s="48">
        <f t="shared" si="0"/>
        <v>0</v>
      </c>
      <c r="G86" s="49">
        <f t="shared" si="1"/>
        <v>0</v>
      </c>
    </row>
    <row r="87" spans="1:7" ht="15.75" x14ac:dyDescent="0.5">
      <c r="A87" s="2" t="s">
        <v>35</v>
      </c>
      <c r="B87" s="30"/>
      <c r="C87" s="39"/>
      <c r="D87" s="39"/>
      <c r="E87" s="39"/>
      <c r="F87" s="48">
        <f t="shared" si="0"/>
        <v>0</v>
      </c>
      <c r="G87" s="49">
        <f t="shared" si="1"/>
        <v>0</v>
      </c>
    </row>
    <row r="88" spans="1:7" ht="15.75" x14ac:dyDescent="0.5">
      <c r="A88" s="2" t="s">
        <v>36</v>
      </c>
      <c r="B88" s="30"/>
      <c r="C88" s="39"/>
      <c r="D88" s="39"/>
      <c r="E88" s="39"/>
      <c r="F88" s="48">
        <f t="shared" si="0"/>
        <v>0</v>
      </c>
      <c r="G88" s="49">
        <f t="shared" si="1"/>
        <v>0</v>
      </c>
    </row>
    <row r="89" spans="1:7" ht="15.75" x14ac:dyDescent="0.5">
      <c r="A89" s="2" t="s">
        <v>37</v>
      </c>
      <c r="B89" s="30"/>
      <c r="C89" s="39"/>
      <c r="D89" s="39"/>
      <c r="E89" s="39"/>
      <c r="F89" s="48">
        <f t="shared" si="0"/>
        <v>0</v>
      </c>
      <c r="G89" s="49">
        <f t="shared" si="1"/>
        <v>0</v>
      </c>
    </row>
    <row r="90" spans="1:7" ht="15.75" x14ac:dyDescent="0.5">
      <c r="A90" s="2" t="s">
        <v>38</v>
      </c>
      <c r="B90" s="30">
        <f>+'[8]Community Investment Sept 2025'!$G$267+'[8]Community Investment Sept 2025'!$G$268+'[9]Community Investment Sept 2025'!$G$301+'[10]Community Investment Sept 2025'!$G$164+'[10]Community Investment Sept 2025'!$G$165</f>
        <v>332174.61</v>
      </c>
      <c r="C90" s="39"/>
      <c r="D90" s="39"/>
      <c r="E90" s="39"/>
      <c r="F90" s="48">
        <f t="shared" si="0"/>
        <v>332174.61</v>
      </c>
      <c r="G90" s="49">
        <f t="shared" si="1"/>
        <v>332.17460999999997</v>
      </c>
    </row>
    <row r="91" spans="1:7" ht="15.75" x14ac:dyDescent="0.5">
      <c r="A91" s="5" t="s">
        <v>39</v>
      </c>
      <c r="B91" s="46">
        <f>SUM(B79:B90)</f>
        <v>713585.15999999992</v>
      </c>
      <c r="C91" s="46">
        <f t="shared" ref="C91:E91" si="2">SUM(C79:C90)</f>
        <v>0</v>
      </c>
      <c r="D91" s="46">
        <f t="shared" si="2"/>
        <v>0</v>
      </c>
      <c r="E91" s="46">
        <f t="shared" si="2"/>
        <v>0</v>
      </c>
    </row>
    <row r="92" spans="1:7" ht="15.75" x14ac:dyDescent="0.5">
      <c r="A92" s="2"/>
      <c r="B92" s="27"/>
    </row>
    <row r="93" spans="1:7" s="22" customFormat="1" ht="15.75" x14ac:dyDescent="0.5">
      <c r="A93" s="21" t="s">
        <v>41</v>
      </c>
      <c r="B93" s="28"/>
      <c r="C93" s="26"/>
      <c r="E93" s="26"/>
    </row>
    <row r="94" spans="1:7" ht="15.75" x14ac:dyDescent="0.5">
      <c r="A94" s="2" t="s">
        <v>27</v>
      </c>
      <c r="B94" s="27"/>
    </row>
    <row r="95" spans="1:7" ht="15.75" x14ac:dyDescent="0.5">
      <c r="A95" s="2" t="s">
        <v>28</v>
      </c>
      <c r="B95" s="27"/>
    </row>
    <row r="96" spans="1:7" ht="15.75" x14ac:dyDescent="0.5">
      <c r="A96" s="2" t="s">
        <v>29</v>
      </c>
      <c r="B96" s="27"/>
    </row>
    <row r="97" spans="1:2" ht="15.75" x14ac:dyDescent="0.5">
      <c r="A97" s="2" t="s">
        <v>30</v>
      </c>
      <c r="B97" s="27"/>
    </row>
    <row r="98" spans="1:2" ht="15.75" x14ac:dyDescent="0.5">
      <c r="A98" s="2" t="s">
        <v>31</v>
      </c>
      <c r="B98" s="27"/>
    </row>
    <row r="99" spans="1:2" ht="15.75" x14ac:dyDescent="0.5">
      <c r="A99" s="2" t="s">
        <v>38</v>
      </c>
      <c r="B99" s="27"/>
    </row>
    <row r="100" spans="1:2" ht="15.75" x14ac:dyDescent="0.5">
      <c r="A100" s="6" t="s">
        <v>39</v>
      </c>
      <c r="B100" s="29"/>
    </row>
    <row r="101" spans="1:2" ht="15.75" x14ac:dyDescent="0.5">
      <c r="A101" s="7"/>
      <c r="B101" s="7"/>
    </row>
    <row r="102" spans="1:2" ht="15.75" x14ac:dyDescent="0.5">
      <c r="A102" s="8" t="s">
        <v>42</v>
      </c>
      <c r="B102" s="8"/>
    </row>
  </sheetData>
  <mergeCells count="4">
    <mergeCell ref="C1:C2"/>
    <mergeCell ref="B1:B2"/>
    <mergeCell ref="D1:D2"/>
    <mergeCell ref="E1:E2"/>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WGC template &amp; guidance note</vt:lpstr>
      <vt:lpstr>2025 Chamber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Priscilla Owusu</dc:creator>
  <cp:lastModifiedBy>Priscilla Owusu</cp:lastModifiedBy>
  <dcterms:created xsi:type="dcterms:W3CDTF">2022-07-29T09:47:39Z</dcterms:created>
  <dcterms:modified xsi:type="dcterms:W3CDTF">2026-05-14T17:05:26Z</dcterms:modified>
</cp:coreProperties>
</file>
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ghanachamberofminesorg-my.sharepoint.com/personal/powusu_ghanachamberofmines_org/Documents/Desktop/Priscilla/2027 Annual Report/Q1 2026/"/>
    </mc:Choice>
  </mc:AlternateContent>
  <xr:revisionPtr revIDLastSave="0" documentId="8_{6571AF62-BD7A-4FC3-B0A6-595AA8423F57}" xr6:coauthVersionLast="47" xr6:coauthVersionMax="47" xr10:uidLastSave="{00000000-0000-0000-0000-000000000000}"/>
  <bookViews>
    <workbookView xWindow="-98" yWindow="-98" windowWidth="20715" windowHeight="13155" activeTab="1" xr2:uid="{FBEF5809-C873-4F17-B4CE-1B76CACB3A5D}"/>
  </bookViews>
  <sheets>
    <sheet name="WGC template &amp; guidance note" sheetId="2" r:id="rId1"/>
    <sheet name="2026 Chamber Templat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Priscilla Owusu</author>
  </authors>
  <commentList>
    <comment ref="B33" authorId="0" shapeId="0" xr:uid="{B139BB32-DA82-47FB-A0CF-8C96EAD88701}">
      <text>
        <r>
          <rPr>
            <b/>
            <sz val="9"/>
            <color indexed="81"/>
            <rFont val="Tahoma"/>
            <family val="2"/>
          </rPr>
          <t>Priscilla Owusu:</t>
        </r>
        <r>
          <rPr>
            <sz val="9"/>
            <color indexed="81"/>
            <rFont val="Tahoma"/>
            <family val="2"/>
          </rPr>
          <t xml:space="preserve">
kindly provide the total amount paid for total power consumed in USD</t>
        </r>
      </text>
    </comment>
    <comment ref="B35" authorId="0" shapeId="0" xr:uid="{9DC2CB3A-B8D6-44F1-B500-FB85B05A1596}">
      <text>
        <r>
          <rPr>
            <b/>
            <sz val="9"/>
            <color indexed="81"/>
            <rFont val="Tahoma"/>
            <family val="2"/>
          </rPr>
          <t>Priscilla Owusu:</t>
        </r>
        <r>
          <rPr>
            <sz val="9"/>
            <color indexed="81"/>
            <rFont val="Tahoma"/>
            <family val="2"/>
          </rPr>
          <t xml:space="preserve">
kindly provide the total amount paid for total diesel consumed in USD</t>
        </r>
      </text>
    </comment>
    <comment ref="B45" authorId="0" shapeId="0" xr:uid="{D4270661-02AD-4408-9114-C37190BAC43C}">
      <text>
        <r>
          <rPr>
            <b/>
            <sz val="9"/>
            <color indexed="81"/>
            <rFont val="Tahoma"/>
            <family val="2"/>
          </rPr>
          <t>Priscilla Owusu:</t>
        </r>
        <r>
          <rPr>
            <sz val="9"/>
            <color indexed="81"/>
            <rFont val="Tahoma"/>
            <family val="2"/>
          </rPr>
          <t xml:space="preserve">
Provide all amounts in this category in dollars, please.</t>
        </r>
      </text>
    </comment>
  </commentList>
</comments>
</file>

<file path=xl/sharedStrings.xml><?xml version="1.0" encoding="utf-8"?>
<sst xmlns="http://schemas.openxmlformats.org/spreadsheetml/2006/main" count="196" uniqueCount="155">
  <si>
    <t>Quarter information from Members</t>
  </si>
  <si>
    <t>Financial Information</t>
  </si>
  <si>
    <t>Cash cost (US$/oz) for gold producing companies</t>
  </si>
  <si>
    <t>*All-in Sustaining Costs (US$/oz) for gold producing companies</t>
  </si>
  <si>
    <t>*All-in Costs (US$/oz) for gold producing companies</t>
  </si>
  <si>
    <t>How much (in USD) of your total imports (both consumables and CAPEX) did you fund from the following:</t>
  </si>
  <si>
    <t>(i) Mineral revenue retained off-shore</t>
  </si>
  <si>
    <t>(ii) Mineral revenue returned to the country</t>
  </si>
  <si>
    <t>(iii) Other Sources(please specify)</t>
  </si>
  <si>
    <t>Technical Information</t>
  </si>
  <si>
    <t>Ore Mined (tons) - Open Pit</t>
  </si>
  <si>
    <t>Average grade of gold mined (g/t) - Open Pit</t>
  </si>
  <si>
    <t>Ore mined (tons)-Underground</t>
  </si>
  <si>
    <t>Average grade of gold mined (g/t)- Underground</t>
  </si>
  <si>
    <t>Ore Processed (tons)  - Plant Production</t>
  </si>
  <si>
    <t>Average Mill head grade (g/t)</t>
  </si>
  <si>
    <t>Recovery Rate (%)</t>
  </si>
  <si>
    <t>Mineral Production (in oz for gold and in tons for bauxite and manganese)- Mine Production</t>
  </si>
  <si>
    <t>Mineral Exported( in oz for gold and in tons for bauxite and manganese)</t>
  </si>
  <si>
    <t>Electrical Power consumed (Kw-hr)</t>
  </si>
  <si>
    <t>Electrical Power; Maximum Demand (KVA)</t>
  </si>
  <si>
    <t>Human Resource Information</t>
  </si>
  <si>
    <t>Number of Ghanaian Employees @ End of Quarter</t>
  </si>
  <si>
    <t>Gross Salary of all Staff - US$</t>
  </si>
  <si>
    <t>Provident Fund (Company's contribution) - US$</t>
  </si>
  <si>
    <t>Other Payments-bonuses, overtime etc (US$)</t>
  </si>
  <si>
    <t>Socio-economic Contributions to Community ex Company's Budget (US$)</t>
  </si>
  <si>
    <t>Education</t>
  </si>
  <si>
    <t>Health</t>
  </si>
  <si>
    <t>Electricity</t>
  </si>
  <si>
    <t>Roads</t>
  </si>
  <si>
    <t>Water</t>
  </si>
  <si>
    <t>Housing</t>
  </si>
  <si>
    <t>Agro-Industry</t>
  </si>
  <si>
    <t>Agriculture</t>
  </si>
  <si>
    <t>Sanitation</t>
  </si>
  <si>
    <t>Resettlement Action Plan (RAP)</t>
  </si>
  <si>
    <t>Alternative Livelihood Projects (please specify)</t>
  </si>
  <si>
    <t>Others (please specify)</t>
  </si>
  <si>
    <t>Total</t>
  </si>
  <si>
    <t>Socio-economic Contributions to Community ex Company's Trust Fund for Host Community (US$)</t>
  </si>
  <si>
    <t>Socio-economic Contributions to General Public (US$)</t>
  </si>
  <si>
    <t>* refer to WGC template and guidance note sheet</t>
  </si>
  <si>
    <t>US $ / gold ounces sold</t>
  </si>
  <si>
    <t>On-Site Mining Costs (on a sales basis)</t>
  </si>
  <si>
    <t>Income Statement</t>
  </si>
  <si>
    <t>(a)</t>
  </si>
  <si>
    <t>On-Site General &amp; Administrative costs</t>
  </si>
  <si>
    <t>(b)</t>
  </si>
  <si>
    <t>Royalties &amp; Production Taxes</t>
  </si>
  <si>
    <t>(c)</t>
  </si>
  <si>
    <t>Realised Gains/Losses on Hedges due to operating costs</t>
  </si>
  <si>
    <t>(d)</t>
  </si>
  <si>
    <t>Community Costs related to current operations</t>
  </si>
  <si>
    <t>(e)</t>
  </si>
  <si>
    <t>Permitting Costs related to current operations</t>
  </si>
  <si>
    <t>(f)</t>
  </si>
  <si>
    <r>
      <t>3</t>
    </r>
    <r>
      <rPr>
        <sz val="6"/>
        <color theme="1"/>
        <rFont val="Arial"/>
        <family val="2"/>
      </rPr>
      <t xml:space="preserve">rd </t>
    </r>
    <r>
      <rPr>
        <sz val="9"/>
        <color theme="1"/>
        <rFont val="Arial"/>
        <family val="2"/>
      </rPr>
      <t>party smelting, refining and transport costs</t>
    </r>
  </si>
  <si>
    <t>(g)</t>
  </si>
  <si>
    <t>Non-Cash Remuneration (Site-Based)</t>
  </si>
  <si>
    <t>(h)</t>
  </si>
  <si>
    <t>Stock-piles / product inventory write down</t>
  </si>
  <si>
    <t>(i)</t>
  </si>
  <si>
    <t>Operational Stripping Costs</t>
  </si>
  <si>
    <t>(j)</t>
  </si>
  <si>
    <t>By-Product Credits</t>
  </si>
  <si>
    <r>
      <t xml:space="preserve">(k) </t>
    </r>
    <r>
      <rPr>
        <i/>
        <sz val="9"/>
        <color theme="1"/>
        <rFont val="Arial"/>
        <family val="2"/>
      </rPr>
      <t>Note: this will be a credit</t>
    </r>
  </si>
  <si>
    <t>Sub-Total (Adjusted Operating Costs)</t>
  </si>
  <si>
    <t>(l) = (a) + (b) + (c) + (d) + (e)</t>
  </si>
  <si>
    <t>+ (f) + (g) + (h) + (i) + (j) + (k)</t>
  </si>
  <si>
    <t>Corporate General &amp; Administrative costs</t>
  </si>
  <si>
    <t>(m)</t>
  </si>
  <si>
    <t>(including share-based remuneration)</t>
  </si>
  <si>
    <t>Reclamation &amp; remediation – accretion &amp;</t>
  </si>
  <si>
    <t>(n)</t>
  </si>
  <si>
    <t>amortisation (operating sites)</t>
  </si>
  <si>
    <t>Exploration and study costs (sustaining)</t>
  </si>
  <si>
    <t>(o)</t>
  </si>
  <si>
    <t>Capital exploration (sustaining)</t>
  </si>
  <si>
    <t>Cash  Flow</t>
  </si>
  <si>
    <t>(p)</t>
  </si>
  <si>
    <t>Capitalised stripping &amp; underground mine development (sustaining)</t>
  </si>
  <si>
    <t>Cash Flow</t>
  </si>
  <si>
    <t>(q)</t>
  </si>
  <si>
    <t>Capital expenditure (sustaining)</t>
  </si>
  <si>
    <t>(r)</t>
  </si>
  <si>
    <t>All-in Sustaining Costs</t>
  </si>
  <si>
    <t>(s) = (l) + (m) + (n) + (o) + (p)</t>
  </si>
  <si>
    <t>+ (q) + (r)</t>
  </si>
  <si>
    <r>
      <t xml:space="preserve">Community Costs </t>
    </r>
    <r>
      <rPr>
        <u/>
        <sz val="9"/>
        <color theme="1"/>
        <rFont val="Arial"/>
        <family val="2"/>
      </rPr>
      <t>not</t>
    </r>
    <r>
      <rPr>
        <sz val="9"/>
        <color theme="1"/>
        <rFont val="Arial"/>
        <family val="2"/>
      </rPr>
      <t xml:space="preserve"> related to current operations</t>
    </r>
  </si>
  <si>
    <t>(t)</t>
  </si>
  <si>
    <r>
      <t xml:space="preserve">Permitting Costs </t>
    </r>
    <r>
      <rPr>
        <u/>
        <sz val="9"/>
        <color theme="1"/>
        <rFont val="Arial"/>
        <family val="2"/>
      </rPr>
      <t>not</t>
    </r>
    <r>
      <rPr>
        <sz val="9"/>
        <color theme="1"/>
        <rFont val="Arial"/>
        <family val="2"/>
      </rPr>
      <t xml:space="preserve"> related to current operations</t>
    </r>
  </si>
  <si>
    <t>(u)</t>
  </si>
  <si>
    <r>
      <t xml:space="preserve">Reclamation and remediation costs </t>
    </r>
    <r>
      <rPr>
        <u/>
        <sz val="9"/>
        <color theme="1"/>
        <rFont val="Arial"/>
        <family val="2"/>
      </rPr>
      <t>not</t>
    </r>
    <r>
      <rPr>
        <sz val="9"/>
        <color theme="1"/>
        <rFont val="Arial"/>
        <family val="2"/>
      </rPr>
      <t xml:space="preserve"> related to current operations</t>
    </r>
  </si>
  <si>
    <t>(v)</t>
  </si>
  <si>
    <t>Exploration and study costs (non-sustaining)</t>
  </si>
  <si>
    <t>(w)</t>
  </si>
  <si>
    <t>Capital exploration (non-sustaining)</t>
  </si>
  <si>
    <t>(x)</t>
  </si>
  <si>
    <t>Capitalised stripping &amp; underground mine development (non-sustaining)</t>
  </si>
  <si>
    <t>(y)</t>
  </si>
  <si>
    <t>Capital expenditure (non-sustaining)</t>
  </si>
  <si>
    <t>(z)</t>
  </si>
  <si>
    <t>All-in Costs</t>
  </si>
  <si>
    <t>= (s) + (t) + (u) + (v) + (w) + (x) + (y) + (z)</t>
  </si>
  <si>
    <t>NOTE:</t>
  </si>
  <si>
    <r>
      <rPr>
        <b/>
        <sz val="11"/>
        <color theme="1"/>
        <rFont val="Calibri"/>
        <family val="2"/>
        <scheme val="minor"/>
      </rPr>
      <t>1.</t>
    </r>
    <r>
      <rPr>
        <sz val="11"/>
        <color theme="1"/>
        <rFont val="Calibri"/>
        <family val="2"/>
        <scheme val="minor"/>
      </rPr>
      <t xml:space="preserve">  All companies using this guidance are encouraged to disclose both their all-in sustaining costs and all-in costs and reconcile these metrics to their GAAP reporting. It is not expected that companies will disclose all individual cost items.</t>
    </r>
  </si>
  <si>
    <t>The use of  the sub-total (adjusted operating costs) may be helpful for certain companies  in providing reconciliation to historical metrics but it is not expected that all companies will provide disclosure at this level. The sub-total (adjusted operating costs) metric may not be directly comparable across companies, for example, because of differences between IFRS and US GAAP.</t>
  </si>
  <si>
    <r>
      <rPr>
        <b/>
        <sz val="11"/>
        <color theme="1"/>
        <rFont val="Calibri"/>
        <family val="2"/>
        <scheme val="minor"/>
      </rPr>
      <t>2.</t>
    </r>
    <r>
      <rPr>
        <sz val="11"/>
        <color theme="1"/>
        <rFont val="Calibri"/>
        <family val="2"/>
        <scheme val="minor"/>
      </rPr>
      <t xml:space="preserve">  It is recognised that accretion related to asset retirement obligations ("ARO") and amortisation of the ARO assets for reclamation and remediation do not reflect annual cash outflows but these accounting calculations are considered to be more representative of the periodic costs of reclamation and remediation.</t>
    </r>
  </si>
  <si>
    <r>
      <rPr>
        <b/>
        <sz val="11"/>
        <color theme="1"/>
        <rFont val="Calibri"/>
        <family val="2"/>
        <scheme val="minor"/>
      </rPr>
      <t xml:space="preserve">3.  </t>
    </r>
    <r>
      <rPr>
        <sz val="11"/>
        <color theme="1"/>
        <rFont val="Calibri"/>
        <family val="2"/>
        <scheme val="minor"/>
      </rPr>
      <t>Non-sustaining costs are those costs incurred at new operations and costs related to 'major projects' at existing operations where these projects will materially increase production. Companies need to publicly disclose those operations and 'major projects' which are considered non- sustaining. All other costs related to existing operations are considered sustaining.</t>
    </r>
  </si>
  <si>
    <r>
      <rPr>
        <b/>
        <sz val="11"/>
        <color theme="1"/>
        <rFont val="Calibri"/>
        <family val="2"/>
        <scheme val="minor"/>
      </rPr>
      <t>4.</t>
    </r>
    <r>
      <rPr>
        <sz val="11"/>
        <color theme="1"/>
        <rFont val="Calibri"/>
        <family val="2"/>
        <scheme val="minor"/>
      </rPr>
      <t xml:space="preserve"> Costs should be reported on the same basis as sales (i.e. if sales figures are reported on a consolidated basis, costs should be reported on a consolidated basis; if sales figures are reported on an attributable basis, costs should be reported on an attributable basis).</t>
    </r>
  </si>
  <si>
    <r>
      <rPr>
        <b/>
        <sz val="11"/>
        <color theme="1"/>
        <rFont val="Calibri"/>
        <family val="2"/>
        <scheme val="minor"/>
      </rPr>
      <t>5.</t>
    </r>
    <r>
      <rPr>
        <sz val="11"/>
        <color theme="1"/>
        <rFont val="Calibri"/>
        <family val="2"/>
        <scheme val="minor"/>
      </rPr>
      <t xml:space="preserve"> Costs Excluded</t>
    </r>
  </si>
  <si>
    <t>The following costs are excluded from the guidance:</t>
  </si>
  <si>
    <t>o  Income tax.</t>
  </si>
  <si>
    <t>o  Working capital (except for adjustments to inventory on a sales basis).</t>
  </si>
  <si>
    <t>o  All financing charges (including capitalised interest).</t>
  </si>
  <si>
    <t>o  Costs related to business combinations, asset acquisitions and asset disposals.</t>
  </si>
  <si>
    <t>o  Items needed to normalise earnings, for example impairments on non-current assets and one- time material severance charges. Costs related to any of the listed line-items used to calculate all-in costs in the above table should not be excluded.</t>
  </si>
  <si>
    <t>Number of Expatriates @ End of Quarter</t>
  </si>
  <si>
    <t xml:space="preserve">Social Security Payments (Company's contribution) </t>
  </si>
  <si>
    <t xml:space="preserve">Employee Income Tax Payments </t>
  </si>
  <si>
    <t xml:space="preserve">Property Rates Payments </t>
  </si>
  <si>
    <t xml:space="preserve">Ground Rent </t>
  </si>
  <si>
    <t>Customs Duty</t>
  </si>
  <si>
    <t>Customs Processing Fee</t>
  </si>
  <si>
    <t xml:space="preserve">Concessionnary Levy (5% on Imports) </t>
  </si>
  <si>
    <t>Export Development Levy</t>
  </si>
  <si>
    <t>ECOWAS Levy</t>
  </si>
  <si>
    <t>Dividends paid to the State</t>
  </si>
  <si>
    <t>Corporate Tax</t>
  </si>
  <si>
    <t>Withholding tax on Dividends, interest and services</t>
  </si>
  <si>
    <t>Dividends Paid to Other Shareholders</t>
  </si>
  <si>
    <t>Retained Earnings</t>
  </si>
  <si>
    <t>CAPEX</t>
  </si>
  <si>
    <t>Others - please specify</t>
  </si>
  <si>
    <t>Statutory Payments (US$)</t>
  </si>
  <si>
    <t>Volume of Diesel Consumed  by Mine and Contractors in (Litres)</t>
  </si>
  <si>
    <t>Total Amount Paid for Diesel Consumed in US$</t>
  </si>
  <si>
    <t>Total Amount Paid for Electric Power Consumed in US$</t>
  </si>
  <si>
    <t>Mineral Production value ( USD)</t>
  </si>
  <si>
    <t>Mineral Exported value  (USD)</t>
  </si>
  <si>
    <t>Amount for amortizing loans, including interest payments (USD)</t>
  </si>
  <si>
    <t>Amount spent on Imported Consumables (USD)</t>
  </si>
  <si>
    <t>Local Purchases of goods (excluding Diesel &amp; Electric Power) (USD)</t>
  </si>
  <si>
    <t>Local Purchase of Services &amp; Contracts for handling ore, security etc. (USD)</t>
  </si>
  <si>
    <t>Mineral Revenue Returned to the Country through Bank of Ghana (Mandatory Surrender)  (USD)</t>
  </si>
  <si>
    <t>Mineral Revenue Returned to the Country through Commercial Banks (Voluntary Repatriation) (USD)</t>
  </si>
  <si>
    <t xml:space="preserve">Mineral Royalty Payments </t>
  </si>
  <si>
    <t>Quarter 1</t>
  </si>
  <si>
    <t>Quarter 2</t>
  </si>
  <si>
    <t>Quarter 3</t>
  </si>
  <si>
    <t>Quarter 4</t>
  </si>
  <si>
    <r>
      <t xml:space="preserve">Company Name: </t>
    </r>
    <r>
      <rPr>
        <b/>
        <sz val="12"/>
        <rFont val="Calibri"/>
        <family val="2"/>
        <scheme val="minor"/>
      </rPr>
      <t>AngloGold Ashanti GH Limited - Obuasi Mine</t>
    </r>
  </si>
  <si>
    <t>Ghana Chamber of Mines 2026</t>
  </si>
  <si>
    <t>Full Year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</si>
</sst>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5" x14ac:knownFonts="1">
    <font>
      <sz val="11"/>
      <color theme="1"/>
      <name val="Calibri"/>
      <family val="2"/>
      <scheme val="minor"/>
    </font>
    <font>
      <b/>
      <sz val="11"/>
      <color theme="1"/>
      <name val="Calibri"/>
      <family val="2"/>
      <scheme val="minor"/>
    </font>
    <font>
      <b/>
      <sz val="16"/>
      <name val="Calibri"/>
      <family val="2"/>
      <scheme val="minor"/>
    </font>
    <font>
      <sz val="12"/>
      <name val="Calibri"/>
      <family val="2"/>
      <scheme val="minor"/>
    </font>
    <font>
      <b/>
      <sz val="12"/>
      <name val="Calibri"/>
      <family val="2"/>
      <scheme val="minor"/>
    </font>
    <font>
      <sz val="11"/>
      <name val="Calibri"/>
      <family val="2"/>
      <scheme val="minor"/>
    </font>
    <font>
      <sz val="12"/>
      <color theme="1"/>
      <name val="Times New Roman"/>
      <family val="1"/>
    </font>
    <font>
      <b/>
      <sz val="9"/>
      <color theme="1"/>
      <name val="Arial"/>
      <family val="2"/>
    </font>
    <font>
      <sz val="9"/>
      <color theme="1"/>
      <name val="Arial"/>
      <family val="2"/>
    </font>
    <font>
      <sz val="6"/>
      <color theme="1"/>
      <name val="Arial"/>
      <family val="2"/>
    </font>
    <font>
      <i/>
      <sz val="9"/>
      <color theme="1"/>
      <name val="Arial"/>
      <family val="2"/>
    </font>
    <font>
      <u/>
      <sz val="9"/>
      <color theme="1"/>
      <name val="Arial"/>
      <family val="2"/>
    </font>
    <font>
      <sz val="9"/>
      <color indexed="81"/>
      <name val="Tahoma"/>
      <family val="2"/>
    </font>
    <font>
      <b/>
      <sz val="9"/>
      <color indexed="81"/>
      <name val="Tahoma"/>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tint="0.499984740745262"/>
        <bgColor indexed="64"/>
      </patternFill>
    </fill>
  </fills>
  <borders count="11">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s>
  <cellStyleXfs count="2">
    <xf numFmtId="0" fontId="0" fillId="0" borderId="0"/>
    <xf numFmtId="164" fontId="14" fillId="0" borderId="0" applyFont="0" applyFill="0" applyBorder="0" applyAlignment="0" applyProtection="0"/>
  </cellStyleXfs>
  <cellXfs count="40">
    <xf numFmtId="0" fontId="0" fillId="0" borderId="0" xfId="0"/>
    <xf numFmtId="0" fontId="2" fillId="0" borderId="1" xfId="0" applyFont="1" applyBorder="1"/>
    <xf numFmtId="0" fontId="3" fillId="0" borderId="2" xfId="0" applyFont="1" applyBorder="1"/>
    <xf numFmtId="0" fontId="4" fillId="0" borderId="2" xfId="0" applyFont="1" applyBorder="1"/>
    <xf numFmtId="0" fontId="5" fillId="0" borderId="2" xfId="0" applyFont="1" applyBorder="1"/>
    <xf numFmtId="0" fontId="3" fillId="0" borderId="3" xfId="0" applyFont="1" applyBorder="1"/>
    <xf numFmtId="0" fontId="4" fillId="0" borderId="3" xfId="0" applyFont="1" applyBorder="1"/>
    <xf numFmtId="0" fontId="3" fillId="0" borderId="0" xfId="0" applyFont="1"/>
    <xf numFmtId="0" fontId="4" fillId="0" borderId="0" xfId="0" applyFont="1"/>
    <xf numFmtId="0" fontId="6" fillId="0" borderId="4" xfId="0" applyFont="1" applyBorder="1" applyAlignment="1">
      <alignment vertical="top" wrapText="1"/>
    </xf>
    <xf numFmtId="0" fontId="6" fillId="0" borderId="5" xfId="0" applyFont="1" applyBorder="1" applyAlignment="1">
      <alignment vertical="top" wrapText="1"/>
    </xf>
    <xf numFmtId="0" fontId="7" fillId="0" borderId="5" xfId="0" applyFont="1" applyBorder="1" applyAlignment="1">
      <alignment vertical="top" wrapText="1"/>
    </xf>
    <xf numFmtId="0" fontId="6" fillId="0" borderId="6" xfId="0" applyFont="1" applyBorder="1" applyAlignment="1">
      <alignment vertical="top" wrapText="1"/>
    </xf>
    <xf numFmtId="0" fontId="6" fillId="0" borderId="7" xfId="0" applyFont="1" applyBorder="1" applyAlignment="1">
      <alignment vertical="top" wrapText="1"/>
    </xf>
    <xf numFmtId="0" fontId="8" fillId="0" borderId="6" xfId="0" applyFont="1" applyBorder="1" applyAlignment="1">
      <alignment vertical="top" wrapText="1"/>
    </xf>
    <xf numFmtId="0" fontId="8" fillId="0" borderId="7" xfId="0" applyFont="1" applyBorder="1" applyAlignment="1">
      <alignment vertical="top" wrapText="1"/>
    </xf>
    <xf numFmtId="0" fontId="8" fillId="0" borderId="9" xfId="0" applyFont="1" applyBorder="1" applyAlignment="1">
      <alignment vertical="top" wrapText="1"/>
    </xf>
    <xf numFmtId="0" fontId="8" fillId="0" borderId="10" xfId="0" applyFont="1" applyBorder="1" applyAlignment="1">
      <alignment vertical="top" wrapText="1"/>
    </xf>
    <xf numFmtId="0" fontId="7" fillId="0" borderId="6" xfId="0" applyFont="1" applyBorder="1" applyAlignment="1">
      <alignment vertical="top" wrapText="1"/>
    </xf>
    <xf numFmtId="0" fontId="8" fillId="0" borderId="7" xfId="0" quotePrefix="1" applyFont="1" applyBorder="1" applyAlignment="1">
      <alignment vertical="top" wrapText="1"/>
    </xf>
    <xf numFmtId="0" fontId="1" fillId="0" borderId="0" xfId="0" applyFont="1"/>
    <xf numFmtId="0" fontId="4" fillId="3" borderId="2" xfId="0" applyFont="1" applyFill="1" applyBorder="1"/>
    <xf numFmtId="0" fontId="0" fillId="3" borderId="0" xfId="0" applyFill="1"/>
    <xf numFmtId="0" fontId="0" fillId="2" borderId="0" xfId="0" applyFill="1"/>
    <xf numFmtId="0" fontId="3" fillId="2" borderId="2" xfId="0" applyFont="1" applyFill="1" applyBorder="1"/>
    <xf numFmtId="165" fontId="0" fillId="0" borderId="0" xfId="1" applyNumberFormat="1" applyFont="1"/>
    <xf numFmtId="165" fontId="0" fillId="0" borderId="0" xfId="1" applyNumberFormat="1" applyFont="1" applyFill="1"/>
    <xf numFmtId="164" fontId="0" fillId="0" borderId="0" xfId="1" applyFont="1"/>
    <xf numFmtId="165" fontId="0" fillId="2" borderId="0" xfId="1" applyNumberFormat="1" applyFont="1" applyFill="1"/>
    <xf numFmtId="165" fontId="1" fillId="0" borderId="0" xfId="1" applyNumberFormat="1" applyFont="1"/>
    <xf numFmtId="165" fontId="1" fillId="0" borderId="0" xfId="0" applyNumberFormat="1" applyFont="1"/>
    <xf numFmtId="165" fontId="0" fillId="0" borderId="0" xfId="1" applyNumberFormat="1" applyFont="1" applyAlignment="1">
      <alignment horizontal="right"/>
    </xf>
    <xf numFmtId="0" fontId="10" fillId="0" borderId="8" xfId="0" applyFont="1" applyBorder="1" applyAlignment="1">
      <alignment vertical="top" wrapText="1"/>
    </xf>
    <xf numFmtId="0" fontId="10" fillId="0" borderId="6" xfId="0" applyFont="1" applyBorder="1" applyAlignment="1">
      <alignment vertical="top" wrapText="1"/>
    </xf>
    <xf numFmtId="0" fontId="6" fillId="0" borderId="8" xfId="0" applyFont="1" applyBorder="1" applyAlignment="1">
      <alignment vertical="top" wrapText="1"/>
    </xf>
    <xf numFmtId="0" fontId="6" fillId="0" borderId="6" xfId="0" applyFont="1" applyBorder="1" applyAlignment="1">
      <alignment vertical="top" wrapText="1"/>
    </xf>
    <xf numFmtId="0" fontId="8" fillId="0" borderId="8" xfId="0" applyFont="1" applyBorder="1" applyAlignment="1">
      <alignment vertical="top" wrapText="1"/>
    </xf>
    <xf numFmtId="0" fontId="8" fillId="0" borderId="6" xfId="0" applyFont="1" applyBorder="1" applyAlignment="1">
      <alignment vertical="top" wrapText="1"/>
    </xf>
    <xf numFmtId="0" fontId="7" fillId="0" borderId="8" xfId="0" applyFont="1" applyBorder="1" applyAlignment="1">
      <alignment vertical="top" wrapText="1"/>
    </xf>
    <xf numFmtId="0" fontId="7" fillId="0" borderId="6" xfId="0" applyFont="1" applyBorder="1" applyAlignment="1">
      <alignmen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3CE9F-7A77-407E-966E-B2FFD6D3B3FC}">
  <dimension ref="A1:C56"/>
  <sheetViews>
    <sheetView topLeftCell="A4" workbookViewId="0">
      <selection activeCell="E6" sqref="E6"/>
    </sheetView>
  </sheetViews>
  <sheetFormatPr defaultColWidth="9.1328125" defaultRowHeight="14.25" x14ac:dyDescent="0.45"/>
  <cols>
    <col min="1" max="1" width="37.1328125" customWidth="1"/>
    <col min="2" max="2" width="33.46484375" customWidth="1"/>
    <col min="3" max="3" width="35.796875" customWidth="1"/>
  </cols>
  <sheetData>
    <row r="1" spans="1:3" ht="14.65" thickBot="1" x14ac:dyDescent="0.5"/>
    <row r="2" spans="1:3" ht="15.75" thickBot="1" x14ac:dyDescent="0.5">
      <c r="A2" s="9"/>
      <c r="B2" s="10"/>
      <c r="C2" s="11" t="s">
        <v>43</v>
      </c>
    </row>
    <row r="3" spans="1:3" ht="15.75" thickBot="1" x14ac:dyDescent="0.5">
      <c r="A3" s="12"/>
      <c r="B3" s="13"/>
      <c r="C3" s="13"/>
    </row>
    <row r="4" spans="1:3" ht="14.65" thickBot="1" x14ac:dyDescent="0.5">
      <c r="A4" s="14" t="s">
        <v>44</v>
      </c>
      <c r="B4" s="15" t="s">
        <v>45</v>
      </c>
      <c r="C4" s="15" t="s">
        <v>46</v>
      </c>
    </row>
    <row r="5" spans="1:3" ht="14.65" thickBot="1" x14ac:dyDescent="0.5">
      <c r="A5" s="14" t="s">
        <v>47</v>
      </c>
      <c r="B5" s="15" t="s">
        <v>45</v>
      </c>
      <c r="C5" s="15" t="s">
        <v>48</v>
      </c>
    </row>
    <row r="6" spans="1:3" ht="14.65" thickBot="1" x14ac:dyDescent="0.5">
      <c r="A6" s="14" t="s">
        <v>49</v>
      </c>
      <c r="B6" s="15" t="s">
        <v>45</v>
      </c>
      <c r="C6" s="15" t="s">
        <v>50</v>
      </c>
    </row>
    <row r="7" spans="1:3" ht="23.65" thickBot="1" x14ac:dyDescent="0.5">
      <c r="A7" s="14" t="s">
        <v>51</v>
      </c>
      <c r="B7" s="15" t="s">
        <v>45</v>
      </c>
      <c r="C7" s="15" t="s">
        <v>52</v>
      </c>
    </row>
    <row r="8" spans="1:3" ht="14.65" thickBot="1" x14ac:dyDescent="0.5">
      <c r="A8" s="14" t="s">
        <v>53</v>
      </c>
      <c r="B8" s="15" t="s">
        <v>45</v>
      </c>
      <c r="C8" s="15" t="s">
        <v>54</v>
      </c>
    </row>
    <row r="9" spans="1:3" ht="14.65" thickBot="1" x14ac:dyDescent="0.5">
      <c r="A9" s="14" t="s">
        <v>55</v>
      </c>
      <c r="B9" s="15" t="s">
        <v>45</v>
      </c>
      <c r="C9" s="15" t="s">
        <v>56</v>
      </c>
    </row>
    <row r="10" spans="1:3" ht="14.65" thickBot="1" x14ac:dyDescent="0.5">
      <c r="A10" s="14" t="s">
        <v>57</v>
      </c>
      <c r="B10" s="15" t="s">
        <v>45</v>
      </c>
      <c r="C10" s="15" t="s">
        <v>58</v>
      </c>
    </row>
    <row r="11" spans="1:3" ht="14.65" thickBot="1" x14ac:dyDescent="0.5">
      <c r="A11" s="14" t="s">
        <v>59</v>
      </c>
      <c r="B11" s="15" t="s">
        <v>45</v>
      </c>
      <c r="C11" s="15" t="s">
        <v>60</v>
      </c>
    </row>
    <row r="12" spans="1:3" ht="14.65" thickBot="1" x14ac:dyDescent="0.5">
      <c r="A12" s="14" t="s">
        <v>61</v>
      </c>
      <c r="B12" s="15" t="s">
        <v>45</v>
      </c>
      <c r="C12" s="15" t="s">
        <v>62</v>
      </c>
    </row>
    <row r="13" spans="1:3" ht="14.65" thickBot="1" x14ac:dyDescent="0.5">
      <c r="A13" s="14" t="s">
        <v>63</v>
      </c>
      <c r="B13" s="15" t="s">
        <v>45</v>
      </c>
      <c r="C13" s="15" t="s">
        <v>64</v>
      </c>
    </row>
    <row r="14" spans="1:3" ht="14.65" thickBot="1" x14ac:dyDescent="0.5">
      <c r="A14" s="14" t="s">
        <v>65</v>
      </c>
      <c r="B14" s="15" t="s">
        <v>45</v>
      </c>
      <c r="C14" s="15" t="s">
        <v>66</v>
      </c>
    </row>
    <row r="15" spans="1:3" x14ac:dyDescent="0.45">
      <c r="A15" s="32" t="s">
        <v>67</v>
      </c>
      <c r="B15" s="34"/>
      <c r="C15" s="16" t="s">
        <v>68</v>
      </c>
    </row>
    <row r="16" spans="1:3" ht="14.65" thickBot="1" x14ac:dyDescent="0.5">
      <c r="A16" s="33"/>
      <c r="B16" s="35"/>
      <c r="C16" s="15" t="s">
        <v>69</v>
      </c>
    </row>
    <row r="17" spans="1:3" ht="15.75" thickBot="1" x14ac:dyDescent="0.5">
      <c r="A17" s="12"/>
      <c r="B17" s="13"/>
      <c r="C17" s="13"/>
    </row>
    <row r="18" spans="1:3" x14ac:dyDescent="0.45">
      <c r="A18" s="17" t="s">
        <v>70</v>
      </c>
      <c r="B18" s="36" t="s">
        <v>45</v>
      </c>
      <c r="C18" s="36" t="s">
        <v>71</v>
      </c>
    </row>
    <row r="19" spans="1:3" ht="14.65" thickBot="1" x14ac:dyDescent="0.5">
      <c r="A19" s="14" t="s">
        <v>72</v>
      </c>
      <c r="B19" s="37"/>
      <c r="C19" s="37"/>
    </row>
    <row r="20" spans="1:3" x14ac:dyDescent="0.45">
      <c r="A20" s="17" t="s">
        <v>73</v>
      </c>
      <c r="B20" s="36" t="s">
        <v>45</v>
      </c>
      <c r="C20" s="36" t="s">
        <v>74</v>
      </c>
    </row>
    <row r="21" spans="1:3" ht="14.65" thickBot="1" x14ac:dyDescent="0.5">
      <c r="A21" s="14" t="s">
        <v>75</v>
      </c>
      <c r="B21" s="37"/>
      <c r="C21" s="37"/>
    </row>
    <row r="22" spans="1:3" ht="14.65" thickBot="1" x14ac:dyDescent="0.5">
      <c r="A22" s="14" t="s">
        <v>76</v>
      </c>
      <c r="B22" s="15" t="s">
        <v>45</v>
      </c>
      <c r="C22" s="15" t="s">
        <v>77</v>
      </c>
    </row>
    <row r="23" spans="1:3" ht="14.65" thickBot="1" x14ac:dyDescent="0.5">
      <c r="A23" s="14" t="s">
        <v>78</v>
      </c>
      <c r="B23" s="15" t="s">
        <v>79</v>
      </c>
      <c r="C23" s="15" t="s">
        <v>80</v>
      </c>
    </row>
    <row r="24" spans="1:3" ht="23.65" thickBot="1" x14ac:dyDescent="0.5">
      <c r="A24" s="14" t="s">
        <v>81</v>
      </c>
      <c r="B24" s="15" t="s">
        <v>82</v>
      </c>
      <c r="C24" s="15" t="s">
        <v>83</v>
      </c>
    </row>
    <row r="25" spans="1:3" ht="14.65" thickBot="1" x14ac:dyDescent="0.5">
      <c r="A25" s="14" t="s">
        <v>84</v>
      </c>
      <c r="B25" s="15" t="s">
        <v>82</v>
      </c>
      <c r="C25" s="15" t="s">
        <v>85</v>
      </c>
    </row>
    <row r="26" spans="1:3" x14ac:dyDescent="0.45">
      <c r="A26" s="38" t="s">
        <v>86</v>
      </c>
      <c r="B26" s="34"/>
      <c r="C26" s="16" t="s">
        <v>87</v>
      </c>
    </row>
    <row r="27" spans="1:3" ht="14.65" thickBot="1" x14ac:dyDescent="0.5">
      <c r="A27" s="39"/>
      <c r="B27" s="35"/>
      <c r="C27" s="15" t="s">
        <v>88</v>
      </c>
    </row>
    <row r="28" spans="1:3" ht="15.75" thickBot="1" x14ac:dyDescent="0.5">
      <c r="A28" s="12"/>
      <c r="B28" s="13"/>
      <c r="C28" s="13"/>
    </row>
    <row r="29" spans="1:3" ht="23.65" thickBot="1" x14ac:dyDescent="0.5">
      <c r="A29" s="14" t="s">
        <v>89</v>
      </c>
      <c r="B29" s="15" t="s">
        <v>45</v>
      </c>
      <c r="C29" s="15" t="s">
        <v>90</v>
      </c>
    </row>
    <row r="30" spans="1:3" ht="14.65" thickBot="1" x14ac:dyDescent="0.5">
      <c r="A30" s="14" t="s">
        <v>91</v>
      </c>
      <c r="B30" s="15" t="s">
        <v>45</v>
      </c>
      <c r="C30" s="15" t="s">
        <v>92</v>
      </c>
    </row>
    <row r="31" spans="1:3" ht="23.65" thickBot="1" x14ac:dyDescent="0.5">
      <c r="A31" s="14" t="s">
        <v>93</v>
      </c>
      <c r="B31" s="15" t="s">
        <v>45</v>
      </c>
      <c r="C31" s="15" t="s">
        <v>94</v>
      </c>
    </row>
    <row r="32" spans="1:3" ht="14.65" thickBot="1" x14ac:dyDescent="0.5">
      <c r="A32" s="14" t="s">
        <v>95</v>
      </c>
      <c r="B32" s="15" t="s">
        <v>45</v>
      </c>
      <c r="C32" s="15" t="s">
        <v>96</v>
      </c>
    </row>
    <row r="33" spans="1:3" ht="14.65" thickBot="1" x14ac:dyDescent="0.5">
      <c r="A33" s="14" t="s">
        <v>97</v>
      </c>
      <c r="B33" s="15" t="s">
        <v>82</v>
      </c>
      <c r="C33" s="15" t="s">
        <v>98</v>
      </c>
    </row>
    <row r="34" spans="1:3" ht="23.65" thickBot="1" x14ac:dyDescent="0.5">
      <c r="A34" s="14" t="s">
        <v>99</v>
      </c>
      <c r="B34" s="15" t="s">
        <v>82</v>
      </c>
      <c r="C34" s="15" t="s">
        <v>100</v>
      </c>
    </row>
    <row r="35" spans="1:3" ht="14.65" thickBot="1" x14ac:dyDescent="0.5">
      <c r="A35" s="14" t="s">
        <v>101</v>
      </c>
      <c r="B35" s="15" t="s">
        <v>82</v>
      </c>
      <c r="C35" s="15" t="s">
        <v>102</v>
      </c>
    </row>
    <row r="36" spans="1:3" ht="15.75" thickBot="1" x14ac:dyDescent="0.5">
      <c r="A36" s="12"/>
      <c r="B36" s="13"/>
      <c r="C36" s="13"/>
    </row>
    <row r="37" spans="1:3" ht="15.75" thickBot="1" x14ac:dyDescent="0.5">
      <c r="A37" s="18" t="s">
        <v>103</v>
      </c>
      <c r="B37" s="13"/>
      <c r="C37" s="19" t="s">
        <v>104</v>
      </c>
    </row>
    <row r="39" spans="1:3" x14ac:dyDescent="0.45">
      <c r="A39" s="20" t="s">
        <v>105</v>
      </c>
    </row>
    <row r="40" spans="1:3" x14ac:dyDescent="0.45">
      <c r="A40" t="s">
        <v>106</v>
      </c>
    </row>
    <row r="41" spans="1:3" x14ac:dyDescent="0.45">
      <c r="A41" t="s">
        <v>107</v>
      </c>
    </row>
    <row r="43" spans="1:3" x14ac:dyDescent="0.45">
      <c r="A43" t="s">
        <v>108</v>
      </c>
    </row>
    <row r="45" spans="1:3" x14ac:dyDescent="0.45">
      <c r="A45" t="s">
        <v>109</v>
      </c>
    </row>
    <row r="47" spans="1:3" x14ac:dyDescent="0.45">
      <c r="A47" t="s">
        <v>110</v>
      </c>
    </row>
    <row r="49" spans="1:1" x14ac:dyDescent="0.45">
      <c r="A49" t="s">
        <v>111</v>
      </c>
    </row>
    <row r="51" spans="1:1" x14ac:dyDescent="0.45">
      <c r="A51" t="s">
        <v>112</v>
      </c>
    </row>
    <row r="52" spans="1:1" x14ac:dyDescent="0.45">
      <c r="A52" t="s">
        <v>113</v>
      </c>
    </row>
    <row r="53" spans="1:1" x14ac:dyDescent="0.45">
      <c r="A53" t="s">
        <v>114</v>
      </c>
    </row>
    <row r="54" spans="1:1" x14ac:dyDescent="0.45">
      <c r="A54" t="s">
        <v>115</v>
      </c>
    </row>
    <row r="55" spans="1:1" x14ac:dyDescent="0.45">
      <c r="A55" t="s">
        <v>116</v>
      </c>
    </row>
    <row r="56" spans="1:1" x14ac:dyDescent="0.45">
      <c r="A56" t="s">
        <v>117</v>
      </c>
    </row>
  </sheetData>
  <mergeCells count="8">
    <mergeCell ref="A26:A27"/>
    <mergeCell ref="B26:B27"/>
    <mergeCell ref="A15:A16"/>
    <mergeCell ref="B15:B16"/>
    <mergeCell ref="B18:B19"/>
    <mergeCell ref="C18:C19"/>
    <mergeCell ref="B20:B21"/>
    <mergeCell ref="C20:C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70D0-4DD0-404E-8F4D-50081A11C4FE}">
  <dimension ref="A1:F102"/>
  <sheetViews>
    <sheetView tabSelected="1" workbookViewId="0"/>
  </sheetViews>
  <sheetFormatPr defaultRowHeight="14.25" x14ac:dyDescent="0.45"/>
  <cols>
    <col min="1" max="1" width="101" bestFit="1" customWidth="1"/>
    <col min="2" max="2" width="14.86328125" bestFit="1" customWidth="1"/>
    <col min="3" max="3" width="14.6640625" bestFit="1" customWidth="1"/>
    <col min="4" max="6" width="14.86328125" bestFit="1" customWidth="1"/>
  </cols>
  <sheetData>
    <row r="1" spans="1:6" ht="21" x14ac:dyDescent="0.65">
      <c r="A1" s="1" t="s">
        <v>153</v>
      </c>
      <c r="B1" s="20" t="s">
        <v>148</v>
      </c>
      <c r="C1" s="20" t="s">
        <v>149</v>
      </c>
      <c r="D1" s="20" t="s">
        <v>150</v>
      </c>
      <c r="E1" s="20" t="s">
        <v>151</v>
      </c>
      <c r="F1" s="20" t="s">
        <v>154</v>
      </c>
    </row>
    <row r="2" spans="1:6" ht="15.75" x14ac:dyDescent="0.5">
      <c r="A2" s="2" t="s">
        <v>0</v>
      </c>
    </row>
    <row r="3" spans="1:6" ht="15.75" x14ac:dyDescent="0.5">
      <c r="A3" s="2" t="s">
        <v>152</v>
      </c>
    </row>
    <row r="4" spans="1:6" s="22" customFormat="1" ht="15.75" x14ac:dyDescent="0.5">
      <c r="A4" s="21" t="s">
        <v>1</v>
      </c>
    </row>
    <row r="5" spans="1:6" ht="15.75" x14ac:dyDescent="0.5">
      <c r="A5" s="2" t="s">
        <v>139</v>
      </c>
      <c r="B5" s="25">
        <v>301148593.45130491</v>
      </c>
      <c r="C5" s="25"/>
      <c r="D5" s="25"/>
      <c r="E5" s="25"/>
      <c r="F5" s="25"/>
    </row>
    <row r="6" spans="1:6" ht="15.75" x14ac:dyDescent="0.5">
      <c r="A6" s="2" t="s">
        <v>140</v>
      </c>
      <c r="B6" s="25">
        <v>283386619.74000001</v>
      </c>
      <c r="C6" s="25"/>
      <c r="D6" s="25"/>
      <c r="E6" s="25"/>
      <c r="F6" s="25"/>
    </row>
    <row r="7" spans="1:6" ht="15.75" x14ac:dyDescent="0.5">
      <c r="A7" s="2" t="s">
        <v>145</v>
      </c>
      <c r="B7" s="25">
        <v>56677323.948000006</v>
      </c>
      <c r="C7" s="25"/>
      <c r="D7" s="25"/>
      <c r="E7" s="25"/>
      <c r="F7" s="25"/>
    </row>
    <row r="8" spans="1:6" ht="15.75" x14ac:dyDescent="0.5">
      <c r="A8" s="2" t="s">
        <v>146</v>
      </c>
      <c r="B8" s="25">
        <v>0</v>
      </c>
      <c r="C8" s="25"/>
      <c r="D8" s="25"/>
      <c r="E8" s="25"/>
      <c r="F8" s="25"/>
    </row>
    <row r="9" spans="1:6" ht="15.75" x14ac:dyDescent="0.5">
      <c r="A9" s="2" t="s">
        <v>141</v>
      </c>
      <c r="B9" s="25">
        <v>0</v>
      </c>
      <c r="C9" s="25"/>
      <c r="D9" s="25"/>
      <c r="E9" s="25"/>
      <c r="F9" s="25"/>
    </row>
    <row r="10" spans="1:6" ht="15.75" x14ac:dyDescent="0.5">
      <c r="A10" s="2" t="s">
        <v>142</v>
      </c>
      <c r="B10" s="25">
        <v>5159117.29</v>
      </c>
      <c r="C10" s="25"/>
      <c r="D10" s="25"/>
      <c r="E10" s="25"/>
      <c r="F10" s="25"/>
    </row>
    <row r="11" spans="1:6" ht="15.75" x14ac:dyDescent="0.5">
      <c r="A11" s="2" t="s">
        <v>143</v>
      </c>
      <c r="B11" s="25">
        <v>9886093.4299999997</v>
      </c>
      <c r="C11" s="25"/>
      <c r="D11" s="25"/>
      <c r="E11" s="25"/>
      <c r="F11" s="25"/>
    </row>
    <row r="12" spans="1:6" ht="15.75" x14ac:dyDescent="0.5">
      <c r="A12" s="2" t="s">
        <v>144</v>
      </c>
      <c r="B12" s="25">
        <v>37524803.579999998</v>
      </c>
      <c r="C12" s="25"/>
      <c r="D12" s="25"/>
      <c r="E12" s="25"/>
      <c r="F12" s="25"/>
    </row>
    <row r="13" spans="1:6" ht="15.75" x14ac:dyDescent="0.5">
      <c r="A13" s="2" t="s">
        <v>2</v>
      </c>
      <c r="B13" s="25">
        <v>1491.9476475376619</v>
      </c>
      <c r="C13" s="25"/>
      <c r="D13" s="25"/>
      <c r="E13" s="25"/>
      <c r="F13" s="25"/>
    </row>
    <row r="14" spans="1:6" ht="15.75" x14ac:dyDescent="0.5">
      <c r="A14" s="3" t="s">
        <v>3</v>
      </c>
      <c r="B14" s="25">
        <v>2210.0329549026583</v>
      </c>
      <c r="C14" s="25"/>
      <c r="D14" s="25"/>
      <c r="E14" s="25"/>
      <c r="F14" s="25"/>
    </row>
    <row r="15" spans="1:6" ht="15.75" x14ac:dyDescent="0.5">
      <c r="A15" s="3" t="s">
        <v>4</v>
      </c>
      <c r="B15" s="25">
        <v>2476.3086382147308</v>
      </c>
      <c r="C15" s="25"/>
      <c r="D15" s="25"/>
      <c r="E15" s="25"/>
      <c r="F15" s="25"/>
    </row>
    <row r="16" spans="1:6" ht="15.75" x14ac:dyDescent="0.5">
      <c r="A16" s="2" t="s">
        <v>5</v>
      </c>
      <c r="C16" s="27"/>
    </row>
    <row r="17" spans="1:6" ht="15.75" x14ac:dyDescent="0.5">
      <c r="A17" s="2" t="s">
        <v>6</v>
      </c>
    </row>
    <row r="18" spans="1:6" ht="15.75" x14ac:dyDescent="0.5">
      <c r="A18" s="2" t="s">
        <v>7</v>
      </c>
    </row>
    <row r="19" spans="1:6" ht="15.75" x14ac:dyDescent="0.5">
      <c r="A19" s="2" t="s">
        <v>8</v>
      </c>
    </row>
    <row r="20" spans="1:6" ht="15.75" x14ac:dyDescent="0.5">
      <c r="A20" s="2"/>
    </row>
    <row r="21" spans="1:6" s="22" customFormat="1" ht="15.75" x14ac:dyDescent="0.5">
      <c r="A21" s="21" t="s">
        <v>9</v>
      </c>
    </row>
    <row r="22" spans="1:6" ht="15.75" x14ac:dyDescent="0.5">
      <c r="A22" s="2" t="s">
        <v>10</v>
      </c>
    </row>
    <row r="23" spans="1:6" ht="15.75" x14ac:dyDescent="0.5">
      <c r="A23" s="2" t="s">
        <v>11</v>
      </c>
      <c r="B23" s="25"/>
    </row>
    <row r="24" spans="1:6" x14ac:dyDescent="0.45">
      <c r="A24" s="4" t="s">
        <v>12</v>
      </c>
      <c r="B24" s="25">
        <v>338233.2</v>
      </c>
      <c r="C24" s="25"/>
      <c r="D24" s="25"/>
      <c r="E24" s="25"/>
      <c r="F24" s="25"/>
    </row>
    <row r="25" spans="1:6" x14ac:dyDescent="0.45">
      <c r="A25" s="4" t="s">
        <v>13</v>
      </c>
      <c r="B25" s="27">
        <v>6.69</v>
      </c>
      <c r="C25" s="27"/>
      <c r="D25" s="27"/>
      <c r="E25" s="27"/>
      <c r="F25" s="27"/>
    </row>
    <row r="26" spans="1:6" ht="15.75" x14ac:dyDescent="0.5">
      <c r="A26" s="2" t="s">
        <v>14</v>
      </c>
      <c r="B26" s="25">
        <v>353125.33</v>
      </c>
      <c r="C26" s="25"/>
      <c r="D26" s="25"/>
      <c r="E26" s="25"/>
      <c r="F26" s="25"/>
    </row>
    <row r="27" spans="1:6" ht="15.75" x14ac:dyDescent="0.5">
      <c r="A27" s="2" t="s">
        <v>15</v>
      </c>
      <c r="B27" s="27">
        <v>5.4815996982455557</v>
      </c>
      <c r="C27" s="27"/>
      <c r="D27" s="27"/>
      <c r="E27" s="27"/>
      <c r="F27" s="27"/>
    </row>
    <row r="28" spans="1:6" ht="15.75" x14ac:dyDescent="0.5">
      <c r="A28" s="2" t="s">
        <v>16</v>
      </c>
      <c r="B28" s="27">
        <v>87.213333333333324</v>
      </c>
      <c r="C28" s="27"/>
      <c r="D28" s="27"/>
      <c r="E28" s="27"/>
      <c r="F28" s="27"/>
    </row>
    <row r="29" spans="1:6" ht="15.75" x14ac:dyDescent="0.5">
      <c r="A29" s="2" t="s">
        <v>17</v>
      </c>
      <c r="B29" s="25">
        <v>62233.94</v>
      </c>
      <c r="C29" s="25"/>
      <c r="D29" s="25"/>
      <c r="E29" s="25"/>
      <c r="F29" s="25"/>
    </row>
    <row r="30" spans="1:6" ht="15.75" x14ac:dyDescent="0.5">
      <c r="A30" s="2" t="s">
        <v>18</v>
      </c>
      <c r="B30" s="25">
        <v>58567.31</v>
      </c>
      <c r="C30" s="25"/>
      <c r="D30" s="25"/>
      <c r="E30" s="25"/>
      <c r="F30" s="25"/>
    </row>
    <row r="31" spans="1:6" ht="15.75" x14ac:dyDescent="0.5">
      <c r="A31" s="2" t="s">
        <v>19</v>
      </c>
      <c r="B31" s="25">
        <v>90638520</v>
      </c>
      <c r="C31" s="25"/>
      <c r="D31" s="25"/>
      <c r="E31" s="25"/>
      <c r="F31" s="25"/>
    </row>
    <row r="32" spans="1:6" ht="15.75" x14ac:dyDescent="0.5">
      <c r="A32" s="2" t="s">
        <v>20</v>
      </c>
      <c r="B32" s="25">
        <v>87784.05</v>
      </c>
      <c r="C32" s="25"/>
      <c r="D32" s="31"/>
      <c r="E32" s="25"/>
      <c r="F32" s="25"/>
    </row>
    <row r="33" spans="1:6" ht="15.75" x14ac:dyDescent="0.5">
      <c r="A33" s="2" t="s">
        <v>138</v>
      </c>
      <c r="B33" s="26">
        <v>9223233.3499999996</v>
      </c>
      <c r="C33" s="26"/>
      <c r="D33" s="25"/>
      <c r="E33" s="25"/>
      <c r="F33" s="25"/>
    </row>
    <row r="34" spans="1:6" ht="15.75" x14ac:dyDescent="0.5">
      <c r="A34" s="2" t="s">
        <v>136</v>
      </c>
      <c r="B34" s="25">
        <v>2839180.36</v>
      </c>
      <c r="C34" s="25"/>
      <c r="D34" s="25"/>
      <c r="E34" s="25"/>
      <c r="F34" s="25"/>
    </row>
    <row r="35" spans="1:6" ht="15.75" x14ac:dyDescent="0.5">
      <c r="A35" s="2" t="s">
        <v>137</v>
      </c>
      <c r="B35" s="26">
        <v>3317784.3699999996</v>
      </c>
      <c r="C35" s="26"/>
      <c r="D35" s="25"/>
      <c r="E35" s="25"/>
      <c r="F35" s="25"/>
    </row>
    <row r="36" spans="1:6" ht="15.75" x14ac:dyDescent="0.5">
      <c r="A36" s="2"/>
    </row>
    <row r="37" spans="1:6" s="22" customFormat="1" ht="15.75" x14ac:dyDescent="0.5">
      <c r="A37" s="21" t="s">
        <v>21</v>
      </c>
    </row>
    <row r="38" spans="1:6" s="23" customFormat="1" ht="15.75" x14ac:dyDescent="0.5">
      <c r="A38" s="24" t="s">
        <v>22</v>
      </c>
      <c r="B38" s="28">
        <v>1345</v>
      </c>
      <c r="C38" s="28"/>
    </row>
    <row r="39" spans="1:6" ht="15.75" x14ac:dyDescent="0.5">
      <c r="A39" s="2" t="s">
        <v>118</v>
      </c>
      <c r="B39" s="25">
        <v>2</v>
      </c>
      <c r="C39" s="25"/>
    </row>
    <row r="40" spans="1:6" ht="15.75" x14ac:dyDescent="0.5">
      <c r="A40" s="2" t="s">
        <v>23</v>
      </c>
      <c r="B40" s="25">
        <v>9371335.1899999976</v>
      </c>
      <c r="C40" s="25"/>
      <c r="D40" s="25"/>
      <c r="E40" s="25"/>
      <c r="F40" s="25"/>
    </row>
    <row r="41" spans="1:6" ht="15.75" x14ac:dyDescent="0.5">
      <c r="A41" s="2" t="s">
        <v>24</v>
      </c>
      <c r="B41" s="25">
        <v>960649.13000000035</v>
      </c>
      <c r="C41" s="25"/>
      <c r="D41" s="25"/>
      <c r="E41" s="25"/>
      <c r="F41" s="25"/>
    </row>
    <row r="42" spans="1:6" ht="15.75" x14ac:dyDescent="0.5">
      <c r="A42" s="2" t="s">
        <v>25</v>
      </c>
      <c r="B42" s="25">
        <v>8353055.6300000018</v>
      </c>
      <c r="C42" s="25"/>
      <c r="D42" s="25"/>
      <c r="E42" s="25"/>
      <c r="F42" s="25"/>
    </row>
    <row r="43" spans="1:6" ht="15.75" x14ac:dyDescent="0.5">
      <c r="A43" s="2"/>
    </row>
    <row r="44" spans="1:6" s="22" customFormat="1" ht="15.75" x14ac:dyDescent="0.5">
      <c r="A44" s="21" t="s">
        <v>135</v>
      </c>
    </row>
    <row r="45" spans="1:6" ht="15.75" x14ac:dyDescent="0.5">
      <c r="A45" s="2" t="s">
        <v>147</v>
      </c>
      <c r="B45" s="26">
        <v>15539967.49</v>
      </c>
      <c r="C45" s="25"/>
      <c r="D45" s="25"/>
      <c r="E45" s="25"/>
      <c r="F45" s="25"/>
    </row>
    <row r="46" spans="1:6" ht="15.75" x14ac:dyDescent="0.5">
      <c r="A46" s="2" t="s">
        <v>119</v>
      </c>
      <c r="B46" s="25">
        <v>1070916.3400000003</v>
      </c>
      <c r="C46" s="25"/>
      <c r="D46" s="25"/>
      <c r="E46" s="25"/>
      <c r="F46" s="25"/>
    </row>
    <row r="47" spans="1:6" ht="15.75" x14ac:dyDescent="0.5">
      <c r="A47" s="2" t="s">
        <v>120</v>
      </c>
      <c r="B47" s="25">
        <v>6543873.1681039073</v>
      </c>
      <c r="C47" s="25"/>
      <c r="D47" s="25"/>
      <c r="E47" s="25"/>
      <c r="F47" s="25"/>
    </row>
    <row r="48" spans="1:6" ht="15.75" x14ac:dyDescent="0.5">
      <c r="A48" s="2" t="s">
        <v>121</v>
      </c>
      <c r="B48" s="25">
        <v>437633.79</v>
      </c>
      <c r="C48" s="25"/>
      <c r="D48" s="25"/>
      <c r="E48" s="25"/>
      <c r="F48" s="25"/>
    </row>
    <row r="49" spans="1:6" ht="15.75" x14ac:dyDescent="0.5">
      <c r="A49" s="2" t="s">
        <v>122</v>
      </c>
      <c r="B49" s="25">
        <v>158758.15</v>
      </c>
      <c r="C49" s="25"/>
      <c r="D49" s="25"/>
      <c r="E49" s="25"/>
      <c r="F49" s="25"/>
    </row>
    <row r="50" spans="1:6" ht="15.75" x14ac:dyDescent="0.5">
      <c r="A50" s="2" t="s">
        <v>123</v>
      </c>
      <c r="B50" s="25">
        <v>4050520.59</v>
      </c>
      <c r="C50" s="25"/>
      <c r="D50" s="25"/>
      <c r="E50" s="25"/>
      <c r="F50" s="25"/>
    </row>
    <row r="51" spans="1:6" ht="15.75" x14ac:dyDescent="0.5">
      <c r="A51" s="2" t="s">
        <v>124</v>
      </c>
      <c r="B51" s="25">
        <v>16202.08236</v>
      </c>
      <c r="C51" s="25"/>
      <c r="D51" s="25"/>
      <c r="E51" s="25"/>
      <c r="F51" s="25"/>
    </row>
    <row r="52" spans="1:6" ht="15.75" x14ac:dyDescent="0.5">
      <c r="A52" s="2" t="s">
        <v>125</v>
      </c>
      <c r="B52" s="25">
        <v>202526.0295</v>
      </c>
      <c r="C52" s="25"/>
      <c r="D52" s="25"/>
      <c r="E52" s="25"/>
      <c r="F52" s="25"/>
    </row>
    <row r="53" spans="1:6" ht="15.75" x14ac:dyDescent="0.5">
      <c r="A53" s="2" t="s">
        <v>126</v>
      </c>
      <c r="B53" s="25">
        <v>20252.60295</v>
      </c>
      <c r="C53" s="25"/>
      <c r="D53" s="25"/>
      <c r="E53" s="25"/>
      <c r="F53" s="25"/>
    </row>
    <row r="54" spans="1:6" ht="15.75" x14ac:dyDescent="0.5">
      <c r="A54" s="2" t="s">
        <v>127</v>
      </c>
      <c r="B54" s="25">
        <v>20252.60295</v>
      </c>
      <c r="C54" s="25"/>
      <c r="D54" s="25"/>
      <c r="E54" s="25"/>
      <c r="F54" s="25"/>
    </row>
    <row r="55" spans="1:6" ht="15.75" x14ac:dyDescent="0.5">
      <c r="A55" s="2" t="s">
        <v>128</v>
      </c>
      <c r="D55" s="25"/>
      <c r="E55" s="25"/>
      <c r="F55" s="25"/>
    </row>
    <row r="56" spans="1:6" ht="15.75" x14ac:dyDescent="0.5">
      <c r="A56" s="2" t="s">
        <v>129</v>
      </c>
      <c r="D56" s="25"/>
      <c r="E56" s="25"/>
      <c r="F56" s="25"/>
    </row>
    <row r="57" spans="1:6" ht="15.75" x14ac:dyDescent="0.5">
      <c r="A57" s="2" t="s">
        <v>130</v>
      </c>
      <c r="D57" s="25"/>
      <c r="E57" s="25"/>
      <c r="F57" s="25"/>
    </row>
    <row r="58" spans="1:6" ht="15.75" x14ac:dyDescent="0.5">
      <c r="A58" s="2" t="s">
        <v>131</v>
      </c>
      <c r="D58" s="25"/>
      <c r="E58" s="25"/>
      <c r="F58" s="25"/>
    </row>
    <row r="59" spans="1:6" ht="15.75" x14ac:dyDescent="0.5">
      <c r="A59" s="3" t="s">
        <v>132</v>
      </c>
      <c r="B59" s="29">
        <v>109651778.14000002</v>
      </c>
      <c r="C59" s="29"/>
      <c r="D59" s="29"/>
      <c r="E59" s="29"/>
      <c r="F59" s="29"/>
    </row>
    <row r="60" spans="1:6" ht="15.75" x14ac:dyDescent="0.5">
      <c r="A60" s="2" t="s">
        <v>134</v>
      </c>
    </row>
    <row r="61" spans="1:6" ht="15.75" x14ac:dyDescent="0.5">
      <c r="A61" s="2" t="s">
        <v>133</v>
      </c>
    </row>
    <row r="62" spans="1:6" ht="15.75" x14ac:dyDescent="0.5">
      <c r="A62" s="2"/>
    </row>
    <row r="63" spans="1:6" s="22" customFormat="1" ht="15.75" x14ac:dyDescent="0.5">
      <c r="A63" s="21" t="s">
        <v>26</v>
      </c>
    </row>
    <row r="64" spans="1:6" ht="15.75" x14ac:dyDescent="0.5">
      <c r="A64" s="2" t="s">
        <v>27</v>
      </c>
      <c r="B64" s="25">
        <v>241009.60999999996</v>
      </c>
      <c r="C64" s="25"/>
      <c r="D64" s="25"/>
      <c r="E64" s="25"/>
      <c r="F64" s="25"/>
    </row>
    <row r="65" spans="1:6" ht="15.75" x14ac:dyDescent="0.5">
      <c r="A65" s="2" t="s">
        <v>28</v>
      </c>
      <c r="B65" s="25">
        <v>73624.95</v>
      </c>
      <c r="C65" s="25"/>
      <c r="D65" s="25"/>
      <c r="E65" s="25"/>
      <c r="F65" s="25"/>
    </row>
    <row r="66" spans="1:6" ht="15.75" x14ac:dyDescent="0.5">
      <c r="A66" s="2" t="s">
        <v>29</v>
      </c>
      <c r="B66" s="25">
        <v>57802.94</v>
      </c>
      <c r="C66" s="25"/>
      <c r="D66" s="25"/>
      <c r="E66" s="25"/>
      <c r="F66" s="25"/>
    </row>
    <row r="67" spans="1:6" ht="15.75" x14ac:dyDescent="0.5">
      <c r="A67" s="2" t="s">
        <v>30</v>
      </c>
      <c r="B67" s="25">
        <v>0</v>
      </c>
      <c r="C67" s="25"/>
      <c r="D67" s="25"/>
      <c r="E67" s="25"/>
      <c r="F67" s="25"/>
    </row>
    <row r="68" spans="1:6" ht="15.75" x14ac:dyDescent="0.5">
      <c r="A68" s="2" t="s">
        <v>31</v>
      </c>
      <c r="B68" s="25">
        <v>0</v>
      </c>
      <c r="C68" s="25"/>
      <c r="D68" s="25"/>
      <c r="E68" s="25"/>
      <c r="F68" s="25"/>
    </row>
    <row r="69" spans="1:6" ht="15.75" x14ac:dyDescent="0.5">
      <c r="A69" s="2" t="s">
        <v>32</v>
      </c>
      <c r="B69" s="25">
        <v>1339330.08</v>
      </c>
      <c r="C69" s="25"/>
      <c r="D69" s="25"/>
      <c r="E69" s="25"/>
      <c r="F69" s="25"/>
    </row>
    <row r="70" spans="1:6" ht="15.75" x14ac:dyDescent="0.5">
      <c r="A70" s="2" t="s">
        <v>33</v>
      </c>
      <c r="B70" s="25">
        <v>0</v>
      </c>
      <c r="C70" s="25"/>
      <c r="D70" s="25"/>
      <c r="E70" s="25"/>
      <c r="F70" s="25"/>
    </row>
    <row r="71" spans="1:6" ht="15.75" x14ac:dyDescent="0.5">
      <c r="A71" s="2" t="s">
        <v>34</v>
      </c>
      <c r="B71" s="25">
        <v>33591.26</v>
      </c>
      <c r="C71" s="25"/>
      <c r="D71" s="25"/>
      <c r="E71" s="25"/>
      <c r="F71" s="25"/>
    </row>
    <row r="72" spans="1:6" ht="15.75" x14ac:dyDescent="0.5">
      <c r="A72" s="2" t="s">
        <v>35</v>
      </c>
      <c r="B72" s="25">
        <v>0</v>
      </c>
      <c r="C72" s="25"/>
      <c r="D72" s="25"/>
      <c r="E72" s="25"/>
      <c r="F72" s="25"/>
    </row>
    <row r="73" spans="1:6" ht="15.75" x14ac:dyDescent="0.5">
      <c r="A73" s="2" t="s">
        <v>36</v>
      </c>
      <c r="B73" s="25">
        <v>0</v>
      </c>
      <c r="C73" s="25"/>
      <c r="D73" s="25"/>
      <c r="E73" s="25"/>
      <c r="F73" s="25"/>
    </row>
    <row r="74" spans="1:6" ht="15.75" x14ac:dyDescent="0.5">
      <c r="A74" s="2" t="s">
        <v>37</v>
      </c>
      <c r="B74" s="25">
        <v>0</v>
      </c>
      <c r="C74" s="25"/>
      <c r="D74" s="25"/>
      <c r="E74" s="25"/>
      <c r="F74" s="25"/>
    </row>
    <row r="75" spans="1:6" ht="15.75" x14ac:dyDescent="0.5">
      <c r="A75" s="2" t="s">
        <v>38</v>
      </c>
      <c r="B75" s="25">
        <v>151654.35000000009</v>
      </c>
      <c r="C75" s="25"/>
      <c r="D75" s="25"/>
      <c r="E75" s="25"/>
      <c r="F75" s="25"/>
    </row>
    <row r="76" spans="1:6" ht="15.75" x14ac:dyDescent="0.5">
      <c r="A76" s="5" t="s">
        <v>39</v>
      </c>
      <c r="B76" s="30">
        <f>SUM(B64:B75)</f>
        <v>1897013.1900000002</v>
      </c>
      <c r="C76" s="30"/>
      <c r="D76" s="29"/>
      <c r="E76" s="29"/>
      <c r="F76" s="29"/>
    </row>
    <row r="77" spans="1:6" ht="15.75" x14ac:dyDescent="0.5">
      <c r="A77" s="2"/>
    </row>
    <row r="78" spans="1:6" s="22" customFormat="1" ht="15.75" x14ac:dyDescent="0.5">
      <c r="A78" s="21" t="s">
        <v>40</v>
      </c>
    </row>
    <row r="79" spans="1:6" ht="15.75" x14ac:dyDescent="0.5">
      <c r="A79" s="2" t="s">
        <v>27</v>
      </c>
    </row>
    <row r="80" spans="1:6" ht="15.75" x14ac:dyDescent="0.5">
      <c r="A80" s="2" t="s">
        <v>28</v>
      </c>
    </row>
    <row r="81" spans="1:1" ht="15.75" x14ac:dyDescent="0.5">
      <c r="A81" s="2" t="s">
        <v>29</v>
      </c>
    </row>
    <row r="82" spans="1:1" ht="15.75" x14ac:dyDescent="0.5">
      <c r="A82" s="2" t="s">
        <v>30</v>
      </c>
    </row>
    <row r="83" spans="1:1" ht="15.75" x14ac:dyDescent="0.5">
      <c r="A83" s="2" t="s">
        <v>31</v>
      </c>
    </row>
    <row r="84" spans="1:1" ht="15.75" x14ac:dyDescent="0.5">
      <c r="A84" s="2" t="s">
        <v>32</v>
      </c>
    </row>
    <row r="85" spans="1:1" ht="15.75" x14ac:dyDescent="0.5">
      <c r="A85" s="2" t="s">
        <v>33</v>
      </c>
    </row>
    <row r="86" spans="1:1" ht="15.75" x14ac:dyDescent="0.5">
      <c r="A86" s="2" t="s">
        <v>34</v>
      </c>
    </row>
    <row r="87" spans="1:1" ht="15.75" x14ac:dyDescent="0.5">
      <c r="A87" s="2" t="s">
        <v>35</v>
      </c>
    </row>
    <row r="88" spans="1:1" ht="15.75" x14ac:dyDescent="0.5">
      <c r="A88" s="2" t="s">
        <v>36</v>
      </c>
    </row>
    <row r="89" spans="1:1" ht="15.75" x14ac:dyDescent="0.5">
      <c r="A89" s="2" t="s">
        <v>37</v>
      </c>
    </row>
    <row r="90" spans="1:1" ht="15.75" x14ac:dyDescent="0.5">
      <c r="A90" s="2" t="s">
        <v>38</v>
      </c>
    </row>
    <row r="91" spans="1:1" ht="15.75" x14ac:dyDescent="0.5">
      <c r="A91" s="5" t="s">
        <v>39</v>
      </c>
    </row>
    <row r="92" spans="1:1" ht="15.75" x14ac:dyDescent="0.5">
      <c r="A92" s="2"/>
    </row>
    <row r="93" spans="1:1" s="22" customFormat="1" ht="15.75" x14ac:dyDescent="0.5">
      <c r="A93" s="21" t="s">
        <v>41</v>
      </c>
    </row>
    <row r="94" spans="1:1" ht="15.75" x14ac:dyDescent="0.5">
      <c r="A94" s="2" t="s">
        <v>27</v>
      </c>
    </row>
    <row r="95" spans="1:1" ht="15.75" x14ac:dyDescent="0.5">
      <c r="A95" s="2" t="s">
        <v>28</v>
      </c>
    </row>
    <row r="96" spans="1:1" ht="15.75" x14ac:dyDescent="0.5">
      <c r="A96" s="2" t="s">
        <v>29</v>
      </c>
    </row>
    <row r="97" spans="1:1" ht="15.75" x14ac:dyDescent="0.5">
      <c r="A97" s="2" t="s">
        <v>30</v>
      </c>
    </row>
    <row r="98" spans="1:1" ht="15.75" x14ac:dyDescent="0.5">
      <c r="A98" s="2" t="s">
        <v>31</v>
      </c>
    </row>
    <row r="99" spans="1:1" ht="15.75" x14ac:dyDescent="0.5">
      <c r="A99" s="2" t="s">
        <v>38</v>
      </c>
    </row>
    <row r="100" spans="1:1" ht="15.75" x14ac:dyDescent="0.5">
      <c r="A100" s="6" t="s">
        <v>39</v>
      </c>
    </row>
    <row r="101" spans="1:1" ht="15.75" x14ac:dyDescent="0.5">
      <c r="A101" s="7"/>
    </row>
    <row r="102" spans="1:1" ht="15.75" x14ac:dyDescent="0.5">
      <c r="A102" s="8" t="s">
        <v>42</v>
      </c>
    </row>
  </sheetData>
  <pageMargins left="0.7" right="0.7" top="0.75" bottom="0.75" header="0.3" footer="0.3"/>
  <pageSetup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WGC template &amp; guidance note</vt:lpstr>
      <vt:lpstr>2026 Chamber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Priscilla Owusu</cp:lastModifiedBy>
  <dcterms:created xsi:type="dcterms:W3CDTF">2022-07-29T09:47:39Z</dcterms:created>
  <dcterms:modified xsi:type="dcterms:W3CDTF">2026-06-04T13:04:53Z</dcterms:modified>
</cp:coreProperties>
</file>
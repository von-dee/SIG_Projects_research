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ghanachamberofminesorg-my.sharepoint.com/personal/powusu_ghanachamberofmines_org/Documents/Desktop/Priscilla/2027 Annual Report/Q1 2026/"/>
    </mc:Choice>
  </mc:AlternateContent>
  <xr:revisionPtr revIDLastSave="0" documentId="8_{5735CEC6-72AF-4C47-91D5-29C2AF1EA4E8}" xr6:coauthVersionLast="47" xr6:coauthVersionMax="47" xr10:uidLastSave="{00000000-0000-0000-0000-000000000000}"/>
  <bookViews>
    <workbookView xWindow="-98" yWindow="-98" windowWidth="20715" windowHeight="13155" tabRatio="776" activeTab="1" xr2:uid="{D741C70E-09B3-49F6-96CD-D6D68786E6CB}"/>
  </bookViews>
  <sheets>
    <sheet name="WGC template &amp; guidance not " sheetId="4" r:id="rId1"/>
    <sheet name="2026 Chamber template" sheetId="5" r:id="rId2"/>
    <sheet name="Export Renconciliation" sheetId="6" r:id="rId3"/>
  </sheets>
  <definedNames>
    <definedName name="\A">#REF!</definedName>
    <definedName name="\D">#REF!</definedName>
    <definedName name="\Z">#REF!</definedName>
    <definedName name="___A17448">#REF!</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A17448">#REF!</definedName>
    <definedName name="_1__123Graph_ADIAGRAMM_3" hidden="1">#REF!</definedName>
    <definedName name="_10__123Graph_DDIAGRAMM_3" hidden="1">#REF!</definedName>
    <definedName name="_11__123Graph_DDIAGRAMM_4" hidden="1">#REF!</definedName>
    <definedName name="_12__123Graph_DDIAGRAMM_6" hidden="1">#REF!</definedName>
    <definedName name="_13__123Graph_EDIAGRAMM_3" hidden="1">#REF!</definedName>
    <definedName name="_14__123Graph_EDIAGRAMM_4" hidden="1">#REF!</definedName>
    <definedName name="_15__123Graph_FDIAGRAMM_3" hidden="1">#REF!</definedName>
    <definedName name="_16__123Graph_FDIAGRAMM_4" hidden="1">#REF!</definedName>
    <definedName name="_17__123Graph_XDIAGRAMM_3" hidden="1">#REF!</definedName>
    <definedName name="_2__123Graph_ADIAGRAMM_4" hidden="1">#REF!</definedName>
    <definedName name="_3__123Graph_ADIAGRAMM_6" hidden="1">#REF!</definedName>
    <definedName name="_4__123Graph_BDIAGRAMM_3" hidden="1">#REF!</definedName>
    <definedName name="_5__123Graph_BDIAGRAMM_4" hidden="1">#REF!</definedName>
    <definedName name="_6__123Graph_BDIAGRAMM_6" hidden="1">#REF!</definedName>
    <definedName name="_7__123Graph_CDIAGRAMM_3" hidden="1">#REF!</definedName>
    <definedName name="_8__123Graph_CDIAGRAMM_4" hidden="1">#REF!</definedName>
    <definedName name="_9__123Graph_CDIAGRAMM_6" hidden="1">#REF!</definedName>
    <definedName name="_A17448">#REF!</definedName>
    <definedName name="_Fill" hidden="1">#REF!</definedName>
    <definedName name="_ggw2" localSheetId="1"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_ggw2" localSheetId="2"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_ggw2"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_ggw3" localSheetId="1"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_ggw3" localSheetId="2"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_ggw3"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_ggw4" localSheetId="1" hidden="1">{"KAN_COST1_SUMMARY",#N/A,FALSE,"Schedule_COST_EQUIPMENT_Summary";"KAN_COST2_SUMMARY",#N/A,FALSE,"Schedule_COST_EQUIPMENT_Summary";"KAN_COST3_SUMMARY",#N/A,FALSE,"Schedule_COST_EQUIPMENT_Summary"}</definedName>
    <definedName name="_ggw4" localSheetId="2" hidden="1">{"KAN_COST1_SUMMARY",#N/A,FALSE,"Schedule_COST_EQUIPMENT_Summary";"KAN_COST2_SUMMARY",#N/A,FALSE,"Schedule_COST_EQUIPMENT_Summary";"KAN_COST3_SUMMARY",#N/A,FALSE,"Schedule_COST_EQUIPMENT_Summary"}</definedName>
    <definedName name="_ggw4" hidden="1">{"KAN_COST1_SUMMARY",#N/A,FALSE,"Schedule_COST_EQUIPMENT_Summary";"KAN_COST2_SUMMARY",#N/A,FALSE,"Schedule_COST_EQUIPMENT_Summary";"KAN_COST3_SUMMARY",#N/A,FALSE,"Schedule_COST_EQUIPMENT_Summary"}</definedName>
    <definedName name="_ggw5" localSheetId="1"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_ggw5" localSheetId="2"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_ggw5"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_kan1" localSheetId="1" hidden="1">{"KAN_MAIN1_VAR",#N/A,FALSE,"SummaryM_Stage_1";"KAN_MAIN2_VAR",#N/A,FALSE,"SummaryM_Stage_2";"KAN_MAIN3_VAR",#N/A,FALSE,"SummaryM_Stage_3";"KAN_MAIN4_VAR",#N/A,FALSE,"SummaryM_Stage_4";"KAN_MAIN5_VAR",#N/A,FALSE,"SummaryM_Stage_5";"KAN_NW1_VAR",#N/A,FALSE,"SummaryNW_Stage_1";"KAN_NW2_VAR",#N/A,FALSE,"SummaryNW_Stage_2";"KAN_NW3_VAR",#N/A,FALSE,"SummaryNW_Stage_3";"KAN_NW4_VAR",#N/A,FALSE,"SummaryNW_Stage_4";"KAN_MAIN1_LHVAR",#N/A,FALSE,"SummaryM_Stage_1";"KAN_MAIN2_LHVAR",#N/A,FALSE,"SummaryM_Stage_2";"KAN_MAIN3_LHVAR",#N/A,FALSE,"SummaryM_Stage_3";"KAN_MAIN4_LHVAR",#N/A,FALSE,"SummaryM_Stage_4";"KAN_MAIN5_LHVAR",#N/A,FALSE,"SummaryM_Stage_5";"KAN_NW1_LHVAR",#N/A,FALSE,"SummaryNW_Stage_1";"KAN_NW2_LHVAR",#N/A,FALSE,"SummaryNW_Stage_2";"KAN_NW3_LHVAR",#N/A,FALSE,"SummaryNW_Stage_3";"KAN_NW4_LHVAR",#N/A,FALSE,"SummaryNW_Stage_4";"KAN_AVE_LHCOST1",#N/A,FALSE,"Copy_of_Mining_tab_Sched_11";"KAN_AVE_LHCOST2",#N/A,FALSE,"Copy_of_Mining_tab_Sched_11"}</definedName>
    <definedName name="_kan1" localSheetId="2" hidden="1">{"KAN_MAIN1_VAR",#N/A,FALSE,"SummaryM_Stage_1";"KAN_MAIN2_VAR",#N/A,FALSE,"SummaryM_Stage_2";"KAN_MAIN3_VAR",#N/A,FALSE,"SummaryM_Stage_3";"KAN_MAIN4_VAR",#N/A,FALSE,"SummaryM_Stage_4";"KAN_MAIN5_VAR",#N/A,FALSE,"SummaryM_Stage_5";"KAN_NW1_VAR",#N/A,FALSE,"SummaryNW_Stage_1";"KAN_NW2_VAR",#N/A,FALSE,"SummaryNW_Stage_2";"KAN_NW3_VAR",#N/A,FALSE,"SummaryNW_Stage_3";"KAN_NW4_VAR",#N/A,FALSE,"SummaryNW_Stage_4";"KAN_MAIN1_LHVAR",#N/A,FALSE,"SummaryM_Stage_1";"KAN_MAIN2_LHVAR",#N/A,FALSE,"SummaryM_Stage_2";"KAN_MAIN3_LHVAR",#N/A,FALSE,"SummaryM_Stage_3";"KAN_MAIN4_LHVAR",#N/A,FALSE,"SummaryM_Stage_4";"KAN_MAIN5_LHVAR",#N/A,FALSE,"SummaryM_Stage_5";"KAN_NW1_LHVAR",#N/A,FALSE,"SummaryNW_Stage_1";"KAN_NW2_LHVAR",#N/A,FALSE,"SummaryNW_Stage_2";"KAN_NW3_LHVAR",#N/A,FALSE,"SummaryNW_Stage_3";"KAN_NW4_LHVAR",#N/A,FALSE,"SummaryNW_Stage_4";"KAN_AVE_LHCOST1",#N/A,FALSE,"Copy_of_Mining_tab_Sched_11";"KAN_AVE_LHCOST2",#N/A,FALSE,"Copy_of_Mining_tab_Sched_11"}</definedName>
    <definedName name="_kan1" hidden="1">{"KAN_MAIN1_VAR",#N/A,FALSE,"SummaryM_Stage_1";"KAN_MAIN2_VAR",#N/A,FALSE,"SummaryM_Stage_2";"KAN_MAIN3_VAR",#N/A,FALSE,"SummaryM_Stage_3";"KAN_MAIN4_VAR",#N/A,FALSE,"SummaryM_Stage_4";"KAN_MAIN5_VAR",#N/A,FALSE,"SummaryM_Stage_5";"KAN_NW1_VAR",#N/A,FALSE,"SummaryNW_Stage_1";"KAN_NW2_VAR",#N/A,FALSE,"SummaryNW_Stage_2";"KAN_NW3_VAR",#N/A,FALSE,"SummaryNW_Stage_3";"KAN_NW4_VAR",#N/A,FALSE,"SummaryNW_Stage_4";"KAN_MAIN1_LHVAR",#N/A,FALSE,"SummaryM_Stage_1";"KAN_MAIN2_LHVAR",#N/A,FALSE,"SummaryM_Stage_2";"KAN_MAIN3_LHVAR",#N/A,FALSE,"SummaryM_Stage_3";"KAN_MAIN4_LHVAR",#N/A,FALSE,"SummaryM_Stage_4";"KAN_MAIN5_LHVAR",#N/A,FALSE,"SummaryM_Stage_5";"KAN_NW1_LHVAR",#N/A,FALSE,"SummaryNW_Stage_1";"KAN_NW2_LHVAR",#N/A,FALSE,"SummaryNW_Stage_2";"KAN_NW3_LHVAR",#N/A,FALSE,"SummaryNW_Stage_3";"KAN_NW4_LHVAR",#N/A,FALSE,"SummaryNW_Stage_4";"KAN_AVE_LHCOST1",#N/A,FALSE,"Copy_of_Mining_tab_Sched_11";"KAN_AVE_LHCOST2",#N/A,FALSE,"Copy_of_Mining_tab_Sched_11"}</definedName>
    <definedName name="_kan2" localSheetId="1"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_kan2" localSheetId="2"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_kan2"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_kan3" localSheetId="1"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_kan3" localSheetId="2"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_kan3"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_kan4" localSheetId="1" hidden="1">{"KAN_COST1_SUMMARY",#N/A,FALSE,"Schedule_COST_EQUIPMENT_Summary";"KAN_COST2_SUMMARY",#N/A,FALSE,"Schedule_COST_EQUIPMENT_Summary";"KAN_COST3_SUMMARY",#N/A,FALSE,"Schedule_COST_EQUIPMENT_Summary"}</definedName>
    <definedName name="_kan4" localSheetId="2" hidden="1">{"KAN_COST1_SUMMARY",#N/A,FALSE,"Schedule_COST_EQUIPMENT_Summary";"KAN_COST2_SUMMARY",#N/A,FALSE,"Schedule_COST_EQUIPMENT_Summary";"KAN_COST3_SUMMARY",#N/A,FALSE,"Schedule_COST_EQUIPMENT_Summary"}</definedName>
    <definedName name="_kan4" hidden="1">{"KAN_COST1_SUMMARY",#N/A,FALSE,"Schedule_COST_EQUIPMENT_Summary";"KAN_COST2_SUMMARY",#N/A,FALSE,"Schedule_COST_EQUIPMENT_Summary";"KAN_COST3_SUMMARY",#N/A,FALSE,"Schedule_COST_EQUIPMENT_Summary"}</definedName>
    <definedName name="_kan5" localSheetId="1"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_kan5" localSheetId="2"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_kan5"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_Key1" hidden="1">#REF!</definedName>
    <definedName name="_Key2" hidden="1">#REF!</definedName>
    <definedName name="_m3" localSheetId="1" hidden="1">{#N/A,#N/A,TRUE,"CONTENTS";#N/A,#N/A,TRUE,"M2";#N/A,#N/A,TRUE,"M2a";#N/A,#N/A,TRUE,"M2b";#N/A,#N/A,TRUE,"M3";#N/A,#N/A,TRUE,"M3a";#N/A,#N/A,TRUE,"M4-P";#N/A,#N/A,TRUE,"M5";#N/A,#N/A,TRUE,"M6";#N/A,#N/A,TRUE,"M7";#N/A,#N/A,TRUE,"M8";#N/A,#N/A,TRUE,"M9";#N/A,#N/A,TRUE,"M10";#N/A,#N/A,TRUE,"M11";#N/A,#N/A,TRUE,"M13";#N/A,#N/A,TRUE,"M14";#N/A,#N/A,TRUE,"M15";#N/A,#N/A,TRUE,"K1"}</definedName>
    <definedName name="_m3" localSheetId="2" hidden="1">{#N/A,#N/A,TRUE,"CONTENTS";#N/A,#N/A,TRUE,"M2";#N/A,#N/A,TRUE,"M2a";#N/A,#N/A,TRUE,"M2b";#N/A,#N/A,TRUE,"M3";#N/A,#N/A,TRUE,"M3a";#N/A,#N/A,TRUE,"M4-P";#N/A,#N/A,TRUE,"M5";#N/A,#N/A,TRUE,"M6";#N/A,#N/A,TRUE,"M7";#N/A,#N/A,TRUE,"M8";#N/A,#N/A,TRUE,"M9";#N/A,#N/A,TRUE,"M10";#N/A,#N/A,TRUE,"M11";#N/A,#N/A,TRUE,"M13";#N/A,#N/A,TRUE,"M14";#N/A,#N/A,TRUE,"M15";#N/A,#N/A,TRUE,"K1"}</definedName>
    <definedName name="_m3" hidden="1">{#N/A,#N/A,TRUE,"CONTENTS";#N/A,#N/A,TRUE,"M2";#N/A,#N/A,TRUE,"M2a";#N/A,#N/A,TRUE,"M2b";#N/A,#N/A,TRUE,"M3";#N/A,#N/A,TRUE,"M3a";#N/A,#N/A,TRUE,"M4-P";#N/A,#N/A,TRUE,"M5";#N/A,#N/A,TRUE,"M6";#N/A,#N/A,TRUE,"M7";#N/A,#N/A,TRUE,"M8";#N/A,#N/A,TRUE,"M9";#N/A,#N/A,TRUE,"M10";#N/A,#N/A,TRUE,"M11";#N/A,#N/A,TRUE,"M13";#N/A,#N/A,TRUE,"M14";#N/A,#N/A,TRUE,"M15";#N/A,#N/A,TRUE,"K1"}</definedName>
    <definedName name="_MC1" localSheetId="1"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_MC1" localSheetId="2"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_MC1"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_MR1">#REF!</definedName>
    <definedName name="_MR10">#REF!</definedName>
    <definedName name="_MR2">#REF!</definedName>
    <definedName name="_MR3">#REF!</definedName>
    <definedName name="_MR4">#REF!</definedName>
    <definedName name="_MR5">#REF!</definedName>
    <definedName name="_MR6">#REF!</definedName>
    <definedName name="_MR7">#REF!</definedName>
    <definedName name="_MR8">#REF!</definedName>
    <definedName name="_MR9">#REF!</definedName>
    <definedName name="_Order1" hidden="1">255</definedName>
    <definedName name="_Order2" hidden="1">255</definedName>
    <definedName name="_qtr1">#REF!</definedName>
    <definedName name="_qtr2">#REF!</definedName>
    <definedName name="_qtr3">#REF!</definedName>
    <definedName name="_qtr4">#REF!</definedName>
    <definedName name="_Sort" hidden="1">#REF!</definedName>
    <definedName name="A_NorthRL156">#REF!</definedName>
    <definedName name="A_NorthRL159">#REF!</definedName>
    <definedName name="A_NorthRL162">#REF!</definedName>
    <definedName name="A_NorthRL165">#REF!</definedName>
    <definedName name="A_NorthRL168">#REF!</definedName>
    <definedName name="A_NorthRL171">#REF!</definedName>
    <definedName name="A_SouthRL150">#REF!</definedName>
    <definedName name="A_SouthRL153">#REF!</definedName>
    <definedName name="A_SouthRL156">#REF!</definedName>
    <definedName name="A_SouthRL159">#REF!</definedName>
    <definedName name="A_SouthRL162">#REF!</definedName>
    <definedName name="A_SouthRL165">#REF!</definedName>
    <definedName name="A_USXRate">#REF!</definedName>
    <definedName name="abc">#REF!,#REF!</definedName>
    <definedName name="ABLA2A">#REF!</definedName>
    <definedName name="AccessRd_PlantCost">#REF!</definedName>
    <definedName name="Account">#REF!</definedName>
    <definedName name="Account10">#REF!</definedName>
    <definedName name="Account2">#REF!</definedName>
    <definedName name="Account3">#REF!</definedName>
    <definedName name="Account4">#REF!</definedName>
    <definedName name="Account5">#REF!</definedName>
    <definedName name="Account6">#REF!</definedName>
    <definedName name="Account7">#REF!</definedName>
    <definedName name="Account8">#REF!</definedName>
    <definedName name="Account9">#REF!</definedName>
    <definedName name="Accounting_Depn_Reserve">#REF!</definedName>
    <definedName name="ACR_NAME">#REF!</definedName>
    <definedName name="ACT">#REF!</definedName>
    <definedName name="ACT_ADMIN">#REF!</definedName>
    <definedName name="ACT_ALL">#REF!</definedName>
    <definedName name="ACT_BALSHEET1">#REF!</definedName>
    <definedName name="ACT_BALSHEET2">#REF!</definedName>
    <definedName name="ACT_CASHFLOW">#REF!</definedName>
    <definedName name="ACT_DISTN">#REF!</definedName>
    <definedName name="ACT_EXHAUST">#REF!</definedName>
    <definedName name="ACT_FACTORY">#REF!</definedName>
    <definedName name="ACT_OTHEREXP">#REF!</definedName>
    <definedName name="ACT_PAYROLL">#REF!</definedName>
    <definedName name="ACT_PRODGROUP">#REF!</definedName>
    <definedName name="ACT_PROFIT">#REF!</definedName>
    <definedName name="ACT_SALES">#REF!</definedName>
    <definedName name="ACT_SDCM">#REF!</definedName>
    <definedName name="ACT_STATS">#REF!</definedName>
    <definedName name="Activity">#REF!</definedName>
    <definedName name="Actual">#REF!</definedName>
    <definedName name="actualbs">#REF!</definedName>
    <definedName name="Admin">#REF!</definedName>
    <definedName name="AdminGrid">#REF!</definedName>
    <definedName name="Administration_cost">#REF!</definedName>
    <definedName name="AgContango">#REF!</definedName>
    <definedName name="AgDeduct">#REF!</definedName>
    <definedName name="AgPayable">#REF!</definedName>
    <definedName name="Akont_DB_Rev">#REF!</definedName>
    <definedName name="Akont_LH_Rev">#REF!</definedName>
    <definedName name="alj" localSheetId="1" hidden="1">{#N/A,#N/A,TRUE,"CONTENTS";#N/A,#N/A,TRUE,"M2";#N/A,#N/A,TRUE,"M2a";#N/A,#N/A,TRUE,"M2b";#N/A,#N/A,TRUE,"M3";#N/A,#N/A,TRUE,"M3a";#N/A,#N/A,TRUE,"M4-H";#N/A,#N/A,TRUE,"M4-P";#N/A,#N/A,TRUE,"M4a";#N/A,#N/A,TRUE,"M4b";#N/A,#N/A,TRUE,"M4c";#N/A,#N/A,TRUE,"M5";#N/A,#N/A,TRUE,"M6";#N/A,#N/A,TRUE,"M7";#N/A,#N/A,TRUE,"M8";#N/A,#N/A,TRUE,"M9";#N/A,#N/A,TRUE,"M10";#N/A,#N/A,TRUE,"M11";#N/A,#N/A,TRUE,"M13";#N/A,#N/A,TRUE,"M14";#N/A,#N/A,TRUE,"M15";#N/A,#N/A,TRUE,"K1"}</definedName>
    <definedName name="alj" localSheetId="2" hidden="1">{#N/A,#N/A,TRUE,"CONTENTS";#N/A,#N/A,TRUE,"M2";#N/A,#N/A,TRUE,"M2a";#N/A,#N/A,TRUE,"M2b";#N/A,#N/A,TRUE,"M3";#N/A,#N/A,TRUE,"M3a";#N/A,#N/A,TRUE,"M4-H";#N/A,#N/A,TRUE,"M4-P";#N/A,#N/A,TRUE,"M4a";#N/A,#N/A,TRUE,"M4b";#N/A,#N/A,TRUE,"M4c";#N/A,#N/A,TRUE,"M5";#N/A,#N/A,TRUE,"M6";#N/A,#N/A,TRUE,"M7";#N/A,#N/A,TRUE,"M8";#N/A,#N/A,TRUE,"M9";#N/A,#N/A,TRUE,"M10";#N/A,#N/A,TRUE,"M11";#N/A,#N/A,TRUE,"M13";#N/A,#N/A,TRUE,"M14";#N/A,#N/A,TRUE,"M15";#N/A,#N/A,TRUE,"K1"}</definedName>
    <definedName name="alj" hidden="1">{#N/A,#N/A,TRUE,"CONTENTS";#N/A,#N/A,TRUE,"M2";#N/A,#N/A,TRUE,"M2a";#N/A,#N/A,TRUE,"M2b";#N/A,#N/A,TRUE,"M3";#N/A,#N/A,TRUE,"M3a";#N/A,#N/A,TRUE,"M4-H";#N/A,#N/A,TRUE,"M4-P";#N/A,#N/A,TRUE,"M4a";#N/A,#N/A,TRUE,"M4b";#N/A,#N/A,TRUE,"M4c";#N/A,#N/A,TRUE,"M5";#N/A,#N/A,TRUE,"M6";#N/A,#N/A,TRUE,"M7";#N/A,#N/A,TRUE,"M8";#N/A,#N/A,TRUE,"M9";#N/A,#N/A,TRUE,"M10";#N/A,#N/A,TRUE,"M11";#N/A,#N/A,TRUE,"M13";#N/A,#N/A,TRUE,"M14";#N/A,#N/A,TRUE,"M15";#N/A,#N/A,TRUE,"K1"}</definedName>
    <definedName name="All">#REF!</definedName>
    <definedName name="Allowance">SUM(#REF!)</definedName>
    <definedName name="Ambi">#REF!</definedName>
    <definedName name="Amortisation_rate">#REF!</definedName>
    <definedName name="AnAvail">#REF!</definedName>
    <definedName name="AnfoCost">#REF!</definedName>
    <definedName name="AnfoSG">#REF!</definedName>
    <definedName name="Annual_throughput">#REF!</definedName>
    <definedName name="anscount" hidden="1">1</definedName>
    <definedName name="AnSMU">#REF!</definedName>
    <definedName name="AnUtil">#REF!</definedName>
    <definedName name="Application">#REF!</definedName>
    <definedName name="apr">#REF!</definedName>
    <definedName name="Araren_Gold_Recovery">#REF!</definedName>
    <definedName name="Araren_Silver_Recovery">#REF!</definedName>
    <definedName name="Area">#REF!</definedName>
    <definedName name="ATC">#REF!</definedName>
    <definedName name="Atua_DB_Rev">#REF!</definedName>
    <definedName name="Atua_LH_Rev">#REF!</definedName>
    <definedName name="AtuaboRL147">#REF!</definedName>
    <definedName name="AtuaboRL150">#REF!</definedName>
    <definedName name="AtuaboRL153">#REF!</definedName>
    <definedName name="AtuaboRL156">#REF!</definedName>
    <definedName name="AtuaboRL159">#REF!</definedName>
    <definedName name="AtuaboRL162">#REF!</definedName>
    <definedName name="AtuaboRL165">#REF!</definedName>
    <definedName name="AtuaboRL168">#REF!</definedName>
    <definedName name="AtuaboRL171">#REF!</definedName>
    <definedName name="AtuaboRL174">#REF!</definedName>
    <definedName name="AtuaboRL178">#REF!</definedName>
    <definedName name="AtuaboRL181">#REF!</definedName>
    <definedName name="AtuaboRL184">#REF!</definedName>
    <definedName name="AtuaboRL187">#REF!</definedName>
    <definedName name="AtuaboRL190">#REF!</definedName>
    <definedName name="AtuaboRL193">#REF!</definedName>
    <definedName name="AuContango">#REF!</definedName>
    <definedName name="AUD">1.3765</definedName>
    <definedName name="AuDeduct">#REF!</definedName>
    <definedName name="Aug">#REF!</definedName>
    <definedName name="Aug_03">#REF!</definedName>
    <definedName name="AuPayable">#REF!</definedName>
    <definedName name="AvailEH1700">#REF!</definedName>
    <definedName name="AvailEX1900">#REF!</definedName>
    <definedName name="AvailZX850">#REF!</definedName>
    <definedName name="AVERAGE">#REF!</definedName>
    <definedName name="Average_ROM_Expit_By_Flitch">#REF!</definedName>
    <definedName name="AVERAGECOSTPERLBCU">#REF!</definedName>
    <definedName name="B428L">#REF!</definedName>
    <definedName name="BACKHOE_1900">#REF!</definedName>
    <definedName name="BCM_SUMMARY_CHECK">#REF!</definedName>
    <definedName name="BILER">#REF!</definedName>
    <definedName name="Blambangan_Gold_Recovery">#REF!</definedName>
    <definedName name="Blambangan_Silver_Recovery">#REF!</definedName>
    <definedName name="BNL">#REF!</definedName>
    <definedName name="BUD">#REF!</definedName>
    <definedName name="Budg">#REF!</definedName>
    <definedName name="BUEquipDiv">#REF!</definedName>
    <definedName name="Bullion_impurities">#REF!</definedName>
    <definedName name="BUType">#REF!</definedName>
    <definedName name="Capitalised_expenses">#REF!</definedName>
    <definedName name="Capitalised_Land_Costs_97">#REF!</definedName>
    <definedName name="CASHFLOW">#REF!</definedName>
    <definedName name="cashflow09">#REF!</definedName>
    <definedName name="Cat_Code_14">#REF!</definedName>
    <definedName name="Cat_Code_15">#REF!</definedName>
    <definedName name="Cat_Code_16">#REF!</definedName>
    <definedName name="Cat_Code_30">#REF!</definedName>
    <definedName name="Categories">#REF!</definedName>
    <definedName name="category">#REF!</definedName>
    <definedName name="Category1">#REF!</definedName>
    <definedName name="Caustic_Soda">#REF!</definedName>
    <definedName name="CC_personnel98">#REF!</definedName>
    <definedName name="CC_personnel99">#REF!</definedName>
    <definedName name="CER">#REF!</definedName>
    <definedName name="cfactual">#REF!</definedName>
    <definedName name="cfbudget">#REF!</definedName>
    <definedName name="Chainsaw">#REF!</definedName>
    <definedName name="Chalcocite_Leach_Recovery">#REF!</definedName>
    <definedName name="CHECK_PAGE">#REF!</definedName>
    <definedName name="checkperiod09">#REF!</definedName>
    <definedName name="checkperiode">#REF!</definedName>
    <definedName name="Class">#REF!</definedName>
    <definedName name="CLOSING">#REF!</definedName>
    <definedName name="Code">#REF!</definedName>
    <definedName name="CODES">#REF!</definedName>
    <definedName name="Comp12tarea">#REF!</definedName>
    <definedName name="Comp6tarea">#REF!</definedName>
    <definedName name="compactor12t">#REF!</definedName>
    <definedName name="compactor6t">#REF!</definedName>
    <definedName name="COMPANYBS">#REF!</definedName>
    <definedName name="COMPANYNumber">#REF!</definedName>
    <definedName name="Consum">#REF!</definedName>
    <definedName name="Contingency">#REF!</definedName>
    <definedName name="COPPER_PRODUCED">#REF!,#REF!</definedName>
    <definedName name="CopperConcGrade">#REF!</definedName>
    <definedName name="CopperConcRecovery">#REF!</definedName>
    <definedName name="CopperLoPOxRecovery">#REF!</definedName>
    <definedName name="CopperRC">#REF!</definedName>
    <definedName name="CostCode">#REF!</definedName>
    <definedName name="COSTSUMMARY">#REF!</definedName>
    <definedName name="COSTSUMMARY12.1">#REF!</definedName>
    <definedName name="COUNTRY">#REF!</definedName>
    <definedName name="cstsumm">#REF!</definedName>
    <definedName name="CuDeduct">#REF!</definedName>
    <definedName name="CuPayable">#REF!</definedName>
    <definedName name="CUR">#REF!</definedName>
    <definedName name="Current">#REF!</definedName>
    <definedName name="D10Rpushing">#REF!</definedName>
    <definedName name="D6spread">#REF!</definedName>
    <definedName name="D8Rbspread">#REF!</definedName>
    <definedName name="D8Rclean">#REF!</definedName>
    <definedName name="D8Rdump">#REF!</definedName>
    <definedName name="D8Rface">#REF!</definedName>
    <definedName name="D8RPushing">#REF!</definedName>
    <definedName name="D8Rspread">#REF!</definedName>
    <definedName name="D9Lmaint">#REF!</definedName>
    <definedName name="D9Lpushing">#REF!</definedName>
    <definedName name="D9Lspread">#REF!</definedName>
    <definedName name="D9RPushing">#REF!</definedName>
    <definedName name="D9Rspread">#REF!</definedName>
    <definedName name="D9RTopsoiling">#REF!</definedName>
    <definedName name="Daily">#REF!</definedName>
    <definedName name="DATA">#REF!</definedName>
    <definedName name="data09">#REF!</definedName>
    <definedName name="_xlnm.Database">#REF!</definedName>
    <definedName name="DATEN">#REF!</definedName>
    <definedName name="daten09">#REF!</definedName>
    <definedName name="datum">#REF!</definedName>
    <definedName name="datum09">#REF!</definedName>
    <definedName name="Daysinmonth">#REF!</definedName>
    <definedName name="DAYWORKS">#REF!</definedName>
    <definedName name="DayWorksRevenue">#REF!</definedName>
    <definedName name="DB_Sched">#REF!</definedName>
    <definedName name="DDDD" localSheetId="1"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DDDD" localSheetId="2"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DDDD"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DebtRatio">#REF!</definedName>
    <definedName name="Dec">#REF!</definedName>
    <definedName name="Defer">#REF!</definedName>
    <definedName name="Department">#REF!</definedName>
    <definedName name="Depreciation_rate">#REF!</definedName>
    <definedName name="DepreciationRate">#REF!</definedName>
    <definedName name="DeTB">#REF!</definedName>
    <definedName name="DetCost">#REF!</definedName>
    <definedName name="Direct_capital_cost">SUM(#REF!)</definedName>
    <definedName name="Disc_rate_high">#REF!</definedName>
    <definedName name="Disc_rate_low">#REF!</definedName>
    <definedName name="Disc_rate_med">#REF!</definedName>
    <definedName name="Discount_rate">#REF!</definedName>
    <definedName name="Division">#REF!</definedName>
    <definedName name="DivisionName">#REF!</definedName>
    <definedName name="Divs">#REF!</definedName>
    <definedName name="dj" localSheetId="1" hidden="1">{"LHPIT1ORE",#N/A,FALSE,"L&amp;H_Pit 1a4100";"LHPIT1ROM",#N/A,FALSE,"L&amp;H_Pit 1a4100";"LHPIT1WASTELEACH",#N/A,FALSE,"L&amp;H_Pit 1a4100";"LHPIT1WASTEFRESH",#N/A,FALSE,"L&amp;H_Pit 1a4100";"LHPIT2ORE",#N/A,FALSE,"L&amp;H_Pit 2a4100";"LHPIT2ROM",#N/A,FALSE,"L&amp;H_Pit 2a4100";"LHPIT2WASTELEACH",#N/A,FALSE,"L&amp;H_Pit 2a4100";"LHPIT2WASTEFRESH",#N/A,FALSE,"L&amp;H_Pit 2a4100";"LHPIT3ORE",#N/A,FALSE,"L&amp;H_Pit 3a4100";"LHPIT3ROM",#N/A,FALSE,"L&amp;H_Pit 3a4100";"LHPIT3WASTELEACH",#N/A,FALSE,"L&amp;H_Pit 3a4100";"LHPIT3WASTEFRESH",#N/A,FALSE,"L&amp;H_Pit 3a4100";"LHPIT4ORE",#N/A,FALSE,"L&amp;H_Pit 4a4100";"LHPIT4ROM",#N/A,FALSE,"L&amp;H_Pit 4a4100";"LHPIT4WASTELEACH",#N/A,FALSE,"L&amp;H_Pit 4a4100";"LHPIT4WASTEFRESH",#N/A,FALSE,"L&amp;H_Pit 4a4100";"LHPIT5ORE",#N/A,FALSE,"L&amp;H_Pit 5a4100";"LHPIT5ROM",#N/A,FALSE,"L&amp;H_Pit 5a4100";"LHPIT5WASTELEACH",#N/A,FALSE,"L&amp;H_Pit 5a4100";"LHPIT5WASTEFRESH",#N/A,FALSE,"L&amp;H_Pit 5a4100";"LHPIT6ORE",#N/A,FALSE,"L&amp;H_Pit 6a4100";"LHPIT6ROM",#N/A,FALSE,"L&amp;H_Pit 6a4100";"LHPIT6WASTELEACH",#N/A,FALSE,"L&amp;H_Pit 6a4100";"LHPIT6WASTEFRESH",#N/A,FALSE,"L&amp;H_Pit 6a4100";"LHPIT1994ORE",#N/A,FALSE,"L&amp;H_Pit 1a994";"LHPIT1994ROM",#N/A,FALSE,"L&amp;H_Pit 1a994";"LHPIT1994WASTELEACH",#N/A,FALSE,"L&amp;H_Pit 1a994";"LHPIT1994WASTEFRESH",#N/A,FALSE,"L&amp;H_Pit 1a994";"LHPIT2994ORE",#N/A,FALSE,"L&amp;H_Pit 2a994";"LHPIT2994ROM",#N/A,FALSE,"L&amp;H_Pit 2a994";"LHPIT2994WASTELEACH",#N/A,FALSE,"L&amp;H_Pit 2a994";"LHPIT2994WASTEFRESH",#N/A,FALSE,"L&amp;H_Pit 2a994";"LHPIT3994ORE",#N/A,FALSE,"L&amp;H_Pit 3a994";"LHPIT3994ROM",#N/A,FALSE,"L&amp;H_Pit 3a994";"LHPIT3994WASTELEACH",#N/A,FALSE,"L&amp;H_Pit 3a994";"LHPIT3994WASTEFRESH",#N/A,FALSE,"L&amp;H_Pit 3a994";"LHPIT4994ORE",#N/A,FALSE,"L&amp;H_Pit 4a994";"LHPIT4994ROM",#N/A,FALSE,"L&amp;H_Pit 4a994";"LHPIT4994WASTELEACH",#N/A,FALSE,"L&amp;H_Pit 4a994";"LHPIT4994WASTEFRESH",#N/A,FALSE,"L&amp;H_Pit 4a994";"LHPIT5994ORE",#N/A,FALSE,"L&amp;H_Pit 5a994";"LHPIT5994ROM",#N/A,FALSE,"L&amp;H_Pit 5a994";"LHPIT5994WASTELEACH",#N/A,FALSE,"L&amp;H_Pit 5a994";"LHPIT5994WASTEFRESH",#N/A,FALSE,"L&amp;H_Pit 5a994";"LHPIT6994ORE",#N/A,FALSE,"L&amp;H_Pit 6a994";"LHPIT6994ROM",#N/A,FALSE,"L&amp;H_Pit 6a994";"LHPIT6994WASTELEACH",#N/A,FALSE,"L&amp;H_Pit 6a994";"LHPIT6994WASTEFRESH",#N/A,FALSE,"L&amp;H_Pit 6a994";"LHPIT1RH200ORE",#N/A,FALSE,"L&amp;H_Pit 1aRH200";"LHPIT1RH200ROM",#N/A,FALSE,"L&amp;H_Pit 1aRH200";"LHPIT1RH200WASTELEACH",#N/A,FALSE,"L&amp;H_Pit 1aRH200";"LHPIT1RH200WASTEFRESH",#N/A,FALSE,"L&amp;H_Pit 1aRH200"}</definedName>
    <definedName name="dj" localSheetId="2" hidden="1">{"LHPIT1ORE",#N/A,FALSE,"L&amp;H_Pit 1a4100";"LHPIT1ROM",#N/A,FALSE,"L&amp;H_Pit 1a4100";"LHPIT1WASTELEACH",#N/A,FALSE,"L&amp;H_Pit 1a4100";"LHPIT1WASTEFRESH",#N/A,FALSE,"L&amp;H_Pit 1a4100";"LHPIT2ORE",#N/A,FALSE,"L&amp;H_Pit 2a4100";"LHPIT2ROM",#N/A,FALSE,"L&amp;H_Pit 2a4100";"LHPIT2WASTELEACH",#N/A,FALSE,"L&amp;H_Pit 2a4100";"LHPIT2WASTEFRESH",#N/A,FALSE,"L&amp;H_Pit 2a4100";"LHPIT3ORE",#N/A,FALSE,"L&amp;H_Pit 3a4100";"LHPIT3ROM",#N/A,FALSE,"L&amp;H_Pit 3a4100";"LHPIT3WASTELEACH",#N/A,FALSE,"L&amp;H_Pit 3a4100";"LHPIT3WASTEFRESH",#N/A,FALSE,"L&amp;H_Pit 3a4100";"LHPIT4ORE",#N/A,FALSE,"L&amp;H_Pit 4a4100";"LHPIT4ROM",#N/A,FALSE,"L&amp;H_Pit 4a4100";"LHPIT4WASTELEACH",#N/A,FALSE,"L&amp;H_Pit 4a4100";"LHPIT4WASTEFRESH",#N/A,FALSE,"L&amp;H_Pit 4a4100";"LHPIT5ORE",#N/A,FALSE,"L&amp;H_Pit 5a4100";"LHPIT5ROM",#N/A,FALSE,"L&amp;H_Pit 5a4100";"LHPIT5WASTELEACH",#N/A,FALSE,"L&amp;H_Pit 5a4100";"LHPIT5WASTEFRESH",#N/A,FALSE,"L&amp;H_Pit 5a4100";"LHPIT6ORE",#N/A,FALSE,"L&amp;H_Pit 6a4100";"LHPIT6ROM",#N/A,FALSE,"L&amp;H_Pit 6a4100";"LHPIT6WASTELEACH",#N/A,FALSE,"L&amp;H_Pit 6a4100";"LHPIT6WASTEFRESH",#N/A,FALSE,"L&amp;H_Pit 6a4100";"LHPIT1994ORE",#N/A,FALSE,"L&amp;H_Pit 1a994";"LHPIT1994ROM",#N/A,FALSE,"L&amp;H_Pit 1a994";"LHPIT1994WASTELEACH",#N/A,FALSE,"L&amp;H_Pit 1a994";"LHPIT1994WASTEFRESH",#N/A,FALSE,"L&amp;H_Pit 1a994";"LHPIT2994ORE",#N/A,FALSE,"L&amp;H_Pit 2a994";"LHPIT2994ROM",#N/A,FALSE,"L&amp;H_Pit 2a994";"LHPIT2994WASTELEACH",#N/A,FALSE,"L&amp;H_Pit 2a994";"LHPIT2994WASTEFRESH",#N/A,FALSE,"L&amp;H_Pit 2a994";"LHPIT3994ORE",#N/A,FALSE,"L&amp;H_Pit 3a994";"LHPIT3994ROM",#N/A,FALSE,"L&amp;H_Pit 3a994";"LHPIT3994WASTELEACH",#N/A,FALSE,"L&amp;H_Pit 3a994";"LHPIT3994WASTEFRESH",#N/A,FALSE,"L&amp;H_Pit 3a994";"LHPIT4994ORE",#N/A,FALSE,"L&amp;H_Pit 4a994";"LHPIT4994ROM",#N/A,FALSE,"L&amp;H_Pit 4a994";"LHPIT4994WASTELEACH",#N/A,FALSE,"L&amp;H_Pit 4a994";"LHPIT4994WASTEFRESH",#N/A,FALSE,"L&amp;H_Pit 4a994";"LHPIT5994ORE",#N/A,FALSE,"L&amp;H_Pit 5a994";"LHPIT5994ROM",#N/A,FALSE,"L&amp;H_Pit 5a994";"LHPIT5994WASTELEACH",#N/A,FALSE,"L&amp;H_Pit 5a994";"LHPIT5994WASTEFRESH",#N/A,FALSE,"L&amp;H_Pit 5a994";"LHPIT6994ORE",#N/A,FALSE,"L&amp;H_Pit 6a994";"LHPIT6994ROM",#N/A,FALSE,"L&amp;H_Pit 6a994";"LHPIT6994WASTELEACH",#N/A,FALSE,"L&amp;H_Pit 6a994";"LHPIT6994WASTEFRESH",#N/A,FALSE,"L&amp;H_Pit 6a994";"LHPIT1RH200ORE",#N/A,FALSE,"L&amp;H_Pit 1aRH200";"LHPIT1RH200ROM",#N/A,FALSE,"L&amp;H_Pit 1aRH200";"LHPIT1RH200WASTELEACH",#N/A,FALSE,"L&amp;H_Pit 1aRH200";"LHPIT1RH200WASTEFRESH",#N/A,FALSE,"L&amp;H_Pit 1aRH200"}</definedName>
    <definedName name="dj" hidden="1">{"LHPIT1ORE",#N/A,FALSE,"L&amp;H_Pit 1a4100";"LHPIT1ROM",#N/A,FALSE,"L&amp;H_Pit 1a4100";"LHPIT1WASTELEACH",#N/A,FALSE,"L&amp;H_Pit 1a4100";"LHPIT1WASTEFRESH",#N/A,FALSE,"L&amp;H_Pit 1a4100";"LHPIT2ORE",#N/A,FALSE,"L&amp;H_Pit 2a4100";"LHPIT2ROM",#N/A,FALSE,"L&amp;H_Pit 2a4100";"LHPIT2WASTELEACH",#N/A,FALSE,"L&amp;H_Pit 2a4100";"LHPIT2WASTEFRESH",#N/A,FALSE,"L&amp;H_Pit 2a4100";"LHPIT3ORE",#N/A,FALSE,"L&amp;H_Pit 3a4100";"LHPIT3ROM",#N/A,FALSE,"L&amp;H_Pit 3a4100";"LHPIT3WASTELEACH",#N/A,FALSE,"L&amp;H_Pit 3a4100";"LHPIT3WASTEFRESH",#N/A,FALSE,"L&amp;H_Pit 3a4100";"LHPIT4ORE",#N/A,FALSE,"L&amp;H_Pit 4a4100";"LHPIT4ROM",#N/A,FALSE,"L&amp;H_Pit 4a4100";"LHPIT4WASTELEACH",#N/A,FALSE,"L&amp;H_Pit 4a4100";"LHPIT4WASTEFRESH",#N/A,FALSE,"L&amp;H_Pit 4a4100";"LHPIT5ORE",#N/A,FALSE,"L&amp;H_Pit 5a4100";"LHPIT5ROM",#N/A,FALSE,"L&amp;H_Pit 5a4100";"LHPIT5WASTELEACH",#N/A,FALSE,"L&amp;H_Pit 5a4100";"LHPIT5WASTEFRESH",#N/A,FALSE,"L&amp;H_Pit 5a4100";"LHPIT6ORE",#N/A,FALSE,"L&amp;H_Pit 6a4100";"LHPIT6ROM",#N/A,FALSE,"L&amp;H_Pit 6a4100";"LHPIT6WASTELEACH",#N/A,FALSE,"L&amp;H_Pit 6a4100";"LHPIT6WASTEFRESH",#N/A,FALSE,"L&amp;H_Pit 6a4100";"LHPIT1994ORE",#N/A,FALSE,"L&amp;H_Pit 1a994";"LHPIT1994ROM",#N/A,FALSE,"L&amp;H_Pit 1a994";"LHPIT1994WASTELEACH",#N/A,FALSE,"L&amp;H_Pit 1a994";"LHPIT1994WASTEFRESH",#N/A,FALSE,"L&amp;H_Pit 1a994";"LHPIT2994ORE",#N/A,FALSE,"L&amp;H_Pit 2a994";"LHPIT2994ROM",#N/A,FALSE,"L&amp;H_Pit 2a994";"LHPIT2994WASTELEACH",#N/A,FALSE,"L&amp;H_Pit 2a994";"LHPIT2994WASTEFRESH",#N/A,FALSE,"L&amp;H_Pit 2a994";"LHPIT3994ORE",#N/A,FALSE,"L&amp;H_Pit 3a994";"LHPIT3994ROM",#N/A,FALSE,"L&amp;H_Pit 3a994";"LHPIT3994WASTELEACH",#N/A,FALSE,"L&amp;H_Pit 3a994";"LHPIT3994WASTEFRESH",#N/A,FALSE,"L&amp;H_Pit 3a994";"LHPIT4994ORE",#N/A,FALSE,"L&amp;H_Pit 4a994";"LHPIT4994ROM",#N/A,FALSE,"L&amp;H_Pit 4a994";"LHPIT4994WASTELEACH",#N/A,FALSE,"L&amp;H_Pit 4a994";"LHPIT4994WASTEFRESH",#N/A,FALSE,"L&amp;H_Pit 4a994";"LHPIT5994ORE",#N/A,FALSE,"L&amp;H_Pit 5a994";"LHPIT5994ROM",#N/A,FALSE,"L&amp;H_Pit 5a994";"LHPIT5994WASTELEACH",#N/A,FALSE,"L&amp;H_Pit 5a994";"LHPIT5994WASTEFRESH",#N/A,FALSE,"L&amp;H_Pit 5a994";"LHPIT6994ORE",#N/A,FALSE,"L&amp;H_Pit 6a994";"LHPIT6994ROM",#N/A,FALSE,"L&amp;H_Pit 6a994";"LHPIT6994WASTELEACH",#N/A,FALSE,"L&amp;H_Pit 6a994";"LHPIT6994WASTEFRESH",#N/A,FALSE,"L&amp;H_Pit 6a994";"LHPIT1RH200ORE",#N/A,FALSE,"L&amp;H_Pit 1aRH200";"LHPIT1RH200ROM",#N/A,FALSE,"L&amp;H_Pit 1aRH200";"LHPIT1RH200WASTELEACH",#N/A,FALSE,"L&amp;H_Pit 1aRH200";"LHPIT1RH200WASTEFRESH",#N/A,FALSE,"L&amp;H_Pit 1aRH200"}</definedName>
    <definedName name="djk" localSheetId="1" hidden="1">{"EQUIPHRSREQINSERVICE",#N/A,FALSE,"Equipment Schedule";"EQUIPSERVLIFEREMAININGPURCHASE",#N/A,FALSE,"Equipment Schedule";"EQUIPUPTOFUELUSAGE",#N/A,FALSE,"Equipment Schedule"}</definedName>
    <definedName name="djk" localSheetId="2" hidden="1">{"EQUIPHRSREQINSERVICE",#N/A,FALSE,"Equipment Schedule";"EQUIPSERVLIFEREMAININGPURCHASE",#N/A,FALSE,"Equipment Schedule";"EQUIPUPTOFUELUSAGE",#N/A,FALSE,"Equipment Schedule"}</definedName>
    <definedName name="djk" hidden="1">{"EQUIPHRSREQINSERVICE",#N/A,FALSE,"Equipment Schedule";"EQUIPSERVLIFEREMAININGPURCHASE",#N/A,FALSE,"Equipment Schedule";"EQUIPUPTOFUELUSAGE",#N/A,FALSE,"Equipment Schedule"}</definedName>
    <definedName name="DrAvail">#REF!</definedName>
    <definedName name="DrillBlastRevenue">#REF!</definedName>
    <definedName name="drillfuel">#REF!</definedName>
    <definedName name="drillprod">#REF!</definedName>
    <definedName name="drillprod_1">#REF!</definedName>
    <definedName name="drillprod_2">#REF!</definedName>
    <definedName name="drillsmu">#REF!</definedName>
    <definedName name="DrSMU">#REF!</definedName>
    <definedName name="DrUtil">#REF!</definedName>
    <definedName name="Dshift">#REF!</definedName>
    <definedName name="Dshift80">#REF!</definedName>
    <definedName name="Dshift85">#REF!</definedName>
    <definedName name="DtAvail">#REF!</definedName>
    <definedName name="DtSMU">#REF!</definedName>
    <definedName name="DtUtil">#REF!</definedName>
    <definedName name="dumptime">#REF!</definedName>
    <definedName name="effhour">#REF!</definedName>
    <definedName name="EmulCost">#REF!</definedName>
    <definedName name="EmulSG">#REF!</definedName>
    <definedName name="Entity">#REF!</definedName>
    <definedName name="EntityCode">#REF!</definedName>
    <definedName name="Environmental_Management_Cost">#REF!</definedName>
    <definedName name="EPMWorkbookOptions_1" hidden="1">"dgEAAB|LCAAAAAAABADtvQdgHEmWJSYvbcp7f0r1StfgdKEIgGATJNiQQBDswYjN5pLsHWlHIymrKoHKZVZlXWYWQMztnbz33nvvvffee||997o7nU4n99//P1xmZAFs9s5K2smeIYCqyB8/fnwfPyIe/x7vFmV6mddNUS0/|2h3vPNRmi|n1axYXnz20bo939799KPf4|g3Th5/t6rfTqrq7Zerlpo2Kb23bB69a4rPPpq37erR3btXV1fjq3v"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"jqr64u7ezs3v39/7i|evpPF9k28WyabPlNP/IvjW7|a2PqNc0ffwqP6/zZv7l8stVvjw6z8omf3w3/JDbnZR5Vj/N2uzL5evsMjctux9zWzOWl3XV5tM2n5nW/S/C9lez9K58dNb8ZFYX2aTMv8jrCweh9zmRzoJV2h39P45h/1l2AQAA"</definedName>
    <definedName name="EPMWorkbookOptions_3" hidden="1">"VEjmrp3cGvvl3MZvnyabHIlw0jOtzUIdkEbajV63l1ZWGcVGVVH7X1mtCKfLHpVR5F5M3e6PRFYoM2f9c|yy6rumgJL54Jebn33S3ef1bUTeshEP||A8hiOUyg27by2321LH7ROueRH0|n1XrZPr4b|3ITDKE4CfP9nd17B7segNhc8Ltf1rO8Ptp5fFd|iUJvVmV2/bKuVnndXh/t3v/0/nk|Od||/|lsf3t/7/zh9sH9PN/eyfK9/dnkwf6Dy"</definedName>
    <definedName name="EPMWorkbookOptions_4" hidden="1">"T30HL4VAfw8a9rXeUlync||yBcTUk|RZiFTRhtQE3nfI9P3jk9OvvzqxZvvj7/37V36582rs|PnT46fH784OSXR7bUfgPvtIq|zejq/dk1T0oaPlkX52UdgnI86EuS9G5m92737|O5NI/5GSPJw58Hu/R/RQtjjyze//|kXL3//ky9f/IgiTJH7O/T8iBZMi5evvnz6|s3xm9f/X6fH47u3Ubqe3fhZs3EnWZtfVPX11zdyOzv7Bzs7t7dxu///"</definedName>
    <definedName name="EPMWorkbookOptions_5" hidden="1">"s3Enx29OP//y1e9j|PT45M1Xx8//v86k3xQ1nnz19PPTNz|ihuWNlz/xk8evfkQPR4/f5/8H9Ph/j0pHaP66nn5tjX7v3v37|/v7t9foe///0|hPj98cv3514rmlx8/1s7Nnr/4/7398Q2QBKX5/ps3x0||cvXj51c9bLd8hzMuXxz|iS4Qunx8fv/wRYYYUzP9faPL/IlOYr7K6pc|/fhLv0we7OwcHD25vDe/9/9Aanr48fvXmi1MXiT/d4ef"</definedName>
    <definedName name="EPMWorkbookOptions_6" hidden="1">"/65z6zRBkDwTZ/RFBQoLcu7dz78GPCOIIsvdwZ3dn70cECXXI/|cJ8v8ma9dmRfm1LR1psE8/Jam9vanb//|jqXtzfPbcsuib59|kUv854tBvhhYvvvz99YMfCazX7FatBgT2dNkW7Qek3t97ffn|//8ElgzK2ZvfxxjZ12RQfv56YY4Wu0KLnZ3dH9FiX2ixf|/hj2hhaPEjGfnet|8JLe79f58W/||xaGfL9qT6IRq0T///Z9DOXrw5|dLo8O"</definedName>
    <definedName name="EPMWorkbookOptions_7" hidden="1">"Pnz39/|uD0FX30/3Em/Ubo8eLLF/9/ocf/e4T21aoVVKc/TF/0wf//RPfVyzcnX716dfrixDphX71||v91Rv0GqfH57//z20EfIsnPY38sQpLnJz8iRsgf/z|I4/7fY|7e0Gc/RDt38P8/O/fm7ItTw597O7t746enP29FtkOL/fF3vvr/fIb0G6PFF8e/z49oYfnixY9oobT4iR|t|gXNbtUqPpyjL06PX3/16vT1D9GkPXwPk7b/4OG9vfP9T"</definedName>
    <definedName name="EPMWorkbookOptions_8" hidden="1">"7cnDya7ZNJ2HmxPPn14b3v28PxBtnuQZVk||3|BSTNUJA6l/708fXX25dOzn7dGLaTG7/Pm520MGxLiJ/6/T4hvUG/dolGATbzR47vHq1VZTLOW4NjPg09Nc4JWLZeEOH32NGsz/tj/8E3VHfzjV/l5nTfzL5dfrvLl0XlWNuT7hx9yu5Myz2oA/XL5OrvMTcvux9z2u1X9dlJVb0lbtUxG07r/Rdj|aqaz9vis|cmsLrJJmX|R1xcOQu/z3zhx"</definedName>
    <definedName name="EPMWorkbookOptions_9" hidden="1">"YL9cCTX|Hyc961VHQAAA"</definedName>
    <definedName name="equip">#REF!</definedName>
    <definedName name="EquityRatio">#REF!</definedName>
    <definedName name="Europe">#REF!</definedName>
    <definedName name="EV__EVCOM_OPTIONS__" hidden="1">8</definedName>
    <definedName name="EV__EXPOPTIONS__" hidden="1">0</definedName>
    <definedName name="EV__LASTREFTIME__" hidden="1">40862.4497222222</definedName>
    <definedName name="EV__MAXEXPCOLS__" hidden="1">100</definedName>
    <definedName name="EV__MAXEXPROWS__" hidden="1">1000</definedName>
    <definedName name="EV__MEMORYCVW__" hidden="1">0</definedName>
    <definedName name="EV__WBEVMODE__" hidden="1">0</definedName>
    <definedName name="EV__WBREFOPTIONS__" hidden="1">134217735</definedName>
    <definedName name="EV__WBVERSION__" hidden="1">0</definedName>
    <definedName name="EV__WSINFO__" hidden="1">"KARS"</definedName>
    <definedName name="Ex325slope">#REF!</definedName>
    <definedName name="Ex325tloading">#REF!</definedName>
    <definedName name="Ex325trench">#REF!</definedName>
    <definedName name="Ex365bloading">#REF!</definedName>
    <definedName name="Ex365tloading">#REF!</definedName>
    <definedName name="ExAvail">#REF!</definedName>
    <definedName name="Excel_BuiltIn__FilterDatabase_28">#REF!</definedName>
    <definedName name="Excel_BuiltIn__FilterDatabase_3">#REF!</definedName>
    <definedName name="Excel_BuiltIn__FilterDatabase_6">#REF!</definedName>
    <definedName name="Excel_BuiltIn__FilterDatabase_7">#REF!</definedName>
    <definedName name="Excel_BuiltIn_Print_Area_15">#REF!</definedName>
    <definedName name="Excel_BuiltIn_Print_Area_17">#REF!</definedName>
    <definedName name="Excel_BuiltIn_Print_Area_26">#REF!</definedName>
    <definedName name="Excel_BuiltIn_Print_Area_27">#REF!</definedName>
    <definedName name="Excel_BuiltIn_Print_Area_28">#REF!</definedName>
    <definedName name="Excel_BuiltIn_Print_Area_3">#REF!</definedName>
    <definedName name="Excel_BuiltIn_Print_Area_30">#REF!</definedName>
    <definedName name="Excel_BuiltIn_Print_Area_31">#REF!</definedName>
    <definedName name="Excel_BuiltIn_Print_Area_32">#REF!</definedName>
    <definedName name="Excel_BuiltIn_Print_Area_33">#REF!</definedName>
    <definedName name="Excel_BuiltIn_Print_Area_6">#REF!</definedName>
    <definedName name="ExchangeRate">4700</definedName>
    <definedName name="Expl_Disc">0.49</definedName>
    <definedName name="Exploration_1996">#REF!</definedName>
    <definedName name="ExSMU">#REF!</definedName>
    <definedName name="ExternalPlant_D10">#REF!</definedName>
    <definedName name="ExternalPlant_SC">#REF!</definedName>
    <definedName name="extraholes">#REF!</definedName>
    <definedName name="ExUtil">#REF!</definedName>
    <definedName name="FcastDec03">#REF!</definedName>
    <definedName name="fdkjg" localSheetId="1"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fdkjg" localSheetId="2"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fdkjg"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Feb">#REF!</definedName>
    <definedName name="ff" localSheetId="1"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ff" localSheetId="2"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ff"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fffffff" localSheetId="1"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fffffff" localSheetId="2"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fffffff"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fffffffff" localSheetId="1" hidden="1">{#N/A,#N/A,TRUE,"CONTENTS";#N/A,#N/A,TRUE,"M2";#N/A,#N/A,TRUE,"M2a";#N/A,#N/A,TRUE,"M2b";#N/A,#N/A,TRUE,"M3";#N/A,#N/A,TRUE,"M3a";#N/A,#N/A,TRUE,"M4-P";#N/A,#N/A,TRUE,"M5";#N/A,#N/A,TRUE,"M6";#N/A,#N/A,TRUE,"M7";#N/A,#N/A,TRUE,"M8";#N/A,#N/A,TRUE,"M9";#N/A,#N/A,TRUE,"M10";#N/A,#N/A,TRUE,"M11";#N/A,#N/A,TRUE,"M13";#N/A,#N/A,TRUE,"M14";#N/A,#N/A,TRUE,"M15";#N/A,#N/A,TRUE,"K1"}</definedName>
    <definedName name="fffffffff" localSheetId="2" hidden="1">{#N/A,#N/A,TRUE,"CONTENTS";#N/A,#N/A,TRUE,"M2";#N/A,#N/A,TRUE,"M2a";#N/A,#N/A,TRUE,"M2b";#N/A,#N/A,TRUE,"M3";#N/A,#N/A,TRUE,"M3a";#N/A,#N/A,TRUE,"M4-P";#N/A,#N/A,TRUE,"M5";#N/A,#N/A,TRUE,"M6";#N/A,#N/A,TRUE,"M7";#N/A,#N/A,TRUE,"M8";#N/A,#N/A,TRUE,"M9";#N/A,#N/A,TRUE,"M10";#N/A,#N/A,TRUE,"M11";#N/A,#N/A,TRUE,"M13";#N/A,#N/A,TRUE,"M14";#N/A,#N/A,TRUE,"M15";#N/A,#N/A,TRUE,"K1"}</definedName>
    <definedName name="fffffffff" hidden="1">{#N/A,#N/A,TRUE,"CONTENTS";#N/A,#N/A,TRUE,"M2";#N/A,#N/A,TRUE,"M2a";#N/A,#N/A,TRUE,"M2b";#N/A,#N/A,TRUE,"M3";#N/A,#N/A,TRUE,"M3a";#N/A,#N/A,TRUE,"M4-P";#N/A,#N/A,TRUE,"M5";#N/A,#N/A,TRUE,"M6";#N/A,#N/A,TRUE,"M7";#N/A,#N/A,TRUE,"M8";#N/A,#N/A,TRUE,"M9";#N/A,#N/A,TRUE,"M10";#N/A,#N/A,TRUE,"M11";#N/A,#N/A,TRUE,"M13";#N/A,#N/A,TRUE,"M14";#N/A,#N/A,TRUE,"M15";#N/A,#N/A,TRUE,"K1"}</definedName>
    <definedName name="Fleet">#REF!</definedName>
    <definedName name="foe">#REF!</definedName>
    <definedName name="For">#REF!</definedName>
    <definedName name="Fore">#REF!</definedName>
    <definedName name="Forecast2005">#REF!</definedName>
    <definedName name="Freedig">#REF!</definedName>
    <definedName name="Frequency">#REF!</definedName>
    <definedName name="fREQUENCY1">#REF!</definedName>
    <definedName name="Frequency2">#REF!</definedName>
    <definedName name="Fuel">#REF!</definedName>
    <definedName name="Fuel_Admin">#REF!</definedName>
    <definedName name="Fuel_Ancil">#REF!</definedName>
    <definedName name="Fuel_BackCharge">30196</definedName>
    <definedName name="Fuel_LH">#REF!</definedName>
    <definedName name="Fuel_Reclaim">#REF!</definedName>
    <definedName name="fuel25tExc">#REF!</definedName>
    <definedName name="fuel780B">#REF!</definedName>
    <definedName name="fuel988">#REF!</definedName>
    <definedName name="fuelA40D">#REF!</definedName>
    <definedName name="fuelcost">#REF!</definedName>
    <definedName name="fuelCost_Per_Hr_375">55*0.49</definedName>
    <definedName name="fuelCost_Per_Hr_777">65*0.45</definedName>
    <definedName name="fuelCost_Per_Hr_984">100*0.49</definedName>
    <definedName name="FuelCostPerLt">#REF!</definedName>
    <definedName name="fuelD10R">#REF!</definedName>
    <definedName name="fuelD8R">#REF!</definedName>
    <definedName name="fuelD9R">#REF!</definedName>
    <definedName name="fuelEH1700">#REF!</definedName>
    <definedName name="fuelEX1900">#REF!</definedName>
    <definedName name="fuelServiceTr">#REF!</definedName>
    <definedName name="fuelvolvo">#REF!</definedName>
    <definedName name="fuelWD834">#REF!</definedName>
    <definedName name="fuelZX850">#REF!</definedName>
    <definedName name="G14Hfinalgrade">#REF!</definedName>
    <definedName name="General_costs">#REF!</definedName>
    <definedName name="Geology_Cost">#REF!</definedName>
    <definedName name="Geology_Department_Cost">#REF!</definedName>
    <definedName name="GeoRegion">#REF!</definedName>
    <definedName name="ggw" localSheetId="1"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ggw" localSheetId="2"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ggw"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Glob_Disc">0.93</definedName>
    <definedName name="Glob_Discount">0.93</definedName>
    <definedName name="Gold_contango">#REF!</definedName>
    <definedName name="Gold_grade">#REF!</definedName>
    <definedName name="Gold_price">#REF!</definedName>
    <definedName name="Gold_retention">#REF!</definedName>
    <definedName name="GoldConcRecovery">#REF!</definedName>
    <definedName name="GoldRC">#REF!</definedName>
    <definedName name="gotoapexample">#REF!</definedName>
    <definedName name="GoToCharInputs1">#REF!</definedName>
    <definedName name="GoToChartInputs2">#REF!</definedName>
    <definedName name="gotof1">#REF!</definedName>
    <definedName name="gotof2">#REF!</definedName>
    <definedName name="gotof3">#REF!</definedName>
    <definedName name="gotof4">#REF!</definedName>
    <definedName name="GoToFrontEnd">#REF!</definedName>
    <definedName name="gotok1">#REF!</definedName>
    <definedName name="gotok1med">#REF!</definedName>
    <definedName name="gotok1per">#REF!</definedName>
    <definedName name="gotok1ppd">#REF!</definedName>
    <definedName name="gotos2chart">#REF!</definedName>
    <definedName name="gotos3">#REF!</definedName>
    <definedName name="gotos3a">#REF!</definedName>
    <definedName name="gotos4">#REF!</definedName>
    <definedName name="gotos5">#REF!</definedName>
    <definedName name="gotos5chart">#REF!</definedName>
    <definedName name="gotos6">#REF!</definedName>
    <definedName name="gotos7">#REF!</definedName>
    <definedName name="gotos8">#REF!</definedName>
    <definedName name="gotos9">#REF!</definedName>
    <definedName name="Gr140Gberm">#REF!</definedName>
    <definedName name="Gr140Gbgrade">#REF!</definedName>
    <definedName name="Gr140Ghmaint">#REF!</definedName>
    <definedName name="Gr140Gsclay">#REF!</definedName>
    <definedName name="Gr140Gsgrade">#REF!</definedName>
    <definedName name="Gr140Gslope">#REF!</definedName>
    <definedName name="Gr14Grdmaint">#REF!</definedName>
    <definedName name="Gr16Grdmaint">#REF!</definedName>
    <definedName name="Gram_oz">#REF!</definedName>
    <definedName name="Grid_Increase">#REF!</definedName>
    <definedName name="gs">#REF!</definedName>
    <definedName name="HlRd_Sched">#REF!</definedName>
    <definedName name="HourlyPitRatio">#REF!</definedName>
    <definedName name="HR_Const_Rate">#REF!</definedName>
    <definedName name="HR_Constr">#REF!</definedName>
    <definedName name="HR_PlantCost">#REF!</definedName>
    <definedName name="HRFactor">#REF!</definedName>
    <definedName name="hru" localSheetId="1" hidden="1">{"COST_HPSUMMARY",#N/A,FALSE,"Cost_HP Summary";"COSTSUMMARY",#N/A,FALSE,"Cost Summary";"PITMOVEMENTSUMMARY",#N/A,FALSE,"Equipment Schedule";"LABOURMANNING",#N/A,FALSE,"Labour";"LABOURMANNEDCOST",#N/A,FALSE,"Labour";"LABOURUNITCOST",#N/A,FALSE,"Labour"}</definedName>
    <definedName name="hru" localSheetId="2" hidden="1">{"COST_HPSUMMARY",#N/A,FALSE,"Cost_HP Summary";"COSTSUMMARY",#N/A,FALSE,"Cost Summary";"PITMOVEMENTSUMMARY",#N/A,FALSE,"Equipment Schedule";"LABOURMANNING",#N/A,FALSE,"Labour";"LABOURMANNEDCOST",#N/A,FALSE,"Labour";"LABOURUNITCOST",#N/A,FALSE,"Labour"}</definedName>
    <definedName name="hru" hidden="1">{"COST_HPSUMMARY",#N/A,FALSE,"Cost_HP Summary";"COSTSUMMARY",#N/A,FALSE,"Cost Summary";"PITMOVEMENTSUMMARY",#N/A,FALSE,"Equipment Schedule";"LABOURMANNING",#N/A,FALSE,"Labour";"LABOURMANNEDCOST",#N/A,FALSE,"Labour";"LABOURUNITCOST",#N/A,FALSE,"Labour"}</definedName>
    <definedName name="Hydrochloric_Acid">#REF!</definedName>
    <definedName name="incbudget">#REF!</definedName>
    <definedName name="incstatsa">#REF!</definedName>
    <definedName name="index">#REF!</definedName>
    <definedName name="Inflation_Rate">#REF!</definedName>
    <definedName name="INHALT">#REF!</definedName>
    <definedName name="inhalt09">#REF!</definedName>
    <definedName name="Initial_Plant_and_Equip">#REF!</definedName>
    <definedName name="Initiative">#REF!</definedName>
    <definedName name="Insurance">#REF!</definedName>
    <definedName name="Interest">#REF!</definedName>
    <definedName name="InterestRate">#REF!</definedName>
    <definedName name="Internal_984_Rate">106.71</definedName>
    <definedName name="Internal_Rate_of_Return">#REF!</definedName>
    <definedName name="Internal_Truck_Rate">62.03</definedName>
    <definedName name="Jakarta_Office_Recharge_1998">#REF!</definedName>
    <definedName name="Jan">#REF!</definedName>
    <definedName name="JCChartType">#REF!</definedName>
    <definedName name="jd" localSheetId="1" hidden="1">{"HEADER",#N/A,FALSE,"Header";"ROADMAP",#N/A,FALSE,"Road Map";"SHOVEL4100",#N/A,FALSE,"Shovel";"TRUCKCOST",#N/A,FALSE,"Trucks";"RH200COST",#N/A,FALSE,"RH200";"CAT994COST",#N/A,FALSE,"Service_Eq.";"CATD10RCOST",#N/A,FALSE,"Service_Eq.";"CAT16HCOST",#N/A,FALSE,"Service_Eq.";"CAT854COST",#N/A,FALSE,"Service_Eq.";"WATERCARTCOST",#N/A,FALSE,"Service_Eq.";"FORKLIFTCOST",#N/A,FALSE,"Service_Eq.";"BACKHOECOST",#N/A,FALSE,"Service_Eq.";"LOWLOADERCOST",#N/A,FALSE,"Service_Eq.";"SUPPORTEQUIPCOST",#N/A,FALSE,"Service_Eq.";"DRILLCOST",#N/A,FALSE,"Drill"}</definedName>
    <definedName name="jd" localSheetId="2" hidden="1">{"HEADER",#N/A,FALSE,"Header";"ROADMAP",#N/A,FALSE,"Road Map";"SHOVEL4100",#N/A,FALSE,"Shovel";"TRUCKCOST",#N/A,FALSE,"Trucks";"RH200COST",#N/A,FALSE,"RH200";"CAT994COST",#N/A,FALSE,"Service_Eq.";"CATD10RCOST",#N/A,FALSE,"Service_Eq.";"CAT16HCOST",#N/A,FALSE,"Service_Eq.";"CAT854COST",#N/A,FALSE,"Service_Eq.";"WATERCARTCOST",#N/A,FALSE,"Service_Eq.";"FORKLIFTCOST",#N/A,FALSE,"Service_Eq.";"BACKHOECOST",#N/A,FALSE,"Service_Eq.";"LOWLOADERCOST",#N/A,FALSE,"Service_Eq.";"SUPPORTEQUIPCOST",#N/A,FALSE,"Service_Eq.";"DRILLCOST",#N/A,FALSE,"Drill"}</definedName>
    <definedName name="jd" hidden="1">{"HEADER",#N/A,FALSE,"Header";"ROADMAP",#N/A,FALSE,"Road Map";"SHOVEL4100",#N/A,FALSE,"Shovel";"TRUCKCOST",#N/A,FALSE,"Trucks";"RH200COST",#N/A,FALSE,"RH200";"CAT994COST",#N/A,FALSE,"Service_Eq.";"CATD10RCOST",#N/A,FALSE,"Service_Eq.";"CAT16HCOST",#N/A,FALSE,"Service_Eq.";"CAT854COST",#N/A,FALSE,"Service_Eq.";"WATERCARTCOST",#N/A,FALSE,"Service_Eq.";"FORKLIFTCOST",#N/A,FALSE,"Service_Eq.";"BACKHOECOST",#N/A,FALSE,"Service_Eq.";"LOWLOADERCOST",#N/A,FALSE,"Service_Eq.";"SUPPORTEQUIPCOST",#N/A,FALSE,"Service_Eq.";"DRILLCOST",#N/A,FALSE,"Drill"}</definedName>
    <definedName name="Jul">#REF!</definedName>
    <definedName name="Jun">#REF!</definedName>
    <definedName name="kan" localSheetId="1" hidden="1">{"KAN_HEADER",#N/A,FALSE,"Header";"KAN_ROADMAP",#N/A,FALSE,"Road Map";"KAN_BACKHOE1900COST",#N/A,FALSE,"BACKHOE_HITACHI_EX1900_COSTING";"KAN_TRUCK777",#N/A,FALSE,"Truck_777";"KAN_DRILLCOST",#N/A,FALSE,"Drill_EmulsionPattern";"KAN_CATD9RCOST",#N/A,FALSE,"Service_Eq.";"KAN_CAT16HCOST",#N/A,FALSE,"Service_Eq.";"KAN_CAT992COST",#N/A,FALSE,"Service_Eq.";"KAN_WATERCARTCOST",#N/A,FALSE,"Service_Eq.";"KAN_TOOLCARRIERCOST",#N/A,FALSE,"Service_Eq.";"KAN_BELLBACKHOECOST",#N/A,FALSE,"Service_Eq.";"KAN_BELLLUBECOST",#N/A,FALSE,"Service_Eq.";"KAN_CYCLETIMES",#N/A,FALSE,"Cycle Times";"KAN_TRUCKPRODUCTIVITY",#N/A,FALSE,"Cycle Times";"KAN_LH_MAIN1_ORE",#N/A,FALSE,"L&amp;H_Main_Stage1_HitachiEX1900";"KAN_LH_MAIN1_WASTE",#N/A,FALSE,"L&amp;H_Main_Stage1_HitachiEX1900";"KAN_LH_MAIN2_ORE",#N/A,FALSE,"L&amp;H_Main_Stage2_HitachiEX1900";"KAN_LH_MAIN2_WASTE",#N/A,FALSE,"L&amp;H_Main_Stage2_HitachiEX1900";"KAN_LH_MAIN3_ORE",#N/A,FALSE,"L&amp;H_Main_Stage3_HitachiEX1900";"KAN_LH_MAIN3_WASTE",#N/A,FALSE,"L&amp;H_Main_Stage3_HitachiEX1900";"KAN_LH_MAIN4_ORE",#N/A,FALSE,"L&amp;H_Main_Stage4_HitachiEX1900";"KAN_LH_MAIN4_WASTE",#N/A,FALSE,"L&amp;H_Main_Stage4_HitachiEX1900";"KAN_LH_MAIN5_ORE",#N/A,FALSE,"L&amp;H_Main_Stage5_HitachiEX1900";"KAN_LH_MAIN5_WASTE",#N/A,FALSE,"L&amp;H_Main_Stage5_HitachiEX1900";"KAN_LH_NW1_ORE",#N/A,FALSE,"L&amp;HNW_Stage1_HitachiEX1900";"KAN_LH_NW1_WASTE",#N/A,FALSE,"L&amp;HNW_Stage1_HitachiEX1900";"KAN_LH_NW2_ORE",#N/A,FALSE,"L&amp;HNW_Stage2_HitachiEX1900";"KAN_LH_NW2_WASTE",#N/A,FALSE,"L&amp;HNW_Stage2_HitachiEX1900";"KAN_LH_NW3_ORE",#N/A,FALSE,"L&amp;HNW_Stage3_HitachiEX1900";"KAN_LH_NW3_WASTE",#N/A,FALSE,"L&amp;HNW_Stage3_HitachiEX1900";"KAN_LH_NW4_ORE",#N/A,FALSE,"L&amp;HNW_Stage4_HitachiEX1900";"KAN_LH_NW4_WASTE",#N/A,FALSE,"L&amp;HNW_Stage4_HitachiEX1900";"KAN_UNITDRILLCOST",#N/A,FALSE,"Drill_EmulsionPattern";"KAN_UNITBLAST1",#N/A,FALSE,"Blast127Emulsion_140Anfo";"KAN_UNITBLAST2",#N/A,FALSE,"Blast127Emulsion_140Anfo";"KAN_DR_BL_SUMMARYUNITCOSTS",#N/A,FALSE,"Summary_Drill&amp;BlastUnitCosts"}</definedName>
    <definedName name="kan" localSheetId="2" hidden="1">{"KAN_HEADER",#N/A,FALSE,"Header";"KAN_ROADMAP",#N/A,FALSE,"Road Map";"KAN_BACKHOE1900COST",#N/A,FALSE,"BACKHOE_HITACHI_EX1900_COSTING";"KAN_TRUCK777",#N/A,FALSE,"Truck_777";"KAN_DRILLCOST",#N/A,FALSE,"Drill_EmulsionPattern";"KAN_CATD9RCOST",#N/A,FALSE,"Service_Eq.";"KAN_CAT16HCOST",#N/A,FALSE,"Service_Eq.";"KAN_CAT992COST",#N/A,FALSE,"Service_Eq.";"KAN_WATERCARTCOST",#N/A,FALSE,"Service_Eq.";"KAN_TOOLCARRIERCOST",#N/A,FALSE,"Service_Eq.";"KAN_BELLBACKHOECOST",#N/A,FALSE,"Service_Eq.";"KAN_BELLLUBECOST",#N/A,FALSE,"Service_Eq.";"KAN_CYCLETIMES",#N/A,FALSE,"Cycle Times";"KAN_TRUCKPRODUCTIVITY",#N/A,FALSE,"Cycle Times";"KAN_LH_MAIN1_ORE",#N/A,FALSE,"L&amp;H_Main_Stage1_HitachiEX1900";"KAN_LH_MAIN1_WASTE",#N/A,FALSE,"L&amp;H_Main_Stage1_HitachiEX1900";"KAN_LH_MAIN2_ORE",#N/A,FALSE,"L&amp;H_Main_Stage2_HitachiEX1900";"KAN_LH_MAIN2_WASTE",#N/A,FALSE,"L&amp;H_Main_Stage2_HitachiEX1900";"KAN_LH_MAIN3_ORE",#N/A,FALSE,"L&amp;H_Main_Stage3_HitachiEX1900";"KAN_LH_MAIN3_WASTE",#N/A,FALSE,"L&amp;H_Main_Stage3_HitachiEX1900";"KAN_LH_MAIN4_ORE",#N/A,FALSE,"L&amp;H_Main_Stage4_HitachiEX1900";"KAN_LH_MAIN4_WASTE",#N/A,FALSE,"L&amp;H_Main_Stage4_HitachiEX1900";"KAN_LH_MAIN5_ORE",#N/A,FALSE,"L&amp;H_Main_Stage5_HitachiEX1900";"KAN_LH_MAIN5_WASTE",#N/A,FALSE,"L&amp;H_Main_Stage5_HitachiEX1900";"KAN_LH_NW1_ORE",#N/A,FALSE,"L&amp;HNW_Stage1_HitachiEX1900";"KAN_LH_NW1_WASTE",#N/A,FALSE,"L&amp;HNW_Stage1_HitachiEX1900";"KAN_LH_NW2_ORE",#N/A,FALSE,"L&amp;HNW_Stage2_HitachiEX1900";"KAN_LH_NW2_WASTE",#N/A,FALSE,"L&amp;HNW_Stage2_HitachiEX1900";"KAN_LH_NW3_ORE",#N/A,FALSE,"L&amp;HNW_Stage3_HitachiEX1900";"KAN_LH_NW3_WASTE",#N/A,FALSE,"L&amp;HNW_Stage3_HitachiEX1900";"KAN_LH_NW4_ORE",#N/A,FALSE,"L&amp;HNW_Stage4_HitachiEX1900";"KAN_LH_NW4_WASTE",#N/A,FALSE,"L&amp;HNW_Stage4_HitachiEX1900";"KAN_UNITDRILLCOST",#N/A,FALSE,"Drill_EmulsionPattern";"KAN_UNITBLAST1",#N/A,FALSE,"Blast127Emulsion_140Anfo";"KAN_UNITBLAST2",#N/A,FALSE,"Blast127Emulsion_140Anfo";"KAN_DR_BL_SUMMARYUNITCOSTS",#N/A,FALSE,"Summary_Drill&amp;BlastUnitCosts"}</definedName>
    <definedName name="kan" hidden="1">{"KAN_HEADER",#N/A,FALSE,"Header";"KAN_ROADMAP",#N/A,FALSE,"Road Map";"KAN_BACKHOE1900COST",#N/A,FALSE,"BACKHOE_HITACHI_EX1900_COSTING";"KAN_TRUCK777",#N/A,FALSE,"Truck_777";"KAN_DRILLCOST",#N/A,FALSE,"Drill_EmulsionPattern";"KAN_CATD9RCOST",#N/A,FALSE,"Service_Eq.";"KAN_CAT16HCOST",#N/A,FALSE,"Service_Eq.";"KAN_CAT992COST",#N/A,FALSE,"Service_Eq.";"KAN_WATERCARTCOST",#N/A,FALSE,"Service_Eq.";"KAN_TOOLCARRIERCOST",#N/A,FALSE,"Service_Eq.";"KAN_BELLBACKHOECOST",#N/A,FALSE,"Service_Eq.";"KAN_BELLLUBECOST",#N/A,FALSE,"Service_Eq.";"KAN_CYCLETIMES",#N/A,FALSE,"Cycle Times";"KAN_TRUCKPRODUCTIVITY",#N/A,FALSE,"Cycle Times";"KAN_LH_MAIN1_ORE",#N/A,FALSE,"L&amp;H_Main_Stage1_HitachiEX1900";"KAN_LH_MAIN1_WASTE",#N/A,FALSE,"L&amp;H_Main_Stage1_HitachiEX1900";"KAN_LH_MAIN2_ORE",#N/A,FALSE,"L&amp;H_Main_Stage2_HitachiEX1900";"KAN_LH_MAIN2_WASTE",#N/A,FALSE,"L&amp;H_Main_Stage2_HitachiEX1900";"KAN_LH_MAIN3_ORE",#N/A,FALSE,"L&amp;H_Main_Stage3_HitachiEX1900";"KAN_LH_MAIN3_WASTE",#N/A,FALSE,"L&amp;H_Main_Stage3_HitachiEX1900";"KAN_LH_MAIN4_ORE",#N/A,FALSE,"L&amp;H_Main_Stage4_HitachiEX1900";"KAN_LH_MAIN4_WASTE",#N/A,FALSE,"L&amp;H_Main_Stage4_HitachiEX1900";"KAN_LH_MAIN5_ORE",#N/A,FALSE,"L&amp;H_Main_Stage5_HitachiEX1900";"KAN_LH_MAIN5_WASTE",#N/A,FALSE,"L&amp;H_Main_Stage5_HitachiEX1900";"KAN_LH_NW1_ORE",#N/A,FALSE,"L&amp;HNW_Stage1_HitachiEX1900";"KAN_LH_NW1_WASTE",#N/A,FALSE,"L&amp;HNW_Stage1_HitachiEX1900";"KAN_LH_NW2_ORE",#N/A,FALSE,"L&amp;HNW_Stage2_HitachiEX1900";"KAN_LH_NW2_WASTE",#N/A,FALSE,"L&amp;HNW_Stage2_HitachiEX1900";"KAN_LH_NW3_ORE",#N/A,FALSE,"L&amp;HNW_Stage3_HitachiEX1900";"KAN_LH_NW3_WASTE",#N/A,FALSE,"L&amp;HNW_Stage3_HitachiEX1900";"KAN_LH_NW4_ORE",#N/A,FALSE,"L&amp;HNW_Stage4_HitachiEX1900";"KAN_LH_NW4_WASTE",#N/A,FALSE,"L&amp;HNW_Stage4_HitachiEX1900";"KAN_UNITDRILLCOST",#N/A,FALSE,"Drill_EmulsionPattern";"KAN_UNITBLAST1",#N/A,FALSE,"Blast127Emulsion_140Anfo";"KAN_UNITBLAST2",#N/A,FALSE,"Blast127Emulsion_140Anfo";"KAN_DR_BL_SUMMARYUNITCOSTS",#N/A,FALSE,"Summary_Drill&amp;BlastUnitCosts"}</definedName>
    <definedName name="KAN_COST3" localSheetId="1"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KAN_COST3" localSheetId="2"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KAN_COST3"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KARS">#REF!</definedName>
    <definedName name="KENNZ">#REF!</definedName>
    <definedName name="kennz09">#REF!</definedName>
    <definedName name="KENNZDET">#REF!</definedName>
    <definedName name="kennzdet09">#REF!</definedName>
    <definedName name="KENNZSUM">#REF!</definedName>
    <definedName name="kennzsum09">#REF!</definedName>
    <definedName name="kjhd" localSheetId="1" hidden="1">{"tab1_2",#N/A,FALSE,"Cost Summary";"fig1_2",#N/A,FALSE,"Annual Production"}</definedName>
    <definedName name="kjhd" localSheetId="2" hidden="1">{"tab1_2",#N/A,FALSE,"Cost Summary";"fig1_2",#N/A,FALSE,"Annual Production"}</definedName>
    <definedName name="kjhd" hidden="1">{"tab1_2",#N/A,FALSE,"Cost Summary";"fig1_2",#N/A,FALSE,"Annual Production"}</definedName>
    <definedName name="L_H_D_10_3">#REF!</definedName>
    <definedName name="L_H_D_12_1">#REF!</definedName>
    <definedName name="L_H_D_12_2">#REF!</definedName>
    <definedName name="L_H_D_12_2CONT">#REF!</definedName>
    <definedName name="L_H_D_12_3">#REF!</definedName>
    <definedName name="L_H_D_12_3CONT">#REF!</definedName>
    <definedName name="L966Gravel">#REF!</definedName>
    <definedName name="Labour">#REF!</definedName>
    <definedName name="Labourdays">#REF!</definedName>
    <definedName name="labourhours">#REF!</definedName>
    <definedName name="Land_Acquisition_98">#REF!</definedName>
    <definedName name="Last">#REF!</definedName>
    <definedName name="lastcurrency">#REF!</definedName>
    <definedName name="lastcurrency09">#REF!</definedName>
    <definedName name="LC">#REF!</definedName>
    <definedName name="Level1">#REF!</definedName>
    <definedName name="Level2">#REF!</definedName>
    <definedName name="Level4">#REF!</definedName>
    <definedName name="LH_Sched">#REF!</definedName>
    <definedName name="LHPIT1RH200ORE">#REF!</definedName>
    <definedName name="LHPIT1RH200ROM">#REF!</definedName>
    <definedName name="LHPIT1RH200WASTEFRESH">#REF!</definedName>
    <definedName name="LHPIT1RH200WASTELEACH">#REF!</definedName>
    <definedName name="LHPIT2994ORE">#REF!</definedName>
    <definedName name="LHPIT2994ROM">#REF!</definedName>
    <definedName name="LHPIT2994WASTEFRESH">#REF!</definedName>
    <definedName name="LHPIT2994WASTELEACH">#REF!</definedName>
    <definedName name="LHPIT2ORE">#REF!</definedName>
    <definedName name="LHPIT2ROM">#REF!</definedName>
    <definedName name="LHPIT2WASTEFRESH">#REF!</definedName>
    <definedName name="LHPIT2WASTELEACH">#REF!</definedName>
    <definedName name="LHPIT3994ORE">#REF!</definedName>
    <definedName name="LHPIT3994ROM">#REF!</definedName>
    <definedName name="LHPIT3994WASTEFRESH">#REF!</definedName>
    <definedName name="LHPIT3994WASTELEACH">#REF!</definedName>
    <definedName name="LHPIT3ORE">#REF!</definedName>
    <definedName name="LHPIT3ROM">#REF!</definedName>
    <definedName name="LHPIT3WASTEFRESH">#REF!</definedName>
    <definedName name="LHPIT3WASTELEACH">#REF!</definedName>
    <definedName name="LHPIT4994ORE">#REF!</definedName>
    <definedName name="LHPIT4994ROM">#REF!</definedName>
    <definedName name="LHPIT4994WASTEFRESH">#REF!</definedName>
    <definedName name="LHPIT4994WASTELEACH">#REF!</definedName>
    <definedName name="LHPIT4ORE">#REF!</definedName>
    <definedName name="LHPIT4ROM">#REF!</definedName>
    <definedName name="LHPIT4WASTEFRESH">#REF!</definedName>
    <definedName name="LHPIT4WASTELEACH">#REF!</definedName>
    <definedName name="LHPIT5994ORE">#REF!</definedName>
    <definedName name="LHPIT5994ROM">#REF!</definedName>
    <definedName name="LHPIT5994WASTEFRESH">#REF!</definedName>
    <definedName name="LHPIT5994WASTELEACH">#REF!</definedName>
    <definedName name="LHPIT5ORE">#REF!</definedName>
    <definedName name="LHPIT5ROM">#REF!</definedName>
    <definedName name="LHPIT5WASTEFRESH">#REF!</definedName>
    <definedName name="LHPIT5WASTELEACH">#REF!</definedName>
    <definedName name="LHPIT6994ORE">#REF!</definedName>
    <definedName name="LHPIT6994ROM">#REF!</definedName>
    <definedName name="LHPIT6994WASTEFRESH">#REF!</definedName>
    <definedName name="LHPIT6994WASTELEACH">#REF!</definedName>
    <definedName name="LHPIT6ORE">#REF!</definedName>
    <definedName name="LHPIT6ROM">#REF!</definedName>
    <definedName name="LHPIT6WASTEFRESH">#REF!</definedName>
    <definedName name="LHPIT6WASTELEACH">#REF!</definedName>
    <definedName name="limcount" hidden="1">1</definedName>
    <definedName name="LO_Sched">#REF!</definedName>
    <definedName name="Lo966FprodVeg">#REF!</definedName>
    <definedName name="Lo988Fprod">#REF!</definedName>
    <definedName name="Lo992Dprod">#REF!</definedName>
    <definedName name="load992">#REF!</definedName>
    <definedName name="load9941">#REF!</definedName>
    <definedName name="loadEX1900">#REF!</definedName>
    <definedName name="loadEX1900_1">#REF!</definedName>
    <definedName name="loadEX1900_2">#REF!</definedName>
    <definedName name="LoadHaulRevenue">#REF!</definedName>
    <definedName name="loadspot">#REF!</definedName>
    <definedName name="loadZX850">#REF!</definedName>
    <definedName name="loadZX850_1">#REF!</definedName>
    <definedName name="loadZX850_2">#REF!</definedName>
    <definedName name="LoAvail">#REF!</definedName>
    <definedName name="LOD">#REF!</definedName>
    <definedName name="LoSMU">#REF!</definedName>
    <definedName name="LoUtil">#REF!</definedName>
    <definedName name="LYR_ADMIN">#REF!</definedName>
    <definedName name="LYR_ALL">#REF!</definedName>
    <definedName name="LYR_BALSHEET1">#REF!</definedName>
    <definedName name="LYR_BALSHEET2">#REF!</definedName>
    <definedName name="LYR_CASHFLOW">#REF!</definedName>
    <definedName name="LYR_DISTN">#REF!</definedName>
    <definedName name="LYR_EXHAUST">#REF!</definedName>
    <definedName name="LYR_FACTORY">#REF!</definedName>
    <definedName name="LYR_OTHEREXP">#REF!</definedName>
    <definedName name="LYR_PAYROLL">#REF!</definedName>
    <definedName name="LYR_PRODGROUP">#REF!</definedName>
    <definedName name="LYR_PROFIT">#REF!</definedName>
    <definedName name="LYR_SALES">#REF!</definedName>
    <definedName name="LYR_SDCM">#REF!</definedName>
    <definedName name="LYR_STATS">#REF!</definedName>
    <definedName name="macro" localSheetId="1" hidden="1">{#N/A,#N/A,TRUE,"CONTENTS";#N/A,#N/A,TRUE,"M2";#N/A,#N/A,TRUE,"M2a";#N/A,#N/A,TRUE,"M2b";#N/A,#N/A,TRUE,"M3";#N/A,#N/A,TRUE,"M3a";#N/A,#N/A,TRUE,"M4-H";#N/A,#N/A,TRUE,"M4-P";#N/A,#N/A,TRUE,"M4a";#N/A,#N/A,TRUE,"M4b";#N/A,#N/A,TRUE,"M4c";#N/A,#N/A,TRUE,"M5";#N/A,#N/A,TRUE,"M6";#N/A,#N/A,TRUE,"M7";#N/A,#N/A,TRUE,"M8";#N/A,#N/A,TRUE,"M9";#N/A,#N/A,TRUE,"M10";#N/A,#N/A,TRUE,"M11";#N/A,#N/A,TRUE,"M13";#N/A,#N/A,TRUE,"M14";#N/A,#N/A,TRUE,"M15";#N/A,#N/A,TRUE,"K1"}</definedName>
    <definedName name="macro" localSheetId="2" hidden="1">{#N/A,#N/A,TRUE,"CONTENTS";#N/A,#N/A,TRUE,"M2";#N/A,#N/A,TRUE,"M2a";#N/A,#N/A,TRUE,"M2b";#N/A,#N/A,TRUE,"M3";#N/A,#N/A,TRUE,"M3a";#N/A,#N/A,TRUE,"M4-H";#N/A,#N/A,TRUE,"M4-P";#N/A,#N/A,TRUE,"M4a";#N/A,#N/A,TRUE,"M4b";#N/A,#N/A,TRUE,"M4c";#N/A,#N/A,TRUE,"M5";#N/A,#N/A,TRUE,"M6";#N/A,#N/A,TRUE,"M7";#N/A,#N/A,TRUE,"M8";#N/A,#N/A,TRUE,"M9";#N/A,#N/A,TRUE,"M10";#N/A,#N/A,TRUE,"M11";#N/A,#N/A,TRUE,"M13";#N/A,#N/A,TRUE,"M14";#N/A,#N/A,TRUE,"M15";#N/A,#N/A,TRUE,"K1"}</definedName>
    <definedName name="macro" hidden="1">{#N/A,#N/A,TRUE,"CONTENTS";#N/A,#N/A,TRUE,"M2";#N/A,#N/A,TRUE,"M2a";#N/A,#N/A,TRUE,"M2b";#N/A,#N/A,TRUE,"M3";#N/A,#N/A,TRUE,"M3a";#N/A,#N/A,TRUE,"M4-H";#N/A,#N/A,TRUE,"M4-P";#N/A,#N/A,TRUE,"M4a";#N/A,#N/A,TRUE,"M4b";#N/A,#N/A,TRUE,"M4c";#N/A,#N/A,TRUE,"M5";#N/A,#N/A,TRUE,"M6";#N/A,#N/A,TRUE,"M7";#N/A,#N/A,TRUE,"M8";#N/A,#N/A,TRUE,"M9";#N/A,#N/A,TRUE,"M10";#N/A,#N/A,TRUE,"M11";#N/A,#N/A,TRUE,"M13";#N/A,#N/A,TRUE,"M14";#N/A,#N/A,TRUE,"M15";#N/A,#N/A,TRUE,"K1"}</definedName>
    <definedName name="macro2" localSheetId="1"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macro2" localSheetId="2"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macro2"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macro3" localSheetId="1" hidden="1">{#N/A,#N/A,TRUE,"CONTENTS";#N/A,#N/A,TRUE,"M2";#N/A,#N/A,TRUE,"M2a";#N/A,#N/A,TRUE,"M2b";#N/A,#N/A,TRUE,"M3";#N/A,#N/A,TRUE,"M3a";#N/A,#N/A,TRUE,"M4-P";#N/A,#N/A,TRUE,"M5";#N/A,#N/A,TRUE,"M6";#N/A,#N/A,TRUE,"M7";#N/A,#N/A,TRUE,"M8";#N/A,#N/A,TRUE,"M9";#N/A,#N/A,TRUE,"M10";#N/A,#N/A,TRUE,"M11";#N/A,#N/A,TRUE,"M13";#N/A,#N/A,TRUE,"M14";#N/A,#N/A,TRUE,"M15";#N/A,#N/A,TRUE,"K1"}</definedName>
    <definedName name="macro3" localSheetId="2" hidden="1">{#N/A,#N/A,TRUE,"CONTENTS";#N/A,#N/A,TRUE,"M2";#N/A,#N/A,TRUE,"M2a";#N/A,#N/A,TRUE,"M2b";#N/A,#N/A,TRUE,"M3";#N/A,#N/A,TRUE,"M3a";#N/A,#N/A,TRUE,"M4-P";#N/A,#N/A,TRUE,"M5";#N/A,#N/A,TRUE,"M6";#N/A,#N/A,TRUE,"M7";#N/A,#N/A,TRUE,"M8";#N/A,#N/A,TRUE,"M9";#N/A,#N/A,TRUE,"M10";#N/A,#N/A,TRUE,"M11";#N/A,#N/A,TRUE,"M13";#N/A,#N/A,TRUE,"M14";#N/A,#N/A,TRUE,"M15";#N/A,#N/A,TRUE,"K1"}</definedName>
    <definedName name="macro3" hidden="1">{#N/A,#N/A,TRUE,"CONTENTS";#N/A,#N/A,TRUE,"M2";#N/A,#N/A,TRUE,"M2a";#N/A,#N/A,TRUE,"M2b";#N/A,#N/A,TRUE,"M3";#N/A,#N/A,TRUE,"M3a";#N/A,#N/A,TRUE,"M4-P";#N/A,#N/A,TRUE,"M5";#N/A,#N/A,TRUE,"M6";#N/A,#N/A,TRUE,"M7";#N/A,#N/A,TRUE,"M8";#N/A,#N/A,TRUE,"M9";#N/A,#N/A,TRUE,"M10";#N/A,#N/A,TRUE,"M11";#N/A,#N/A,TRUE,"M13";#N/A,#N/A,TRUE,"M14";#N/A,#N/A,TRUE,"M15";#N/A,#N/A,TRUE,"K1"}</definedName>
    <definedName name="Maintenance">#REF!</definedName>
    <definedName name="MainType">#REF!</definedName>
    <definedName name="MANSAL">#REF!</definedName>
    <definedName name="Mant_DB_Rev">#REF!</definedName>
    <definedName name="Mant_LH_Rev">#REF!</definedName>
    <definedName name="MantRL144">#REF!</definedName>
    <definedName name="MantRL147">#REF!</definedName>
    <definedName name="MantRL150">#REF!</definedName>
    <definedName name="MantRL153">#REF!</definedName>
    <definedName name="Mar">#REF!</definedName>
    <definedName name="MarginAcct">#REF!</definedName>
    <definedName name="Markup">#REF!</definedName>
    <definedName name="maxperiod09">#REF!</definedName>
    <definedName name="maxperiode">#REF!</definedName>
    <definedName name="May">#REF!</definedName>
    <definedName name="MC" localSheetId="1" hidden="1">{#N/A,#N/A,TRUE,"CONTENTS";#N/A,#N/A,TRUE,"M2";#N/A,#N/A,TRUE,"M2a";#N/A,#N/A,TRUE,"M2b";#N/A,#N/A,TRUE,"M3";#N/A,#N/A,TRUE,"M3a";#N/A,#N/A,TRUE,"M4-H";#N/A,#N/A,TRUE,"M4-P";#N/A,#N/A,TRUE,"M4a";#N/A,#N/A,TRUE,"M4b";#N/A,#N/A,TRUE,"M4c";#N/A,#N/A,TRUE,"M5";#N/A,#N/A,TRUE,"M6";#N/A,#N/A,TRUE,"M7";#N/A,#N/A,TRUE,"M8";#N/A,#N/A,TRUE,"M9";#N/A,#N/A,TRUE,"M10";#N/A,#N/A,TRUE,"M11";#N/A,#N/A,TRUE,"M13";#N/A,#N/A,TRUE,"M14";#N/A,#N/A,TRUE,"M15";#N/A,#N/A,TRUE,"K1"}</definedName>
    <definedName name="MC" localSheetId="2" hidden="1">{#N/A,#N/A,TRUE,"CONTENTS";#N/A,#N/A,TRUE,"M2";#N/A,#N/A,TRUE,"M2a";#N/A,#N/A,TRUE,"M2b";#N/A,#N/A,TRUE,"M3";#N/A,#N/A,TRUE,"M3a";#N/A,#N/A,TRUE,"M4-H";#N/A,#N/A,TRUE,"M4-P";#N/A,#N/A,TRUE,"M4a";#N/A,#N/A,TRUE,"M4b";#N/A,#N/A,TRUE,"M4c";#N/A,#N/A,TRUE,"M5";#N/A,#N/A,TRUE,"M6";#N/A,#N/A,TRUE,"M7";#N/A,#N/A,TRUE,"M8";#N/A,#N/A,TRUE,"M9";#N/A,#N/A,TRUE,"M10";#N/A,#N/A,TRUE,"M11";#N/A,#N/A,TRUE,"M13";#N/A,#N/A,TRUE,"M14";#N/A,#N/A,TRUE,"M15";#N/A,#N/A,TRUE,"K1"}</definedName>
    <definedName name="MC" hidden="1">{#N/A,#N/A,TRUE,"CONTENTS";#N/A,#N/A,TRUE,"M2";#N/A,#N/A,TRUE,"M2a";#N/A,#N/A,TRUE,"M2b";#N/A,#N/A,TRUE,"M3";#N/A,#N/A,TRUE,"M3a";#N/A,#N/A,TRUE,"M4-H";#N/A,#N/A,TRUE,"M4-P";#N/A,#N/A,TRUE,"M4a";#N/A,#N/A,TRUE,"M4b";#N/A,#N/A,TRUE,"M4c";#N/A,#N/A,TRUE,"M5";#N/A,#N/A,TRUE,"M6";#N/A,#N/A,TRUE,"M7";#N/A,#N/A,TRUE,"M8";#N/A,#N/A,TRUE,"M9";#N/A,#N/A,TRUE,"M10";#N/A,#N/A,TRUE,"M11";#N/A,#N/A,TRUE,"M13";#N/A,#N/A,TRUE,"M14";#N/A,#N/A,TRUE,"M15";#N/A,#N/A,TRUE,"K1"}</definedName>
    <definedName name="MedicalProducts">#REF!</definedName>
    <definedName name="MEWarning" hidden="1">1</definedName>
    <definedName name="Mining_supervision_cost">#REF!</definedName>
    <definedName name="Mobile_Equip">#REF!</definedName>
    <definedName name="MON">#REF!</definedName>
    <definedName name="Month">#REF!</definedName>
    <definedName name="MONTH_HEADING">#REF!</definedName>
    <definedName name="Month1">#REF!</definedName>
    <definedName name="Month2">#REF!</definedName>
    <definedName name="Month3">#REF!</definedName>
    <definedName name="Months">#REF!</definedName>
    <definedName name="MR8A">#REF!</definedName>
    <definedName name="MR9A">#REF!</definedName>
    <definedName name="mvhe">#REF!</definedName>
    <definedName name="Net_Present_Value">#REF!</definedName>
    <definedName name="New" localSheetId="1"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New" localSheetId="2"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New"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Nifty_Fines_Recovery">#REF!</definedName>
    <definedName name="Nov">#REF!</definedName>
    <definedName name="Oct">#REF!</definedName>
    <definedName name="OnCost_Expat">#REF!</definedName>
    <definedName name="OnCost_Local">#REF!</definedName>
    <definedName name="OpType">#REF!</definedName>
    <definedName name="ore">#REF!</definedName>
    <definedName name="output1">#REF!</definedName>
    <definedName name="outputperiode">#REF!</definedName>
    <definedName name="Overtime">#REF!</definedName>
    <definedName name="Owners_costs">#REF!</definedName>
    <definedName name="Oxide_Leach_Recovery">#REF!</definedName>
    <definedName name="Pad_1_Recovery">#REF!</definedName>
    <definedName name="Pajajaran_Gold_Recovery">#REF!</definedName>
    <definedName name="Pajajaran_Silver_Recovery">#REF!</definedName>
    <definedName name="parameters" localSheetId="1"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parameters" localSheetId="2"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parameters"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PARTFACT">#REF!</definedName>
    <definedName name="PEC">#REF!</definedName>
    <definedName name="Pepe_DB_Rev">#REF!</definedName>
    <definedName name="Pepe_LH_Rev">#REF!</definedName>
    <definedName name="PepeRL129">#REF!</definedName>
    <definedName name="PepeRL132">#REF!</definedName>
    <definedName name="PepeRL135">#REF!</definedName>
    <definedName name="PepeRL138">#REF!</definedName>
    <definedName name="PepeRL141">#REF!</definedName>
    <definedName name="PepeRL144">#REF!</definedName>
    <definedName name="PepeRL147">#REF!</definedName>
    <definedName name="PER">#REF!</definedName>
    <definedName name="Period">#REF!</definedName>
    <definedName name="Period1">#REF!</definedName>
    <definedName name="Period2">#REF!</definedName>
    <definedName name="Period3">#REF!</definedName>
    <definedName name="Period4">#REF!</definedName>
    <definedName name="Periode">#REF!</definedName>
    <definedName name="periodenanz">#REF!</definedName>
    <definedName name="periodenauswahl">#REF!</definedName>
    <definedName name="PeriodName">#REF!</definedName>
    <definedName name="Personal">#REF!</definedName>
    <definedName name="PersonalProducts">#REF!</definedName>
    <definedName name="PersonalProducts1">#REF!</definedName>
    <definedName name="PLAN_ADMIN">#REF!</definedName>
    <definedName name="PLAN_ALL">#REF!</definedName>
    <definedName name="PLAN_BALSHEET1">#REF!</definedName>
    <definedName name="PLAN_BALSHEET2">#REF!</definedName>
    <definedName name="PLAN_CASHFLOW">#REF!</definedName>
    <definedName name="PLAN_DISTN">#REF!</definedName>
    <definedName name="PLAN_EXHAUST">#REF!</definedName>
    <definedName name="PLAN_FACTORY">#REF!</definedName>
    <definedName name="PLAN_OTHEREXP">#REF!</definedName>
    <definedName name="PLAN_PAYROLL">#REF!</definedName>
    <definedName name="PLAN_PRODGROUP">#REF!</definedName>
    <definedName name="PLAN_PROFIT">#REF!</definedName>
    <definedName name="PLAN_SALES">#REF!</definedName>
    <definedName name="PLAN_SDCM">#REF!</definedName>
    <definedName name="PLAN_STATS">#REF!</definedName>
    <definedName name="plant">#REF!</definedName>
    <definedName name="Pond_csaw">#REF!</definedName>
    <definedName name="Pound_tonne">#REF!</definedName>
    <definedName name="Power1">#REF!</definedName>
    <definedName name="Power2">#REF!</definedName>
    <definedName name="Power3">#REF!</definedName>
    <definedName name="Pre_production_expenditure">#REF!</definedName>
    <definedName name="_xlnm.Print_Area" localSheetId="1">'2026 Chamber template'!$A$1:$F$101</definedName>
    <definedName name="_xlnm.Print_Area" localSheetId="0">'WGC template &amp; guidance not '!$A$1:$G$37</definedName>
    <definedName name="_xlnm.Print_Area">#REF!</definedName>
    <definedName name="print_Area1">#REF!</definedName>
    <definedName name="Print_Area2">#REF!</definedName>
    <definedName name="Print_range">#REF!</definedName>
    <definedName name="_xlnm.Print_Titles">#REF!</definedName>
    <definedName name="print1">#REF!</definedName>
    <definedName name="print2">#REF!</definedName>
    <definedName name="PRINT7">#REF!</definedName>
    <definedName name="PRINT8">#REF!</definedName>
    <definedName name="Printrep">#REF!,#REF!,#REF!,#REF!</definedName>
    <definedName name="Processing_cost">#REF!</definedName>
    <definedName name="Prod375">#REF!</definedName>
    <definedName name="Prod777">111</definedName>
    <definedName name="Prod948">477</definedName>
    <definedName name="prod984">#REF!</definedName>
    <definedName name="prod992">#REF!</definedName>
    <definedName name="prod994">#REF!</definedName>
    <definedName name="ProdEH1700">120</definedName>
    <definedName name="prodEX1900">#REF!</definedName>
    <definedName name="prodEX1900_1">#REF!</definedName>
    <definedName name="prodEX1900_2">#REF!</definedName>
    <definedName name="ProdRH40">#REF!</definedName>
    <definedName name="ProductName1">#REF!</definedName>
    <definedName name="prodZX850">#REF!</definedName>
    <definedName name="prodZX850_1">#REF!</definedName>
    <definedName name="prodZX850_2">#REF!</definedName>
    <definedName name="Project_after_tax_income">#REF!</definedName>
    <definedName name="Protective">#REF!</definedName>
    <definedName name="ProtectiveCentral">#REF!</definedName>
    <definedName name="ProtectiveManufacturing">#REF!</definedName>
    <definedName name="ProtectiveProducts">#REF!</definedName>
    <definedName name="PT_MSM_Capitalised_Opex_98">#REF!</definedName>
    <definedName name="PT_MSM_Exploration_98">#REF!</definedName>
    <definedName name="PT_TTN_Capitalised_Opex_98">#REF!</definedName>
    <definedName name="PT_TTN_Exploration_Tondano_98">#REF!</definedName>
    <definedName name="PtCl_Sched">#REF!</definedName>
    <definedName name="qq">#REF!</definedName>
    <definedName name="quants">#REF!</definedName>
    <definedName name="Range2">#REF!</definedName>
    <definedName name="REAGECOM">#REF!</definedName>
    <definedName name="REAGECOM_25">#REF!</definedName>
    <definedName name="REAGECOM_27">#REF!</definedName>
    <definedName name="REAGECOM_3">#REF!</definedName>
    <definedName name="Recl_PlantCost">#REF!</definedName>
    <definedName name="Recl_Sched">#REF!</definedName>
    <definedName name="ReclRate">#REF!</definedName>
    <definedName name="ReclRev">#REF!</definedName>
    <definedName name="ReclRev_Acreage">#REF!</definedName>
    <definedName name="ReclRev_Hourly">#REF!</definedName>
    <definedName name="ReclSwell">#REF!</definedName>
    <definedName name="_xlnm.Recorder">#REF!</definedName>
    <definedName name="Redrills">#REF!</definedName>
    <definedName name="Refining_cost">#REF!</definedName>
    <definedName name="Region">#REF!</definedName>
    <definedName name="RegionCodes">#REF!</definedName>
    <definedName name="Regions">#REF!</definedName>
    <definedName name="RehandleRevPerTonne">#REF!*1.15</definedName>
    <definedName name="Rejects">1-#REF!</definedName>
    <definedName name="Report">#REF!</definedName>
    <definedName name="reporting">#REF!</definedName>
    <definedName name="reserve_ore_tonnes">#REF!</definedName>
    <definedName name="RESPONSIBLE">#REF!</definedName>
    <definedName name="REV">#REF!</definedName>
    <definedName name="RiseFall">#REF!</definedName>
    <definedName name="Rounding_Factor">#REF!</definedName>
    <definedName name="Rounding_factor_1">#REF!</definedName>
    <definedName name="Rounding_Factor_2">#REF!</definedName>
    <definedName name="RoundingFactor">#REF!</definedName>
    <definedName name="s2goto">#REF!</definedName>
    <definedName name="SAD_BK0">#REF!</definedName>
    <definedName name="Salary_Costs_Increase_from_Base_Dec_2005">"feb+TB!$H$7:$H$288"</definedName>
    <definedName name="Salary_Increase">#REF!</definedName>
    <definedName name="SalesAcct">#REF!</definedName>
    <definedName name="Scraping631">475</definedName>
    <definedName name="sdajkfh" localSheetId="1" hidden="1">{"TRUCKCYCLETIMES",#N/A,FALSE,"Cycle Times";"TRUCKPRODUCTIVITY",#N/A,FALSE,"Cycle Times"}</definedName>
    <definedName name="sdajkfh" localSheetId="2" hidden="1">{"TRUCKCYCLETIMES",#N/A,FALSE,"Cycle Times";"TRUCKPRODUCTIVITY",#N/A,FALSE,"Cycle Times"}</definedName>
    <definedName name="sdajkfh" hidden="1">{"TRUCKCYCLETIMES",#N/A,FALSE,"Cycle Times";"TRUCKPRODUCTIVITY",#N/A,FALSE,"Cycle Times"}</definedName>
    <definedName name="Segment">#REF!</definedName>
    <definedName name="sencount" hidden="1">1</definedName>
    <definedName name="Sep">#REF!</definedName>
    <definedName name="SFtpsoil">#REF!</definedName>
    <definedName name="SFvege">#REF!</definedName>
    <definedName name="SG">1.952808</definedName>
    <definedName name="Silver_contango">#REF!</definedName>
    <definedName name="Silver_grade">#REF!</definedName>
    <definedName name="Silver_price">#REF!</definedName>
    <definedName name="Silver_retention">#REF!</definedName>
    <definedName name="SilverConcRecovery">#REF!</definedName>
    <definedName name="SilverRC">#REF!</definedName>
    <definedName name="srd" localSheetId="1" hidden="1">{"BLASTCOST",#N/A,FALSE,"Blast";"DRILLPRODUCTIVITY",#N/A,FALSE,"Drill"}</definedName>
    <definedName name="srd" localSheetId="2" hidden="1">{"BLASTCOST",#N/A,FALSE,"Blast";"DRILLPRODUCTIVITY",#N/A,FALSE,"Drill"}</definedName>
    <definedName name="srd" hidden="1">{"BLASTCOST",#N/A,FALSE,"Blast";"DRILLPRODUCTIVITY",#N/A,FALSE,"Drill"}</definedName>
    <definedName name="Sshift">#REF!</definedName>
    <definedName name="Stage_One_Feasibility_study">#REF!</definedName>
    <definedName name="Statistics1">#REF!</definedName>
    <definedName name="STATS">#REF!</definedName>
    <definedName name="stats1">#REF!</definedName>
    <definedName name="Steel_Balls">#REF!</definedName>
    <definedName name="Stemming">#REF!</definedName>
    <definedName name="Stockpile_tonnes">#REF!</definedName>
    <definedName name="Strip_PlantCost">#REF!</definedName>
    <definedName name="StripRate">#REF!</definedName>
    <definedName name="Subdrill">#REF!</definedName>
    <definedName name="summ2aver">#REF!</definedName>
    <definedName name="summ2l4100">#REF!</definedName>
    <definedName name="summ2l994">#REF!</definedName>
    <definedName name="summ3aver">#REF!</definedName>
    <definedName name="summ3l4100">#REF!</definedName>
    <definedName name="summ3l994">#REF!</definedName>
    <definedName name="summ4aver">#REF!</definedName>
    <definedName name="summ4l4100">#REF!</definedName>
    <definedName name="summ4l994">#REF!</definedName>
    <definedName name="summ5aver">#REF!</definedName>
    <definedName name="summ5l4100">#REF!</definedName>
    <definedName name="summ5l994">#REF!</definedName>
    <definedName name="summ6aver">#REF!</definedName>
    <definedName name="summ6l4100">#REF!</definedName>
    <definedName name="summ6l994">#REF!</definedName>
    <definedName name="Surgical">#REF!</definedName>
    <definedName name="table">#REF!</definedName>
    <definedName name="TABLE_S9.1_and_S12.1">#REF!</definedName>
    <definedName name="Tax">#REF!</definedName>
    <definedName name="TaxPension">#REF!</definedName>
    <definedName name="Taxrate">#REF!</definedName>
    <definedName name="TB">#REF!</definedName>
    <definedName name="TC">#REF!</definedName>
    <definedName name="tem" localSheetId="1"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tem" localSheetId="2"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tem"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temp" localSheetId="1"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temp" localSheetId="2"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temp"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temp1" localSheetId="1" hidden="1">{"tab1_2",#N/A,FALSE,"Cost Summary";"fig1_2",#N/A,FALSE,"Annual Production"}</definedName>
    <definedName name="temp1" localSheetId="2" hidden="1">{"tab1_2",#N/A,FALSE,"Cost Summary";"fig1_2",#N/A,FALSE,"Annual Production"}</definedName>
    <definedName name="temp1" hidden="1">{"tab1_2",#N/A,FALSE,"Cost Summary";"fig1_2",#N/A,FALSE,"Annual Production"}</definedName>
    <definedName name="Tenement">#REF!</definedName>
    <definedName name="TENEMENTS">#REF!</definedName>
    <definedName name="TEST">#REF!</definedName>
    <definedName name="test2" localSheetId="1"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test2" localSheetId="2"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test2"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test3" localSheetId="1" hidden="1">{#N/A,#N/A,TRUE,"CONTENTS";#N/A,#N/A,TRUE,"M2";#N/A,#N/A,TRUE,"M2a";#N/A,#N/A,TRUE,"M2b";#N/A,#N/A,TRUE,"M3";#N/A,#N/A,TRUE,"M3a";#N/A,#N/A,TRUE,"M4-H";#N/A,#N/A,TRUE,"M4-P";#N/A,#N/A,TRUE,"M4a";#N/A,#N/A,TRUE,"M4b";#N/A,#N/A,TRUE,"M4c";#N/A,#N/A,TRUE,"M5";#N/A,#N/A,TRUE,"M6";#N/A,#N/A,TRUE,"M7";#N/A,#N/A,TRUE,"M8";#N/A,#N/A,TRUE,"M9";#N/A,#N/A,TRUE,"M10";#N/A,#N/A,TRUE,"M11";#N/A,#N/A,TRUE,"M13";#N/A,#N/A,TRUE,"M14";#N/A,#N/A,TRUE,"M15";#N/A,#N/A,TRUE,"K1"}</definedName>
    <definedName name="test3" localSheetId="2" hidden="1">{#N/A,#N/A,TRUE,"CONTENTS";#N/A,#N/A,TRUE,"M2";#N/A,#N/A,TRUE,"M2a";#N/A,#N/A,TRUE,"M2b";#N/A,#N/A,TRUE,"M3";#N/A,#N/A,TRUE,"M3a";#N/A,#N/A,TRUE,"M4-H";#N/A,#N/A,TRUE,"M4-P";#N/A,#N/A,TRUE,"M4a";#N/A,#N/A,TRUE,"M4b";#N/A,#N/A,TRUE,"M4c";#N/A,#N/A,TRUE,"M5";#N/A,#N/A,TRUE,"M6";#N/A,#N/A,TRUE,"M7";#N/A,#N/A,TRUE,"M8";#N/A,#N/A,TRUE,"M9";#N/A,#N/A,TRUE,"M10";#N/A,#N/A,TRUE,"M11";#N/A,#N/A,TRUE,"M13";#N/A,#N/A,TRUE,"M14";#N/A,#N/A,TRUE,"M15";#N/A,#N/A,TRUE,"K1"}</definedName>
    <definedName name="test3" hidden="1">{#N/A,#N/A,TRUE,"CONTENTS";#N/A,#N/A,TRUE,"M2";#N/A,#N/A,TRUE,"M2a";#N/A,#N/A,TRUE,"M2b";#N/A,#N/A,TRUE,"M3";#N/A,#N/A,TRUE,"M3a";#N/A,#N/A,TRUE,"M4-H";#N/A,#N/A,TRUE,"M4-P";#N/A,#N/A,TRUE,"M4a";#N/A,#N/A,TRUE,"M4b";#N/A,#N/A,TRUE,"M4c";#N/A,#N/A,TRUE,"M5";#N/A,#N/A,TRUE,"M6";#N/A,#N/A,TRUE,"M7";#N/A,#N/A,TRUE,"M8";#N/A,#N/A,TRUE,"M9";#N/A,#N/A,TRUE,"M10";#N/A,#N/A,TRUE,"M11";#N/A,#N/A,TRUE,"M13";#N/A,#N/A,TRUE,"M14";#N/A,#N/A,TRUE,"M15";#N/A,#N/A,TRUE,"K1"}</definedName>
    <definedName name="testac">#REF!</definedName>
    <definedName name="testac2">#REF!</definedName>
    <definedName name="Total">#REF!</definedName>
    <definedName name="Total_development_capital">#REF!</definedName>
    <definedName name="Total_Ore">#REF!</definedName>
    <definedName name="Total_waste">#REF!</definedName>
    <definedName name="tph">#REF!</definedName>
    <definedName name="TPM">#REF!</definedName>
    <definedName name="TRANS">#REF!</definedName>
    <definedName name="Transitional_Leach_Recovery">#REF!</definedName>
    <definedName name="Transport_cost">#REF!</definedName>
    <definedName name="truckbcm">#REF!</definedName>
    <definedName name="truckbcm1">#REF!</definedName>
    <definedName name="truckbcm2">#REF!</definedName>
    <definedName name="trucktons">#REF!</definedName>
    <definedName name="TT_Gold_Recovery">#REF!</definedName>
    <definedName name="TT_Low_Grade_Gold_Recovery">#REF!</definedName>
    <definedName name="TT_Low_Grade_Silver_Recovery">#REF!</definedName>
    <definedName name="TT_Silver_Recovery">#REF!</definedName>
    <definedName name="tyreroller">#REF!</definedName>
    <definedName name="US_IbCopperPrice">#REF!</definedName>
    <definedName name="USD">#REF!</definedName>
    <definedName name="USD_ZAR">#REF!</definedName>
    <definedName name="Vat">#REF!</definedName>
    <definedName name="Viscosity">#REF!</definedName>
    <definedName name="Wcclay">#REF!</definedName>
    <definedName name="Wccomp">#REF!</definedName>
    <definedName name="Wchmaint">#REF!</definedName>
    <definedName name="WCrdmaint">#REF!</definedName>
    <definedName name="Weekly">#REF!</definedName>
    <definedName name="Working_capital">SUM(#REF!)</definedName>
    <definedName name="wrn.KAN_COST." localSheetId="1" hidden="1">{"KAN_HEADER",#N/A,FALSE,"Header";"KAN_ROADMAP",#N/A,FALSE,"Road Map";"KAN_BACKHOE1900COST",#N/A,FALSE,"BACKHOE_HITACHI_EX1900_COSTING";"KAN_TRUCK777",#N/A,FALSE,"Truck_777";"KAN_DRILLCOST",#N/A,FALSE,"Drill_EmulsionPattern";"KAN_CATD9RCOST",#N/A,FALSE,"Service_Eq.";"KAN_CAT16HCOST",#N/A,FALSE,"Service_Eq.";"KAN_CAT992COST",#N/A,FALSE,"Service_Eq.";"KAN_WATERCARTCOST",#N/A,FALSE,"Service_Eq.";"KAN_TOOLCARRIERCOST",#N/A,FALSE,"Service_Eq.";"KAN_BELLBACKHOECOST",#N/A,FALSE,"Service_Eq.";"KAN_BELLLUBECOST",#N/A,FALSE,"Service_Eq.";"KAN_CYCLETIMES",#N/A,FALSE,"Cycle Times";"KAN_TRUCKPRODUCTIVITY",#N/A,FALSE,"Cycle Times";"KAN_LH_MAIN1_ORE",#N/A,FALSE,"L&amp;H_Main_Stage1_HitachiEX1900";"KAN_LH_MAIN1_WASTE",#N/A,FALSE,"L&amp;H_Main_Stage1_HitachiEX1900";"KAN_LH_MAIN2_ORE",#N/A,FALSE,"L&amp;H_Main_Stage2_HitachiEX1900";"KAN_LH_MAIN2_WASTE",#N/A,FALSE,"L&amp;H_Main_Stage2_HitachiEX1900";"KAN_LH_MAIN3_ORE",#N/A,FALSE,"L&amp;H_Main_Stage3_HitachiEX1900";"KAN_LH_MAIN3_WASTE",#N/A,FALSE,"L&amp;H_Main_Stage3_HitachiEX1900";"KAN_LH_MAIN4_ORE",#N/A,FALSE,"L&amp;H_Main_Stage4_HitachiEX1900";"KAN_LH_MAIN4_WASTE",#N/A,FALSE,"L&amp;H_Main_Stage4_HitachiEX1900";"KAN_LH_MAIN5_ORE",#N/A,FALSE,"L&amp;H_Main_Stage5_HitachiEX1900";"KAN_LH_MAIN5_WASTE",#N/A,FALSE,"L&amp;H_Main_Stage5_HitachiEX1900";"KAN_LH_NW1_ORE",#N/A,FALSE,"L&amp;HNW_Stage1_HitachiEX1900";"KAN_LH_NW1_WASTE",#N/A,FALSE,"L&amp;HNW_Stage1_HitachiEX1900";"KAN_LH_NW2_ORE",#N/A,FALSE,"L&amp;HNW_Stage2_HitachiEX1900";"KAN_LH_NW2_WASTE",#N/A,FALSE,"L&amp;HNW_Stage2_HitachiEX1900";"KAN_LH_NW3_ORE",#N/A,FALSE,"L&amp;HNW_Stage3_HitachiEX1900";"KAN_LH_NW3_WASTE",#N/A,FALSE,"L&amp;HNW_Stage3_HitachiEX1900";"KAN_LH_NW4_ORE",#N/A,FALSE,"L&amp;HNW_Stage4_HitachiEX1900";"KAN_LH_NW4_WASTE",#N/A,FALSE,"L&amp;HNW_Stage4_HitachiEX1900";"KAN_UNITDRILLCOST",#N/A,FALSE,"Drill_EmulsionPattern";"KAN_UNITBLAST1",#N/A,FALSE,"Blast127Emulsion_140Anfo";"KAN_UNITBLAST2",#N/A,FALSE,"Blast127Emulsion_140Anfo";"KAN_DR_BL_SUMMARYUNITCOSTS",#N/A,FALSE,"Summary_Drill&amp;BlastUnitCosts"}</definedName>
    <definedName name="wrn.KAN_COST." localSheetId="2" hidden="1">{"KAN_HEADER",#N/A,FALSE,"Header";"KAN_ROADMAP",#N/A,FALSE,"Road Map";"KAN_BACKHOE1900COST",#N/A,FALSE,"BACKHOE_HITACHI_EX1900_COSTING";"KAN_TRUCK777",#N/A,FALSE,"Truck_777";"KAN_DRILLCOST",#N/A,FALSE,"Drill_EmulsionPattern";"KAN_CATD9RCOST",#N/A,FALSE,"Service_Eq.";"KAN_CAT16HCOST",#N/A,FALSE,"Service_Eq.";"KAN_CAT992COST",#N/A,FALSE,"Service_Eq.";"KAN_WATERCARTCOST",#N/A,FALSE,"Service_Eq.";"KAN_TOOLCARRIERCOST",#N/A,FALSE,"Service_Eq.";"KAN_BELLBACKHOECOST",#N/A,FALSE,"Service_Eq.";"KAN_BELLLUBECOST",#N/A,FALSE,"Service_Eq.";"KAN_CYCLETIMES",#N/A,FALSE,"Cycle Times";"KAN_TRUCKPRODUCTIVITY",#N/A,FALSE,"Cycle Times";"KAN_LH_MAIN1_ORE",#N/A,FALSE,"L&amp;H_Main_Stage1_HitachiEX1900";"KAN_LH_MAIN1_WASTE",#N/A,FALSE,"L&amp;H_Main_Stage1_HitachiEX1900";"KAN_LH_MAIN2_ORE",#N/A,FALSE,"L&amp;H_Main_Stage2_HitachiEX1900";"KAN_LH_MAIN2_WASTE",#N/A,FALSE,"L&amp;H_Main_Stage2_HitachiEX1900";"KAN_LH_MAIN3_ORE",#N/A,FALSE,"L&amp;H_Main_Stage3_HitachiEX1900";"KAN_LH_MAIN3_WASTE",#N/A,FALSE,"L&amp;H_Main_Stage3_HitachiEX1900";"KAN_LH_MAIN4_ORE",#N/A,FALSE,"L&amp;H_Main_Stage4_HitachiEX1900";"KAN_LH_MAIN4_WASTE",#N/A,FALSE,"L&amp;H_Main_Stage4_HitachiEX1900";"KAN_LH_MAIN5_ORE",#N/A,FALSE,"L&amp;H_Main_Stage5_HitachiEX1900";"KAN_LH_MAIN5_WASTE",#N/A,FALSE,"L&amp;H_Main_Stage5_HitachiEX1900";"KAN_LH_NW1_ORE",#N/A,FALSE,"L&amp;HNW_Stage1_HitachiEX1900";"KAN_LH_NW1_WASTE",#N/A,FALSE,"L&amp;HNW_Stage1_HitachiEX1900";"KAN_LH_NW2_ORE",#N/A,FALSE,"L&amp;HNW_Stage2_HitachiEX1900";"KAN_LH_NW2_WASTE",#N/A,FALSE,"L&amp;HNW_Stage2_HitachiEX1900";"KAN_LH_NW3_ORE",#N/A,FALSE,"L&amp;HNW_Stage3_HitachiEX1900";"KAN_LH_NW3_WASTE",#N/A,FALSE,"L&amp;HNW_Stage3_HitachiEX1900";"KAN_LH_NW4_ORE",#N/A,FALSE,"L&amp;HNW_Stage4_HitachiEX1900";"KAN_LH_NW4_WASTE",#N/A,FALSE,"L&amp;HNW_Stage4_HitachiEX1900";"KAN_UNITDRILLCOST",#N/A,FALSE,"Drill_EmulsionPattern";"KAN_UNITBLAST1",#N/A,FALSE,"Blast127Emulsion_140Anfo";"KAN_UNITBLAST2",#N/A,FALSE,"Blast127Emulsion_140Anfo";"KAN_DR_BL_SUMMARYUNITCOSTS",#N/A,FALSE,"Summary_Drill&amp;BlastUnitCosts"}</definedName>
    <definedName name="wrn.KAN_COST." hidden="1">{"KAN_HEADER",#N/A,FALSE,"Header";"KAN_ROADMAP",#N/A,FALSE,"Road Map";"KAN_BACKHOE1900COST",#N/A,FALSE,"BACKHOE_HITACHI_EX1900_COSTING";"KAN_TRUCK777",#N/A,FALSE,"Truck_777";"KAN_DRILLCOST",#N/A,FALSE,"Drill_EmulsionPattern";"KAN_CATD9RCOST",#N/A,FALSE,"Service_Eq.";"KAN_CAT16HCOST",#N/A,FALSE,"Service_Eq.";"KAN_CAT992COST",#N/A,FALSE,"Service_Eq.";"KAN_WATERCARTCOST",#N/A,FALSE,"Service_Eq.";"KAN_TOOLCARRIERCOST",#N/A,FALSE,"Service_Eq.";"KAN_BELLBACKHOECOST",#N/A,FALSE,"Service_Eq.";"KAN_BELLLUBECOST",#N/A,FALSE,"Service_Eq.";"KAN_CYCLETIMES",#N/A,FALSE,"Cycle Times";"KAN_TRUCKPRODUCTIVITY",#N/A,FALSE,"Cycle Times";"KAN_LH_MAIN1_ORE",#N/A,FALSE,"L&amp;H_Main_Stage1_HitachiEX1900";"KAN_LH_MAIN1_WASTE",#N/A,FALSE,"L&amp;H_Main_Stage1_HitachiEX1900";"KAN_LH_MAIN2_ORE",#N/A,FALSE,"L&amp;H_Main_Stage2_HitachiEX1900";"KAN_LH_MAIN2_WASTE",#N/A,FALSE,"L&amp;H_Main_Stage2_HitachiEX1900";"KAN_LH_MAIN3_ORE",#N/A,FALSE,"L&amp;H_Main_Stage3_HitachiEX1900";"KAN_LH_MAIN3_WASTE",#N/A,FALSE,"L&amp;H_Main_Stage3_HitachiEX1900";"KAN_LH_MAIN4_ORE",#N/A,FALSE,"L&amp;H_Main_Stage4_HitachiEX1900";"KAN_LH_MAIN4_WASTE",#N/A,FALSE,"L&amp;H_Main_Stage4_HitachiEX1900";"KAN_LH_MAIN5_ORE",#N/A,FALSE,"L&amp;H_Main_Stage5_HitachiEX1900";"KAN_LH_MAIN5_WASTE",#N/A,FALSE,"L&amp;H_Main_Stage5_HitachiEX1900";"KAN_LH_NW1_ORE",#N/A,FALSE,"L&amp;HNW_Stage1_HitachiEX1900";"KAN_LH_NW1_WASTE",#N/A,FALSE,"L&amp;HNW_Stage1_HitachiEX1900";"KAN_LH_NW2_ORE",#N/A,FALSE,"L&amp;HNW_Stage2_HitachiEX1900";"KAN_LH_NW2_WASTE",#N/A,FALSE,"L&amp;HNW_Stage2_HitachiEX1900";"KAN_LH_NW3_ORE",#N/A,FALSE,"L&amp;HNW_Stage3_HitachiEX1900";"KAN_LH_NW3_WASTE",#N/A,FALSE,"L&amp;HNW_Stage3_HitachiEX1900";"KAN_LH_NW4_ORE",#N/A,FALSE,"L&amp;HNW_Stage4_HitachiEX1900";"KAN_LH_NW4_WASTE",#N/A,FALSE,"L&amp;HNW_Stage4_HitachiEX1900";"KAN_UNITDRILLCOST",#N/A,FALSE,"Drill_EmulsionPattern";"KAN_UNITBLAST1",#N/A,FALSE,"Blast127Emulsion_140Anfo";"KAN_UNITBLAST2",#N/A,FALSE,"Blast127Emulsion_140Anfo";"KAN_DR_BL_SUMMARYUNITCOSTS",#N/A,FALSE,"Summary_Drill&amp;BlastUnitCosts"}</definedName>
    <definedName name="wrn.KAN_COST1." localSheetId="1" hidden="1">{"KAN_MAIN1_VAR",#N/A,FALSE,"SummaryM_Stage_1";"KAN_MAIN2_VAR",#N/A,FALSE,"SummaryM_Stage_2";"KAN_MAIN3_VAR",#N/A,FALSE,"SummaryM_Stage_3";"KAN_MAIN4_VAR",#N/A,FALSE,"SummaryM_Stage_4";"KAN_MAIN5_VAR",#N/A,FALSE,"SummaryM_Stage_5";"KAN_NW1_VAR",#N/A,FALSE,"SummaryNW_Stage_1";"KAN_NW2_VAR",#N/A,FALSE,"SummaryNW_Stage_2";"KAN_NW3_VAR",#N/A,FALSE,"SummaryNW_Stage_3";"KAN_NW4_VAR",#N/A,FALSE,"SummaryNW_Stage_4";"KAN_MAIN1_LHVAR",#N/A,FALSE,"SummaryM_Stage_1";"KAN_MAIN2_LHVAR",#N/A,FALSE,"SummaryM_Stage_2";"KAN_MAIN3_LHVAR",#N/A,FALSE,"SummaryM_Stage_3";"KAN_MAIN4_LHVAR",#N/A,FALSE,"SummaryM_Stage_4";"KAN_MAIN5_LHVAR",#N/A,FALSE,"SummaryM_Stage_5";"KAN_NW1_LHVAR",#N/A,FALSE,"SummaryNW_Stage_1";"KAN_NW2_LHVAR",#N/A,FALSE,"SummaryNW_Stage_2";"KAN_NW3_LHVAR",#N/A,FALSE,"SummaryNW_Stage_3";"KAN_NW4_LHVAR",#N/A,FALSE,"SummaryNW_Stage_4";"KAN_AVE_LHCOST1",#N/A,FALSE,"Copy_of_Mining_tab_Sched_11";"KAN_AVE_LHCOST2",#N/A,FALSE,"Copy_of_Mining_tab_Sched_11"}</definedName>
    <definedName name="wrn.KAN_COST1." localSheetId="2" hidden="1">{"KAN_MAIN1_VAR",#N/A,FALSE,"SummaryM_Stage_1";"KAN_MAIN2_VAR",#N/A,FALSE,"SummaryM_Stage_2";"KAN_MAIN3_VAR",#N/A,FALSE,"SummaryM_Stage_3";"KAN_MAIN4_VAR",#N/A,FALSE,"SummaryM_Stage_4";"KAN_MAIN5_VAR",#N/A,FALSE,"SummaryM_Stage_5";"KAN_NW1_VAR",#N/A,FALSE,"SummaryNW_Stage_1";"KAN_NW2_VAR",#N/A,FALSE,"SummaryNW_Stage_2";"KAN_NW3_VAR",#N/A,FALSE,"SummaryNW_Stage_3";"KAN_NW4_VAR",#N/A,FALSE,"SummaryNW_Stage_4";"KAN_MAIN1_LHVAR",#N/A,FALSE,"SummaryM_Stage_1";"KAN_MAIN2_LHVAR",#N/A,FALSE,"SummaryM_Stage_2";"KAN_MAIN3_LHVAR",#N/A,FALSE,"SummaryM_Stage_3";"KAN_MAIN4_LHVAR",#N/A,FALSE,"SummaryM_Stage_4";"KAN_MAIN5_LHVAR",#N/A,FALSE,"SummaryM_Stage_5";"KAN_NW1_LHVAR",#N/A,FALSE,"SummaryNW_Stage_1";"KAN_NW2_LHVAR",#N/A,FALSE,"SummaryNW_Stage_2";"KAN_NW3_LHVAR",#N/A,FALSE,"SummaryNW_Stage_3";"KAN_NW4_LHVAR",#N/A,FALSE,"SummaryNW_Stage_4";"KAN_AVE_LHCOST1",#N/A,FALSE,"Copy_of_Mining_tab_Sched_11";"KAN_AVE_LHCOST2",#N/A,FALSE,"Copy_of_Mining_tab_Sched_11"}</definedName>
    <definedName name="wrn.KAN_COST1." hidden="1">{"KAN_MAIN1_VAR",#N/A,FALSE,"SummaryM_Stage_1";"KAN_MAIN2_VAR",#N/A,FALSE,"SummaryM_Stage_2";"KAN_MAIN3_VAR",#N/A,FALSE,"SummaryM_Stage_3";"KAN_MAIN4_VAR",#N/A,FALSE,"SummaryM_Stage_4";"KAN_MAIN5_VAR",#N/A,FALSE,"SummaryM_Stage_5";"KAN_NW1_VAR",#N/A,FALSE,"SummaryNW_Stage_1";"KAN_NW2_VAR",#N/A,FALSE,"SummaryNW_Stage_2";"KAN_NW3_VAR",#N/A,FALSE,"SummaryNW_Stage_3";"KAN_NW4_VAR",#N/A,FALSE,"SummaryNW_Stage_4";"KAN_MAIN1_LHVAR",#N/A,FALSE,"SummaryM_Stage_1";"KAN_MAIN2_LHVAR",#N/A,FALSE,"SummaryM_Stage_2";"KAN_MAIN3_LHVAR",#N/A,FALSE,"SummaryM_Stage_3";"KAN_MAIN4_LHVAR",#N/A,FALSE,"SummaryM_Stage_4";"KAN_MAIN5_LHVAR",#N/A,FALSE,"SummaryM_Stage_5";"KAN_NW1_LHVAR",#N/A,FALSE,"SummaryNW_Stage_1";"KAN_NW2_LHVAR",#N/A,FALSE,"SummaryNW_Stage_2";"KAN_NW3_LHVAR",#N/A,FALSE,"SummaryNW_Stage_3";"KAN_NW4_LHVAR",#N/A,FALSE,"SummaryNW_Stage_4";"KAN_AVE_LHCOST1",#N/A,FALSE,"Copy_of_Mining_tab_Sched_11";"KAN_AVE_LHCOST2",#N/A,FALSE,"Copy_of_Mining_tab_Sched_11"}</definedName>
    <definedName name="wrn.KAN_COST2." localSheetId="1"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wrn.KAN_COST2." localSheetId="2"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wrn.KAN_COST2." hidden="1">{"KAN_LOADHAULCOSTS",#N/A,FALSE,"Load_and_Haul_Costs_Cat777_only";"KAN_OVERHAULORE",#N/A,FALSE,"Load_and_Haul_Costs_Cat777_only";"KAN_MEDIUMTERM_STP",#N/A,FALSE,"MediumTerm_Stockpile_Rehandle";"KAN_DRILLINGCOSTS",#N/A,FALSE,"Drilling_Costs_Emulsion127";"KAN_DRILLHOURS",#N/A,FALSE,"Drilling_Costs_Emulsion127";"KAN_BLASTINGCOSTS",#N/A,FALSE,"Blasting_Costs127"}</definedName>
    <definedName name="wrn.KAN_COST3." localSheetId="1"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wrn.KAN_COST3." localSheetId="2"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wrn.KAN_COST3." hidden="1">{"KAN_LABOURRATES",#N/A,FALSE,"Labour_Cat777";"KAN_LABOURPANELS",#N/A,FALSE,"Labour_Cat777";"KAN_LABOURCOSTS",#N/A,FALSE,"Labour_Cat777";"KAN_EQUIPMENTHOURS",#N/A,FALSE,"EQUIPMENT_SCHEDULE_CAT777_ONLY";"KAN_EQUIPMENTREQUIRED",#N/A,FALSE,"EQUIPMENT_SCHEDULE_CAT777_ONLY";"KAN_EQUIPMENTINSERVICE",#N/A,FALSE,"EQUIPMENT_SCHEDULE_CAT777_ONLY";"KAN_SERVICE_EQUIPMENTCOSTS",#N/A,FALSE,"EQUIPMENT_SCHEDULE_CAT777_ONLY";"KAN_REMAININGLIFE",#N/A,FALSE,"EQUIPMENT_SCHEDULE_CAT777_ONLY";"KAN_EQUIP_PURCHASE",#N/A,FALSE,"EQUIPMENT_SCHEDULE_CAT777_ONLY";"KAN_EQUIP_CAPEX",#N/A,FALSE,"EQUIPMENT_SCHEDULE_CAT777_ONLY";"KAN_MINESERVICE_CAPEX",#N/A,FALSE,"EQUIPMENT_SCHEDULE_CAT777_ONLY";"KAN_MINETECHNICAL_COSTS",#N/A,FALSE,"EQUIPMENT_SCHEDULE_CAT777_ONLY";"KAN_FUEL_USAGE",#N/A,FALSE,"EQUIPMENT_SCHEDULE_CAT777_ONLY"}</definedName>
    <definedName name="wrn.KAN_COST4." localSheetId="1" hidden="1">{"KAN_COST1_SUMMARY",#N/A,FALSE,"Schedule_COST_EQUIPMENT_Summary";"KAN_COST2_SUMMARY",#N/A,FALSE,"Schedule_COST_EQUIPMENT_Summary";"KAN_COST3_SUMMARY",#N/A,FALSE,"Schedule_COST_EQUIPMENT_Summary"}</definedName>
    <definedName name="wrn.KAN_COST4." localSheetId="2" hidden="1">{"KAN_COST1_SUMMARY",#N/A,FALSE,"Schedule_COST_EQUIPMENT_Summary";"KAN_COST2_SUMMARY",#N/A,FALSE,"Schedule_COST_EQUIPMENT_Summary";"KAN_COST3_SUMMARY",#N/A,FALSE,"Schedule_COST_EQUIPMENT_Summary"}</definedName>
    <definedName name="wrn.KAN_COST4." hidden="1">{"KAN_COST1_SUMMARY",#N/A,FALSE,"Schedule_COST_EQUIPMENT_Summary";"KAN_COST2_SUMMARY",#N/A,FALSE,"Schedule_COST_EQUIPMENT_Summary";"KAN_COST3_SUMMARY",#N/A,FALSE,"Schedule_COST_EQUIPMENT_Summary"}</definedName>
    <definedName name="wrn.KAN_COST5." localSheetId="1"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wrn.KAN_COST5." localSheetId="2"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wrn.KAN_COST5." hidden="1">{"KAN_1GRADECONTROL",#N/A,FALSE,"GRADE_CONTROL";"KAN_2GRADECONTROL",#N/A,FALSE,"GRADE_CONTROL";"KAN_RCINFILL",#N/A,FALSE,"RC_Infill_drilling ";"KAN_DEWATERING",#N/A,FALSE,"Dewater";"KAN_UNITPRICES",#N/A,FALSE,"Unit_Item_Costs";"KAN_SHIFTANDCONSTANT",#N/A,FALSE,"Shifts &amp; Constants";"KAN_ASSUMPTIONS",#N/A,FALSE,"Assumptions";"KAN_FIGURES",#N/A,FALSE,"Graphs"}</definedName>
    <definedName name="wrn.MARKF98FULL." localSheetId="1" hidden="1">{#N/A,#N/A,TRUE,"CONTENTS";#N/A,#N/A,TRUE,"M2";#N/A,#N/A,TRUE,"M2a";#N/A,#N/A,TRUE,"M2b";#N/A,#N/A,TRUE,"M3";#N/A,#N/A,TRUE,"M3a";#N/A,#N/A,TRUE,"M4-H";#N/A,#N/A,TRUE,"M4-P";#N/A,#N/A,TRUE,"M4a";#N/A,#N/A,TRUE,"M4b";#N/A,#N/A,TRUE,"M4c";#N/A,#N/A,TRUE,"M5";#N/A,#N/A,TRUE,"M6";#N/A,#N/A,TRUE,"M7";#N/A,#N/A,TRUE,"M8";#N/A,#N/A,TRUE,"M9";#N/A,#N/A,TRUE,"M10";#N/A,#N/A,TRUE,"M11";#N/A,#N/A,TRUE,"M13";#N/A,#N/A,TRUE,"M14";#N/A,#N/A,TRUE,"M15";#N/A,#N/A,TRUE,"K1"}</definedName>
    <definedName name="wrn.MARKF98FULL." localSheetId="2" hidden="1">{#N/A,#N/A,TRUE,"CONTENTS";#N/A,#N/A,TRUE,"M2";#N/A,#N/A,TRUE,"M2a";#N/A,#N/A,TRUE,"M2b";#N/A,#N/A,TRUE,"M3";#N/A,#N/A,TRUE,"M3a";#N/A,#N/A,TRUE,"M4-H";#N/A,#N/A,TRUE,"M4-P";#N/A,#N/A,TRUE,"M4a";#N/A,#N/A,TRUE,"M4b";#N/A,#N/A,TRUE,"M4c";#N/A,#N/A,TRUE,"M5";#N/A,#N/A,TRUE,"M6";#N/A,#N/A,TRUE,"M7";#N/A,#N/A,TRUE,"M8";#N/A,#N/A,TRUE,"M9";#N/A,#N/A,TRUE,"M10";#N/A,#N/A,TRUE,"M11";#N/A,#N/A,TRUE,"M13";#N/A,#N/A,TRUE,"M14";#N/A,#N/A,TRUE,"M15";#N/A,#N/A,TRUE,"K1"}</definedName>
    <definedName name="wrn.MARKF98FULL." hidden="1">{#N/A,#N/A,TRUE,"CONTENTS";#N/A,#N/A,TRUE,"M2";#N/A,#N/A,TRUE,"M2a";#N/A,#N/A,TRUE,"M2b";#N/A,#N/A,TRUE,"M3";#N/A,#N/A,TRUE,"M3a";#N/A,#N/A,TRUE,"M4-H";#N/A,#N/A,TRUE,"M4-P";#N/A,#N/A,TRUE,"M4a";#N/A,#N/A,TRUE,"M4b";#N/A,#N/A,TRUE,"M4c";#N/A,#N/A,TRUE,"M5";#N/A,#N/A,TRUE,"M6";#N/A,#N/A,TRUE,"M7";#N/A,#N/A,TRUE,"M8";#N/A,#N/A,TRUE,"M9";#N/A,#N/A,TRUE,"M10";#N/A,#N/A,TRUE,"M11";#N/A,#N/A,TRUE,"M13";#N/A,#N/A,TRUE,"M14";#N/A,#N/A,TRUE,"M15";#N/A,#N/A,TRUE,"K1"}</definedName>
    <definedName name="wrn.MARKF98H." localSheetId="1"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wrn.MARKF98H." localSheetId="2"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wrn.MARKF98H."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wrn.MARKF98P." localSheetId="1" hidden="1">{#N/A,#N/A,TRUE,"CONTENTS";#N/A,#N/A,TRUE,"M2";#N/A,#N/A,TRUE,"M2a";#N/A,#N/A,TRUE,"M2b";#N/A,#N/A,TRUE,"M3";#N/A,#N/A,TRUE,"M3a";#N/A,#N/A,TRUE,"M4-P";#N/A,#N/A,TRUE,"M5";#N/A,#N/A,TRUE,"M6";#N/A,#N/A,TRUE,"M7";#N/A,#N/A,TRUE,"M8";#N/A,#N/A,TRUE,"M9";#N/A,#N/A,TRUE,"M10";#N/A,#N/A,TRUE,"M11";#N/A,#N/A,TRUE,"M13";#N/A,#N/A,TRUE,"M14";#N/A,#N/A,TRUE,"M15";#N/A,#N/A,TRUE,"K1"}</definedName>
    <definedName name="wrn.MARKF98P." localSheetId="2" hidden="1">{#N/A,#N/A,TRUE,"CONTENTS";#N/A,#N/A,TRUE,"M2";#N/A,#N/A,TRUE,"M2a";#N/A,#N/A,TRUE,"M2b";#N/A,#N/A,TRUE,"M3";#N/A,#N/A,TRUE,"M3a";#N/A,#N/A,TRUE,"M4-P";#N/A,#N/A,TRUE,"M5";#N/A,#N/A,TRUE,"M6";#N/A,#N/A,TRUE,"M7";#N/A,#N/A,TRUE,"M8";#N/A,#N/A,TRUE,"M9";#N/A,#N/A,TRUE,"M10";#N/A,#N/A,TRUE,"M11";#N/A,#N/A,TRUE,"M13";#N/A,#N/A,TRUE,"M14";#N/A,#N/A,TRUE,"M15";#N/A,#N/A,TRUE,"K1"}</definedName>
    <definedName name="wrn.MARKF98P." hidden="1">{#N/A,#N/A,TRUE,"CONTENTS";#N/A,#N/A,TRUE,"M2";#N/A,#N/A,TRUE,"M2a";#N/A,#N/A,TRUE,"M2b";#N/A,#N/A,TRUE,"M3";#N/A,#N/A,TRUE,"M3a";#N/A,#N/A,TRUE,"M4-P";#N/A,#N/A,TRUE,"M5";#N/A,#N/A,TRUE,"M6";#N/A,#N/A,TRUE,"M7";#N/A,#N/A,TRUE,"M8";#N/A,#N/A,TRUE,"M9";#N/A,#N/A,TRUE,"M10";#N/A,#N/A,TRUE,"M11";#N/A,#N/A,TRUE,"M13";#N/A,#N/A,TRUE,"M14";#N/A,#N/A,TRUE,"M15";#N/A,#N/A,TRUE,"K1"}</definedName>
    <definedName name="wrn.SRDBLASTDRILL." localSheetId="1" hidden="1">{"BLASTCOST",#N/A,FALSE,"Blast";"DRILLPRODUCTIVITY",#N/A,FALSE,"Drill"}</definedName>
    <definedName name="wrn.SRDBLASTDRILL." localSheetId="2" hidden="1">{"BLASTCOST",#N/A,FALSE,"Blast";"DRILLPRODUCTIVITY",#N/A,FALSE,"Drill"}</definedName>
    <definedName name="wrn.SRDBLASTDRILL." hidden="1">{"BLASTCOST",#N/A,FALSE,"Blast";"DRILLPRODUCTIVITY",#N/A,FALSE,"Drill"}</definedName>
    <definedName name="wrn.SRDCOSTSUMMARYANDLABOUR." localSheetId="1" hidden="1">{"COST_HPSUMMARY",#N/A,FALSE,"Cost_HP Summary";"COSTSUMMARY",#N/A,FALSE,"Cost Summary";"PITMOVEMENTSUMMARY",#N/A,FALSE,"Equipment Schedule";"LABOURMANNING",#N/A,FALSE,"Labour";"LABOURMANNEDCOST",#N/A,FALSE,"Labour";"LABOURUNITCOST",#N/A,FALSE,"Labour"}</definedName>
    <definedName name="wrn.SRDCOSTSUMMARYANDLABOUR." localSheetId="2" hidden="1">{"COST_HPSUMMARY",#N/A,FALSE,"Cost_HP Summary";"COSTSUMMARY",#N/A,FALSE,"Cost Summary";"PITMOVEMENTSUMMARY",#N/A,FALSE,"Equipment Schedule";"LABOURMANNING",#N/A,FALSE,"Labour";"LABOURMANNEDCOST",#N/A,FALSE,"Labour";"LABOURUNITCOST",#N/A,FALSE,"Labour"}</definedName>
    <definedName name="wrn.SRDCOSTSUMMARYANDLABOUR." hidden="1">{"COST_HPSUMMARY",#N/A,FALSE,"Cost_HP Summary";"COSTSUMMARY",#N/A,FALSE,"Cost Summary";"PITMOVEMENTSUMMARY",#N/A,FALSE,"Equipment Schedule";"LABOURMANNING",#N/A,FALSE,"Labour";"LABOURMANNEDCOST",#N/A,FALSE,"Labour";"LABOURUNITCOST",#N/A,FALSE,"Labour"}</definedName>
    <definedName name="wrn.SRDCYCLETIMES." localSheetId="1" hidden="1">{"TRUCKCYCLETIMES",#N/A,FALSE,"Cycle Times";"TRUCKPRODUCTIVITY",#N/A,FALSE,"Cycle Times"}</definedName>
    <definedName name="wrn.SRDCYCLETIMES." localSheetId="2" hidden="1">{"TRUCKCYCLETIMES",#N/A,FALSE,"Cycle Times";"TRUCKPRODUCTIVITY",#N/A,FALSE,"Cycle Times"}</definedName>
    <definedName name="wrn.SRDCYCLETIMES." hidden="1">{"TRUCKCYCLETIMES",#N/A,FALSE,"Cycle Times";"TRUCKPRODUCTIVITY",#N/A,FALSE,"Cycle Times"}</definedName>
    <definedName name="wrn.SRDEQUIPMENT." localSheetId="1" hidden="1">{"EQUIPHRSREQINSERVICE",#N/A,FALSE,"Equipment Schedule";"EQUIPSERVLIFEREMAININGPURCHASE",#N/A,FALSE,"Equipment Schedule";"EQUIPUPTOFUELUSAGE",#N/A,FALSE,"Equipment Schedule"}</definedName>
    <definedName name="wrn.SRDEQUIPMENT." localSheetId="2" hidden="1">{"EQUIPHRSREQINSERVICE",#N/A,FALSE,"Equipment Schedule";"EQUIPSERVLIFEREMAININGPURCHASE",#N/A,FALSE,"Equipment Schedule";"EQUIPUPTOFUELUSAGE",#N/A,FALSE,"Equipment Schedule"}</definedName>
    <definedName name="wrn.SRDEQUIPMENT." hidden="1">{"EQUIPHRSREQINSERVICE",#N/A,FALSE,"Equipment Schedule";"EQUIPSERVLIFEREMAININGPURCHASE",#N/A,FALSE,"Equipment Schedule";"EQUIPUPTOFUELUSAGE",#N/A,FALSE,"Equipment Schedule"}</definedName>
    <definedName name="wrn.SRDLOADHAUL." localSheetId="1" hidden="1">{"LHPIT1ORE",#N/A,FALSE,"L&amp;H_Pit 1a4100";"LHPIT1ROM",#N/A,FALSE,"L&amp;H_Pit 1a4100";"LHPIT1WASTELEACH",#N/A,FALSE,"L&amp;H_Pit 1a4100";"LHPIT1WASTEFRESH",#N/A,FALSE,"L&amp;H_Pit 1a4100";"LHPIT2ORE",#N/A,FALSE,"L&amp;H_Pit 2a4100";"LHPIT2ROM",#N/A,FALSE,"L&amp;H_Pit 2a4100";"LHPIT2WASTELEACH",#N/A,FALSE,"L&amp;H_Pit 2a4100";"LHPIT2WASTEFRESH",#N/A,FALSE,"L&amp;H_Pit 2a4100";"LHPIT3ORE",#N/A,FALSE,"L&amp;H_Pit 3a4100";"LHPIT3ROM",#N/A,FALSE,"L&amp;H_Pit 3a4100";"LHPIT3WASTELEACH",#N/A,FALSE,"L&amp;H_Pit 3a4100";"LHPIT3WASTEFRESH",#N/A,FALSE,"L&amp;H_Pit 3a4100";"LHPIT4ORE",#N/A,FALSE,"L&amp;H_Pit 4a4100";"LHPIT4ROM",#N/A,FALSE,"L&amp;H_Pit 4a4100";"LHPIT4WASTELEACH",#N/A,FALSE,"L&amp;H_Pit 4a4100";"LHPIT4WASTEFRESH",#N/A,FALSE,"L&amp;H_Pit 4a4100";"LHPIT5ORE",#N/A,FALSE,"L&amp;H_Pit 5a4100";"LHPIT5ROM",#N/A,FALSE,"L&amp;H_Pit 5a4100";"LHPIT5WASTELEACH",#N/A,FALSE,"L&amp;H_Pit 5a4100";"LHPIT5WASTEFRESH",#N/A,FALSE,"L&amp;H_Pit 5a4100";"LHPIT6ORE",#N/A,FALSE,"L&amp;H_Pit 6a4100";"LHPIT6ROM",#N/A,FALSE,"L&amp;H_Pit 6a4100";"LHPIT6WASTELEACH",#N/A,FALSE,"L&amp;H_Pit 6a4100";"LHPIT6WASTEFRESH",#N/A,FALSE,"L&amp;H_Pit 6a4100";"LHPIT1994ORE",#N/A,FALSE,"L&amp;H_Pit 1a994";"LHPIT1994ROM",#N/A,FALSE,"L&amp;H_Pit 1a994";"LHPIT1994WASTELEACH",#N/A,FALSE,"L&amp;H_Pit 1a994";"LHPIT1994WASTEFRESH",#N/A,FALSE,"L&amp;H_Pit 1a994";"LHPIT2994ORE",#N/A,FALSE,"L&amp;H_Pit 2a994";"LHPIT2994ROM",#N/A,FALSE,"L&amp;H_Pit 2a994";"LHPIT2994WASTELEACH",#N/A,FALSE,"L&amp;H_Pit 2a994";"LHPIT2994WASTEFRESH",#N/A,FALSE,"L&amp;H_Pit 2a994";"LHPIT3994ORE",#N/A,FALSE,"L&amp;H_Pit 3a994";"LHPIT3994ROM",#N/A,FALSE,"L&amp;H_Pit 3a994";"LHPIT3994WASTELEACH",#N/A,FALSE,"L&amp;H_Pit 3a994";"LHPIT3994WASTEFRESH",#N/A,FALSE,"L&amp;H_Pit 3a994";"LHPIT4994ORE",#N/A,FALSE,"L&amp;H_Pit 4a994";"LHPIT4994ROM",#N/A,FALSE,"L&amp;H_Pit 4a994";"LHPIT4994WASTELEACH",#N/A,FALSE,"L&amp;H_Pit 4a994";"LHPIT4994WASTEFRESH",#N/A,FALSE,"L&amp;H_Pit 4a994";"LHPIT5994ORE",#N/A,FALSE,"L&amp;H_Pit 5a994";"LHPIT5994ROM",#N/A,FALSE,"L&amp;H_Pit 5a994";"LHPIT5994WASTELEACH",#N/A,FALSE,"L&amp;H_Pit 5a994";"LHPIT5994WASTEFRESH",#N/A,FALSE,"L&amp;H_Pit 5a994";"LHPIT6994ORE",#N/A,FALSE,"L&amp;H_Pit 6a994";"LHPIT6994ROM",#N/A,FALSE,"L&amp;H_Pit 6a994";"LHPIT6994WASTELEACH",#N/A,FALSE,"L&amp;H_Pit 6a994";"LHPIT6994WASTEFRESH",#N/A,FALSE,"L&amp;H_Pit 6a994";"LHPIT1RH200ORE",#N/A,FALSE,"L&amp;H_Pit 1aRH200";"LHPIT1RH200ROM",#N/A,FALSE,"L&amp;H_Pit 1aRH200";"LHPIT1RH200WASTELEACH",#N/A,FALSE,"L&amp;H_Pit 1aRH200";"LHPIT1RH200WASTEFRESH",#N/A,FALSE,"L&amp;H_Pit 1aRH200"}</definedName>
    <definedName name="wrn.SRDLOADHAUL." localSheetId="2" hidden="1">{"LHPIT1ORE",#N/A,FALSE,"L&amp;H_Pit 1a4100";"LHPIT1ROM",#N/A,FALSE,"L&amp;H_Pit 1a4100";"LHPIT1WASTELEACH",#N/A,FALSE,"L&amp;H_Pit 1a4100";"LHPIT1WASTEFRESH",#N/A,FALSE,"L&amp;H_Pit 1a4100";"LHPIT2ORE",#N/A,FALSE,"L&amp;H_Pit 2a4100";"LHPIT2ROM",#N/A,FALSE,"L&amp;H_Pit 2a4100";"LHPIT2WASTELEACH",#N/A,FALSE,"L&amp;H_Pit 2a4100";"LHPIT2WASTEFRESH",#N/A,FALSE,"L&amp;H_Pit 2a4100";"LHPIT3ORE",#N/A,FALSE,"L&amp;H_Pit 3a4100";"LHPIT3ROM",#N/A,FALSE,"L&amp;H_Pit 3a4100";"LHPIT3WASTELEACH",#N/A,FALSE,"L&amp;H_Pit 3a4100";"LHPIT3WASTEFRESH",#N/A,FALSE,"L&amp;H_Pit 3a4100";"LHPIT4ORE",#N/A,FALSE,"L&amp;H_Pit 4a4100";"LHPIT4ROM",#N/A,FALSE,"L&amp;H_Pit 4a4100";"LHPIT4WASTELEACH",#N/A,FALSE,"L&amp;H_Pit 4a4100";"LHPIT4WASTEFRESH",#N/A,FALSE,"L&amp;H_Pit 4a4100";"LHPIT5ORE",#N/A,FALSE,"L&amp;H_Pit 5a4100";"LHPIT5ROM",#N/A,FALSE,"L&amp;H_Pit 5a4100";"LHPIT5WASTELEACH",#N/A,FALSE,"L&amp;H_Pit 5a4100";"LHPIT5WASTEFRESH",#N/A,FALSE,"L&amp;H_Pit 5a4100";"LHPIT6ORE",#N/A,FALSE,"L&amp;H_Pit 6a4100";"LHPIT6ROM",#N/A,FALSE,"L&amp;H_Pit 6a4100";"LHPIT6WASTELEACH",#N/A,FALSE,"L&amp;H_Pit 6a4100";"LHPIT6WASTEFRESH",#N/A,FALSE,"L&amp;H_Pit 6a4100";"LHPIT1994ORE",#N/A,FALSE,"L&amp;H_Pit 1a994";"LHPIT1994ROM",#N/A,FALSE,"L&amp;H_Pit 1a994";"LHPIT1994WASTELEACH",#N/A,FALSE,"L&amp;H_Pit 1a994";"LHPIT1994WASTEFRESH",#N/A,FALSE,"L&amp;H_Pit 1a994";"LHPIT2994ORE",#N/A,FALSE,"L&amp;H_Pit 2a994";"LHPIT2994ROM",#N/A,FALSE,"L&amp;H_Pit 2a994";"LHPIT2994WASTELEACH",#N/A,FALSE,"L&amp;H_Pit 2a994";"LHPIT2994WASTEFRESH",#N/A,FALSE,"L&amp;H_Pit 2a994";"LHPIT3994ORE",#N/A,FALSE,"L&amp;H_Pit 3a994";"LHPIT3994ROM",#N/A,FALSE,"L&amp;H_Pit 3a994";"LHPIT3994WASTELEACH",#N/A,FALSE,"L&amp;H_Pit 3a994";"LHPIT3994WASTEFRESH",#N/A,FALSE,"L&amp;H_Pit 3a994";"LHPIT4994ORE",#N/A,FALSE,"L&amp;H_Pit 4a994";"LHPIT4994ROM",#N/A,FALSE,"L&amp;H_Pit 4a994";"LHPIT4994WASTELEACH",#N/A,FALSE,"L&amp;H_Pit 4a994";"LHPIT4994WASTEFRESH",#N/A,FALSE,"L&amp;H_Pit 4a994";"LHPIT5994ORE",#N/A,FALSE,"L&amp;H_Pit 5a994";"LHPIT5994ROM",#N/A,FALSE,"L&amp;H_Pit 5a994";"LHPIT5994WASTELEACH",#N/A,FALSE,"L&amp;H_Pit 5a994";"LHPIT5994WASTEFRESH",#N/A,FALSE,"L&amp;H_Pit 5a994";"LHPIT6994ORE",#N/A,FALSE,"L&amp;H_Pit 6a994";"LHPIT6994ROM",#N/A,FALSE,"L&amp;H_Pit 6a994";"LHPIT6994WASTELEACH",#N/A,FALSE,"L&amp;H_Pit 6a994";"LHPIT6994WASTEFRESH",#N/A,FALSE,"L&amp;H_Pit 6a994";"LHPIT1RH200ORE",#N/A,FALSE,"L&amp;H_Pit 1aRH200";"LHPIT1RH200ROM",#N/A,FALSE,"L&amp;H_Pit 1aRH200";"LHPIT1RH200WASTELEACH",#N/A,FALSE,"L&amp;H_Pit 1aRH200";"LHPIT1RH200WASTEFRESH",#N/A,FALSE,"L&amp;H_Pit 1aRH200"}</definedName>
    <definedName name="wrn.SRDLOADHAUL." hidden="1">{"LHPIT1ORE",#N/A,FALSE,"L&amp;H_Pit 1a4100";"LHPIT1ROM",#N/A,FALSE,"L&amp;H_Pit 1a4100";"LHPIT1WASTELEACH",#N/A,FALSE,"L&amp;H_Pit 1a4100";"LHPIT1WASTEFRESH",#N/A,FALSE,"L&amp;H_Pit 1a4100";"LHPIT2ORE",#N/A,FALSE,"L&amp;H_Pit 2a4100";"LHPIT2ROM",#N/A,FALSE,"L&amp;H_Pit 2a4100";"LHPIT2WASTELEACH",#N/A,FALSE,"L&amp;H_Pit 2a4100";"LHPIT2WASTEFRESH",#N/A,FALSE,"L&amp;H_Pit 2a4100";"LHPIT3ORE",#N/A,FALSE,"L&amp;H_Pit 3a4100";"LHPIT3ROM",#N/A,FALSE,"L&amp;H_Pit 3a4100";"LHPIT3WASTELEACH",#N/A,FALSE,"L&amp;H_Pit 3a4100";"LHPIT3WASTEFRESH",#N/A,FALSE,"L&amp;H_Pit 3a4100";"LHPIT4ORE",#N/A,FALSE,"L&amp;H_Pit 4a4100";"LHPIT4ROM",#N/A,FALSE,"L&amp;H_Pit 4a4100";"LHPIT4WASTELEACH",#N/A,FALSE,"L&amp;H_Pit 4a4100";"LHPIT4WASTEFRESH",#N/A,FALSE,"L&amp;H_Pit 4a4100";"LHPIT5ORE",#N/A,FALSE,"L&amp;H_Pit 5a4100";"LHPIT5ROM",#N/A,FALSE,"L&amp;H_Pit 5a4100";"LHPIT5WASTELEACH",#N/A,FALSE,"L&amp;H_Pit 5a4100";"LHPIT5WASTEFRESH",#N/A,FALSE,"L&amp;H_Pit 5a4100";"LHPIT6ORE",#N/A,FALSE,"L&amp;H_Pit 6a4100";"LHPIT6ROM",#N/A,FALSE,"L&amp;H_Pit 6a4100";"LHPIT6WASTELEACH",#N/A,FALSE,"L&amp;H_Pit 6a4100";"LHPIT6WASTEFRESH",#N/A,FALSE,"L&amp;H_Pit 6a4100";"LHPIT1994ORE",#N/A,FALSE,"L&amp;H_Pit 1a994";"LHPIT1994ROM",#N/A,FALSE,"L&amp;H_Pit 1a994";"LHPIT1994WASTELEACH",#N/A,FALSE,"L&amp;H_Pit 1a994";"LHPIT1994WASTEFRESH",#N/A,FALSE,"L&amp;H_Pit 1a994";"LHPIT2994ORE",#N/A,FALSE,"L&amp;H_Pit 2a994";"LHPIT2994ROM",#N/A,FALSE,"L&amp;H_Pit 2a994";"LHPIT2994WASTELEACH",#N/A,FALSE,"L&amp;H_Pit 2a994";"LHPIT2994WASTEFRESH",#N/A,FALSE,"L&amp;H_Pit 2a994";"LHPIT3994ORE",#N/A,FALSE,"L&amp;H_Pit 3a994";"LHPIT3994ROM",#N/A,FALSE,"L&amp;H_Pit 3a994";"LHPIT3994WASTELEACH",#N/A,FALSE,"L&amp;H_Pit 3a994";"LHPIT3994WASTEFRESH",#N/A,FALSE,"L&amp;H_Pit 3a994";"LHPIT4994ORE",#N/A,FALSE,"L&amp;H_Pit 4a994";"LHPIT4994ROM",#N/A,FALSE,"L&amp;H_Pit 4a994";"LHPIT4994WASTELEACH",#N/A,FALSE,"L&amp;H_Pit 4a994";"LHPIT4994WASTEFRESH",#N/A,FALSE,"L&amp;H_Pit 4a994";"LHPIT5994ORE",#N/A,FALSE,"L&amp;H_Pit 5a994";"LHPIT5994ROM",#N/A,FALSE,"L&amp;H_Pit 5a994";"LHPIT5994WASTELEACH",#N/A,FALSE,"L&amp;H_Pit 5a994";"LHPIT5994WASTEFRESH",#N/A,FALSE,"L&amp;H_Pit 5a994";"LHPIT6994ORE",#N/A,FALSE,"L&amp;H_Pit 6a994";"LHPIT6994ROM",#N/A,FALSE,"L&amp;H_Pit 6a994";"LHPIT6994WASTELEACH",#N/A,FALSE,"L&amp;H_Pit 6a994";"LHPIT6994WASTEFRESH",#N/A,FALSE,"L&amp;H_Pit 6a994";"LHPIT1RH200ORE",#N/A,FALSE,"L&amp;H_Pit 1aRH200";"LHPIT1RH200ROM",#N/A,FALSE,"L&amp;H_Pit 1aRH200";"LHPIT1RH200WASTELEACH",#N/A,FALSE,"L&amp;H_Pit 1aRH200";"LHPIT1RH200WASTEFRESH",#N/A,FALSE,"L&amp;H_Pit 1aRH200"}</definedName>
    <definedName name="wrn.SRDSUMMARYDESIGN." localSheetId="1"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wrn.SRDSUMMARYDESIGN." localSheetId="2"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wrn.SRDSUMMARYDESIGN."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wrn.SRDUNITCOST." localSheetId="1" hidden="1">{"HEADER",#N/A,FALSE,"Header";"ROADMAP",#N/A,FALSE,"Road Map";"SHOVEL4100",#N/A,FALSE,"Shovel";"TRUCKCOST",#N/A,FALSE,"Trucks";"RH200COST",#N/A,FALSE,"RH200";"CAT994COST",#N/A,FALSE,"Service_Eq.";"CATD10RCOST",#N/A,FALSE,"Service_Eq.";"CAT16HCOST",#N/A,FALSE,"Service_Eq.";"CAT854COST",#N/A,FALSE,"Service_Eq.";"WATERCARTCOST",#N/A,FALSE,"Service_Eq.";"FORKLIFTCOST",#N/A,FALSE,"Service_Eq.";"BACKHOECOST",#N/A,FALSE,"Service_Eq.";"LOWLOADERCOST",#N/A,FALSE,"Service_Eq.";"SUPPORTEQUIPCOST",#N/A,FALSE,"Service_Eq.";"DRILLCOST",#N/A,FALSE,"Drill"}</definedName>
    <definedName name="wrn.SRDUNITCOST." localSheetId="2" hidden="1">{"HEADER",#N/A,FALSE,"Header";"ROADMAP",#N/A,FALSE,"Road Map";"SHOVEL4100",#N/A,FALSE,"Shovel";"TRUCKCOST",#N/A,FALSE,"Trucks";"RH200COST",#N/A,FALSE,"RH200";"CAT994COST",#N/A,FALSE,"Service_Eq.";"CATD10RCOST",#N/A,FALSE,"Service_Eq.";"CAT16HCOST",#N/A,FALSE,"Service_Eq.";"CAT854COST",#N/A,FALSE,"Service_Eq.";"WATERCARTCOST",#N/A,FALSE,"Service_Eq.";"FORKLIFTCOST",#N/A,FALSE,"Service_Eq.";"BACKHOECOST",#N/A,FALSE,"Service_Eq.";"LOWLOADERCOST",#N/A,FALSE,"Service_Eq.";"SUPPORTEQUIPCOST",#N/A,FALSE,"Service_Eq.";"DRILLCOST",#N/A,FALSE,"Drill"}</definedName>
    <definedName name="wrn.SRDUNITCOST." hidden="1">{"HEADER",#N/A,FALSE,"Header";"ROADMAP",#N/A,FALSE,"Road Map";"SHOVEL4100",#N/A,FALSE,"Shovel";"TRUCKCOST",#N/A,FALSE,"Trucks";"RH200COST",#N/A,FALSE,"RH200";"CAT994COST",#N/A,FALSE,"Service_Eq.";"CATD10RCOST",#N/A,FALSE,"Service_Eq.";"CAT16HCOST",#N/A,FALSE,"Service_Eq.";"CAT854COST",#N/A,FALSE,"Service_Eq.";"WATERCARTCOST",#N/A,FALSE,"Service_Eq.";"FORKLIFTCOST",#N/A,FALSE,"Service_Eq.";"BACKHOECOST",#N/A,FALSE,"Service_Eq.";"LOWLOADERCOST",#N/A,FALSE,"Service_Eq.";"SUPPORTEQUIPCOST",#N/A,FALSE,"Service_Eq.";"DRILLCOST",#N/A,FALSE,"Drill"}</definedName>
    <definedName name="wrn.SRDVARIOUS." localSheetId="1" hidden="1">{"COSTSUMMARY12.1",#N/A,FALSE,"Cost Summary";"DEWATER",#N/A,FALSE,"Dewater";"SHIFTSANDCONSTANTS",#N/A,FALSE,"Shifts &amp; Constants"}</definedName>
    <definedName name="wrn.SRDVARIOUS." localSheetId="2" hidden="1">{"COSTSUMMARY12.1",#N/A,FALSE,"Cost Summary";"DEWATER",#N/A,FALSE,"Dewater";"SHIFTSANDCONSTANTS",#N/A,FALSE,"Shifts &amp; Constants"}</definedName>
    <definedName name="wrn.SRDVARIOUS." hidden="1">{"COSTSUMMARY12.1",#N/A,FALSE,"Cost Summary";"DEWATER",#N/A,FALSE,"Dewater";"SHIFTSANDCONSTANTS",#N/A,FALSE,"Shifts &amp; Constants"}</definedName>
    <definedName name="wrn6a" localSheetId="1" hidden="1">{"tab1_2",#N/A,FALSE,"Cost Summary";"fig1_2",#N/A,FALSE,"Annual Production"}</definedName>
    <definedName name="wrn6a" localSheetId="2" hidden="1">{"tab1_2",#N/A,FALSE,"Cost Summary";"fig1_2",#N/A,FALSE,"Annual Production"}</definedName>
    <definedName name="wrn6a" hidden="1">{"tab1_2",#N/A,FALSE,"Cost Summary";"fig1_2",#N/A,FALSE,"Annual Production"}</definedName>
    <definedName name="wrna" localSheetId="1" hidden="1">{"tab1_2",#N/A,FALSE,"Cost Summary";"fig1_2",#N/A,FALSE,"Annual Production"}</definedName>
    <definedName name="wrna" localSheetId="2" hidden="1">{"tab1_2",#N/A,FALSE,"Cost Summary";"fig1_2",#N/A,FALSE,"Annual Production"}</definedName>
    <definedName name="wrna" hidden="1">{"tab1_2",#N/A,FALSE,"Cost Summary";"fig1_2",#N/A,FALSE,"Annual Production"}</definedName>
    <definedName name="Year">#REF!</definedName>
    <definedName name="Year08">#REF!</definedName>
    <definedName name="Year09">#REF!</definedName>
    <definedName name="Year10">#REF!</definedName>
    <definedName name="YEAR2">#REF!</definedName>
    <definedName name="zeitraum">#REF!</definedName>
    <definedName name="ZX330topload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7" i="4" l="1"/>
  <c r="I22" i="6"/>
  <c r="H22" i="6"/>
  <c r="G22" i="6"/>
  <c r="F22" i="6"/>
  <c r="E22" i="6"/>
  <c r="D22" i="6"/>
  <c r="I17" i="6"/>
  <c r="H17" i="6"/>
  <c r="I16" i="6"/>
  <c r="H16" i="6"/>
  <c r="I15" i="6"/>
  <c r="H15" i="6"/>
  <c r="I14" i="6"/>
  <c r="H14" i="6"/>
  <c r="I13" i="6"/>
  <c r="H13" i="6"/>
  <c r="I12" i="6"/>
  <c r="H12" i="6"/>
  <c r="I11" i="6"/>
  <c r="H11" i="6"/>
  <c r="I10" i="6"/>
  <c r="H10" i="6"/>
  <c r="I9" i="6"/>
  <c r="H9" i="6"/>
  <c r="F99" i="5"/>
  <c r="F98" i="5"/>
  <c r="F97" i="5"/>
  <c r="F96" i="5"/>
  <c r="F95" i="5"/>
  <c r="F94" i="5"/>
  <c r="F93" i="5"/>
  <c r="B90" i="5"/>
  <c r="F90" i="5" s="1"/>
  <c r="F89" i="5"/>
  <c r="F88" i="5"/>
  <c r="F87" i="5"/>
  <c r="F86" i="5"/>
  <c r="F85" i="5"/>
  <c r="F84" i="5"/>
  <c r="F83" i="5"/>
  <c r="F82" i="5"/>
  <c r="F81" i="5"/>
  <c r="F80" i="5"/>
  <c r="F79" i="5"/>
  <c r="F78" i="5"/>
  <c r="B75" i="5"/>
  <c r="F74" i="5"/>
  <c r="F73" i="5"/>
  <c r="F72" i="5"/>
  <c r="F71" i="5"/>
  <c r="F70" i="5"/>
  <c r="F69" i="5"/>
  <c r="F68" i="5"/>
  <c r="F67" i="5"/>
  <c r="F66" i="5"/>
  <c r="F65" i="5"/>
  <c r="F64" i="5"/>
  <c r="F63" i="5"/>
  <c r="F75" i="5" s="1"/>
  <c r="F60" i="5"/>
  <c r="F59" i="5"/>
  <c r="F57" i="5"/>
  <c r="F56" i="5"/>
  <c r="F55" i="5"/>
  <c r="F54" i="5"/>
  <c r="F53" i="5"/>
  <c r="F52" i="5"/>
  <c r="F51" i="5"/>
  <c r="F50" i="5"/>
  <c r="F49" i="5"/>
  <c r="F48" i="5"/>
  <c r="F47" i="5"/>
  <c r="F46" i="5"/>
  <c r="F45" i="5"/>
  <c r="F44" i="5"/>
  <c r="F42" i="5"/>
  <c r="F41" i="5"/>
  <c r="F40" i="5"/>
  <c r="F39" i="5"/>
  <c r="F38" i="5"/>
  <c r="F35" i="5"/>
  <c r="F34" i="5"/>
  <c r="F33" i="5"/>
  <c r="F32" i="5"/>
  <c r="F31" i="5"/>
  <c r="F30" i="5"/>
  <c r="F29" i="5"/>
  <c r="F28" i="5"/>
  <c r="F27" i="5"/>
  <c r="F26" i="5"/>
  <c r="F25" i="5"/>
  <c r="F24" i="5"/>
  <c r="F23" i="5"/>
  <c r="F22" i="5"/>
  <c r="F19" i="5"/>
  <c r="F18" i="5"/>
  <c r="F17" i="5"/>
  <c r="F12" i="5"/>
  <c r="F11" i="5"/>
  <c r="F10" i="5"/>
  <c r="F9" i="5"/>
  <c r="B8" i="5"/>
  <c r="F8" i="5" s="1"/>
  <c r="F7" i="5"/>
  <c r="F6" i="5"/>
  <c r="F5" i="5"/>
  <c r="G36" i="4"/>
  <c r="G35" i="4"/>
  <c r="G34" i="4"/>
  <c r="G33" i="4"/>
  <c r="G32" i="4"/>
  <c r="G31" i="4"/>
  <c r="G30" i="4"/>
  <c r="G29" i="4"/>
  <c r="G28" i="4"/>
  <c r="G25" i="4"/>
  <c r="G24" i="4"/>
  <c r="G23" i="4"/>
  <c r="G22" i="4"/>
  <c r="G21" i="4"/>
  <c r="G20" i="4"/>
  <c r="G19" i="4"/>
  <c r="G18" i="4"/>
  <c r="G17" i="4"/>
  <c r="G16" i="4"/>
  <c r="F15" i="4"/>
  <c r="F26" i="4" s="1"/>
  <c r="F37" i="4" s="1"/>
  <c r="E15" i="4"/>
  <c r="E26" i="4" s="1"/>
  <c r="E37" i="4" s="1"/>
  <c r="D15" i="4"/>
  <c r="D26" i="4" s="1"/>
  <c r="D37" i="4" s="1"/>
  <c r="C15" i="4"/>
  <c r="G14" i="4"/>
  <c r="G13" i="4"/>
  <c r="G12" i="4"/>
  <c r="G11" i="4"/>
  <c r="G10" i="4"/>
  <c r="G9" i="4"/>
  <c r="G8" i="4"/>
  <c r="G7" i="4"/>
  <c r="G6" i="4"/>
  <c r="G5" i="4"/>
  <c r="G4" i="4"/>
  <c r="G15" i="4" l="1"/>
  <c r="C26" i="4"/>
  <c r="G26" i="4"/>
  <c r="C37" i="4"/>
  <c r="G37" i="4" s="1"/>
</calcChain>
</file>

<file path=xl/sharedStrings.xml><?xml version="1.0" encoding="utf-8"?>
<sst xmlns="http://schemas.openxmlformats.org/spreadsheetml/2006/main" count="200" uniqueCount="157">
  <si>
    <t>US $ / gold ounces sold</t>
  </si>
  <si>
    <t>On-Site Mining Costs (on a sales basis)</t>
  </si>
  <si>
    <t>Income Statement</t>
  </si>
  <si>
    <t>On-Site General &amp; Administrative costs</t>
  </si>
  <si>
    <t>Royalties &amp; Production Taxes</t>
  </si>
  <si>
    <t>Realised Gains/Losses on Hedges due to operating costs</t>
  </si>
  <si>
    <t>Community Costs related to current operations</t>
  </si>
  <si>
    <t>Permitting Costs related to current operations</t>
  </si>
  <si>
    <t>Non-Cash Remuneration (Site-Based)</t>
  </si>
  <si>
    <t>Stock-piles / product inventory write down</t>
  </si>
  <si>
    <t>Operational Stripping Costs</t>
  </si>
  <si>
    <t>By-Product Credits</t>
  </si>
  <si>
    <t>Sub-Total (Adjusted Operating Costs)</t>
  </si>
  <si>
    <t>Corporate General &amp; Administrative costs</t>
  </si>
  <si>
    <t>(including share-based remuneration)</t>
  </si>
  <si>
    <t>Reclamation &amp; remediation – accretion &amp;</t>
  </si>
  <si>
    <t>amortisation (operating sites)</t>
  </si>
  <si>
    <t>Exploration and study costs (sustaining)</t>
  </si>
  <si>
    <t>Capital exploration (sustaining)</t>
  </si>
  <si>
    <t>Cash  Flow</t>
  </si>
  <si>
    <t>Capitalised stripping &amp; underground mine development (sustaining)</t>
  </si>
  <si>
    <t>Cash Flow</t>
  </si>
  <si>
    <t>Capital expenditure (sustaining)</t>
  </si>
  <si>
    <t>All-in Sustaining Costs</t>
  </si>
  <si>
    <t>Exploration and study costs (non-sustaining)</t>
  </si>
  <si>
    <t>Capital exploration (non-sustaining)</t>
  </si>
  <si>
    <t>Capitalised stripping &amp; underground mine development (non-sustaining)</t>
  </si>
  <si>
    <t>Capital expenditure (non-sustaining)</t>
  </si>
  <si>
    <t>All-in Costs</t>
  </si>
  <si>
    <t>NOTE:</t>
  </si>
  <si>
    <t>The use of  the sub-total (adjusted operating costs) may be helpful for certain companies  in providing reconciliation to historical metrics but it is not expected that all companies will provide disclosure at this level. The sub-total (adjusted operating costs) metric may not be directly comparable across companies, for example, because of differences between IFRS and US GAAP.</t>
  </si>
  <si>
    <t>The following costs are excluded from the guidance:</t>
  </si>
  <si>
    <t>o  Income tax.</t>
  </si>
  <si>
    <t>o  Working capital (except for adjustments to inventory on a sales basis).</t>
  </si>
  <si>
    <t>o  All financing charges (including capitalised interest).</t>
  </si>
  <si>
    <t>o  Costs related to business combinations, asset acquisitions and asset disposals.</t>
  </si>
  <si>
    <t>o  Items needed to normalise earnings, for example impairments on non-current assets and one- time material severance charges. Costs related to any of the listed line-items used to calculate all-in costs in the above table should not be excluded.</t>
  </si>
  <si>
    <r>
      <t>3</t>
    </r>
    <r>
      <rPr>
        <sz val="6"/>
        <color theme="1"/>
        <rFont val="Arial"/>
        <family val="2"/>
      </rPr>
      <t xml:space="preserve">rd </t>
    </r>
    <r>
      <rPr>
        <sz val="9"/>
        <color theme="1"/>
        <rFont val="Arial"/>
        <family val="2"/>
      </rPr>
      <t>party smelting, refining and transport costs</t>
    </r>
  </si>
  <si>
    <r>
      <t xml:space="preserve">Community Costs </t>
    </r>
    <r>
      <rPr>
        <u/>
        <sz val="9"/>
        <color theme="1"/>
        <rFont val="Arial"/>
        <family val="2"/>
      </rPr>
      <t>not</t>
    </r>
    <r>
      <rPr>
        <sz val="9"/>
        <color theme="1"/>
        <rFont val="Arial"/>
        <family val="2"/>
      </rPr>
      <t xml:space="preserve"> related to current operations</t>
    </r>
  </si>
  <si>
    <r>
      <t xml:space="preserve">Permitting Costs </t>
    </r>
    <r>
      <rPr>
        <u/>
        <sz val="9"/>
        <color theme="1"/>
        <rFont val="Arial"/>
        <family val="2"/>
      </rPr>
      <t>not</t>
    </r>
    <r>
      <rPr>
        <sz val="9"/>
        <color theme="1"/>
        <rFont val="Arial"/>
        <family val="2"/>
      </rPr>
      <t xml:space="preserve"> related to current operations</t>
    </r>
  </si>
  <si>
    <r>
      <t xml:space="preserve">Reclamation and remediation costs </t>
    </r>
    <r>
      <rPr>
        <u/>
        <sz val="9"/>
        <color theme="1"/>
        <rFont val="Arial"/>
        <family val="2"/>
      </rPr>
      <t>not</t>
    </r>
    <r>
      <rPr>
        <sz val="9"/>
        <color theme="1"/>
        <rFont val="Arial"/>
        <family val="2"/>
      </rPr>
      <t xml:space="preserve"> related to current operations</t>
    </r>
  </si>
  <si>
    <r>
      <rPr>
        <b/>
        <sz val="11"/>
        <color theme="1"/>
        <rFont val="Aptos Narrow"/>
        <family val="2"/>
        <scheme val="minor"/>
      </rPr>
      <t>1.</t>
    </r>
    <r>
      <rPr>
        <sz val="11"/>
        <color theme="1"/>
        <rFont val="Aptos Narrow"/>
        <family val="2"/>
        <scheme val="minor"/>
      </rPr>
      <t xml:space="preserve">  All companies using this guidance are encouraged to disclose both their all-in sustaining costs and all-in costs and reconcile these metrics to their GAAP reporting. It is not expected that companies will disclose all individual cost items.</t>
    </r>
  </si>
  <si>
    <r>
      <rPr>
        <b/>
        <sz val="11"/>
        <color theme="1"/>
        <rFont val="Aptos Narrow"/>
        <family val="2"/>
        <scheme val="minor"/>
      </rPr>
      <t>2.</t>
    </r>
    <r>
      <rPr>
        <sz val="11"/>
        <color theme="1"/>
        <rFont val="Aptos Narrow"/>
        <family val="2"/>
        <scheme val="minor"/>
      </rPr>
      <t xml:space="preserve">  It is recognised that accretion related to asset retirement obligations ("ARO") and amortisation of the ARO assets for reclamation and remediation do not reflect annual cash outflows but these accounting calculations are considered to be more representative of the periodic costs of reclamation and remediation.</t>
    </r>
  </si>
  <si>
    <r>
      <rPr>
        <b/>
        <sz val="11"/>
        <color theme="1"/>
        <rFont val="Aptos Narrow"/>
        <family val="2"/>
        <scheme val="minor"/>
      </rPr>
      <t xml:space="preserve">3.  </t>
    </r>
    <r>
      <rPr>
        <sz val="11"/>
        <color theme="1"/>
        <rFont val="Aptos Narrow"/>
        <family val="2"/>
        <scheme val="minor"/>
      </rPr>
      <t>Non-sustaining costs are those costs incurred at new operations and costs related to 'major projects' at existing operations where these projects will materially increase production. Companies need to publicly disclose those operations and 'major projects' which are considered non- sustaining. All other costs related to existing operations are considered sustaining.</t>
    </r>
  </si>
  <si>
    <r>
      <rPr>
        <b/>
        <sz val="11"/>
        <color theme="1"/>
        <rFont val="Aptos Narrow"/>
        <family val="2"/>
        <scheme val="minor"/>
      </rPr>
      <t>4.</t>
    </r>
    <r>
      <rPr>
        <sz val="11"/>
        <color theme="1"/>
        <rFont val="Aptos Narrow"/>
        <family val="2"/>
        <scheme val="minor"/>
      </rPr>
      <t xml:space="preserve"> Costs should be reported on the same basis as sales (i.e. if sales figures are reported on a consolidated basis, costs should be reported on a consolidated basis; if sales figures are reported on an attributable basis, costs should be reported on an attributable basis).</t>
    </r>
  </si>
  <si>
    <r>
      <rPr>
        <b/>
        <sz val="11"/>
        <color theme="1"/>
        <rFont val="Aptos Narrow"/>
        <family val="2"/>
        <scheme val="minor"/>
      </rPr>
      <t>5.</t>
    </r>
    <r>
      <rPr>
        <sz val="11"/>
        <color theme="1"/>
        <rFont val="Aptos Narrow"/>
        <family val="2"/>
        <scheme val="minor"/>
      </rPr>
      <t xml:space="preserve"> Costs Excluded</t>
    </r>
  </si>
  <si>
    <t>Quarter information from Members</t>
  </si>
  <si>
    <t>Company Name: Chirano Gold Mine Ltd</t>
  </si>
  <si>
    <t>Financial Information</t>
  </si>
  <si>
    <t>Mineral Production value in( USD)- Revenue from exports</t>
  </si>
  <si>
    <t>Mineral Production value in( USD)- Revenue from local sales</t>
  </si>
  <si>
    <t>Mineral Revenue Returned to the Country through Bank of Ghana (Mandatory Surrender) in USD</t>
  </si>
  <si>
    <t>Mineral Revenue Returned to the Country through Commercial Banks (Voluntary Repatriation) in USD</t>
  </si>
  <si>
    <t>Amount for amortizing loans, including interest payments in (USD)</t>
  </si>
  <si>
    <t>Amount spent on Imported Consumables in (USD)</t>
  </si>
  <si>
    <t>Local Purchases of goods (excluding Diesel &amp; Electric Power) in (USD)</t>
  </si>
  <si>
    <t>Local Purchase of Services &amp; Contracts for handling ore, security etc. in (USD)</t>
  </si>
  <si>
    <t>Cash cost (US$/oz) for gold producing companies</t>
  </si>
  <si>
    <t>*All-in Sustaining Costs (US$/oz) for gold producing companies</t>
  </si>
  <si>
    <t>*All-in Costs (US$/oz) for gold producing companies</t>
  </si>
  <si>
    <t>How much (in USD) of your total imports (both consumables and CAPEX) did you fund from the following:</t>
  </si>
  <si>
    <t>(i) Mineral revenue retained off-shore</t>
  </si>
  <si>
    <t>(ii) Mineral revenue returned to the country</t>
  </si>
  <si>
    <t>(iii) Other Sources(please specify)</t>
  </si>
  <si>
    <t>Technical Information</t>
  </si>
  <si>
    <t>Ore Mined (tons) - Open Pit</t>
  </si>
  <si>
    <t>Average grade of gold mined (g/t) - Open Pit</t>
  </si>
  <si>
    <t>Ore mined (tons)-Underground</t>
  </si>
  <si>
    <t>Average grade of gold mined (g/t)- Underground</t>
  </si>
  <si>
    <t>Ore Processed (tons)  - Plant Production</t>
  </si>
  <si>
    <t>Average Mill head grade (g/t)</t>
  </si>
  <si>
    <t>Recovery Rate (%)</t>
  </si>
  <si>
    <t>Mineral Production (in oz for gold and in tons for bauxite and manganese)- Mine Production</t>
  </si>
  <si>
    <t>Mineral Exported( in oz for gold and in tons for bauxite and manganese)</t>
  </si>
  <si>
    <t>Electrical Power consumed (Kw-hr)</t>
  </si>
  <si>
    <t>Electrical Power; Maximum Demand (KVA)</t>
  </si>
  <si>
    <t>Actual amount paid for electric power consumed in (US$)</t>
  </si>
  <si>
    <t>Volume of Diesel Consumed  by mine and contractors in (Litres)</t>
  </si>
  <si>
    <t>Amount paid for diesel consumed(US Dollar component) US$</t>
  </si>
  <si>
    <t>Human Resource Information</t>
  </si>
  <si>
    <t>Number of Ghanaian Employees @ End of Quarter</t>
  </si>
  <si>
    <t>Number of Expatriates @ End of Year</t>
  </si>
  <si>
    <t>Gross Salary of all Staff - US$</t>
  </si>
  <si>
    <t>Provident Fund (Company's contribution) - US$</t>
  </si>
  <si>
    <t>Other Payments-bonuses, overtime etc (US$)</t>
  </si>
  <si>
    <t>Statutory Payments (US$)</t>
  </si>
  <si>
    <t>Mineral Royalty Payments</t>
  </si>
  <si>
    <t xml:space="preserve">Social Security Payments (Company's contribution) </t>
  </si>
  <si>
    <t xml:space="preserve">Employee Income Tax Payments </t>
  </si>
  <si>
    <t xml:space="preserve">Property Rates Payments </t>
  </si>
  <si>
    <t xml:space="preserve">Ground Rent </t>
  </si>
  <si>
    <t>Customs Duty</t>
  </si>
  <si>
    <t>Customs Processing Fee</t>
  </si>
  <si>
    <t xml:space="preserve">Concessionnary Levy (5% on Imports) </t>
  </si>
  <si>
    <t>Export Development Levy</t>
  </si>
  <si>
    <t>ECOWAS Levy</t>
  </si>
  <si>
    <t>Dividends paid to the State</t>
  </si>
  <si>
    <t>Corporate Tax</t>
  </si>
  <si>
    <t>Withholding tax on Dividends, interest and services</t>
  </si>
  <si>
    <t>Dividends Paid to Other Shareholders</t>
  </si>
  <si>
    <t>Retained Earnings</t>
  </si>
  <si>
    <t>Others - please specify</t>
  </si>
  <si>
    <t>CAPEX</t>
  </si>
  <si>
    <t>Socio-economic Contributions to Community ex Company's Budget (US$)</t>
  </si>
  <si>
    <t>Education</t>
  </si>
  <si>
    <t>Health</t>
  </si>
  <si>
    <t>Electricity</t>
  </si>
  <si>
    <t>Roads</t>
  </si>
  <si>
    <t>Water</t>
  </si>
  <si>
    <t>Housing</t>
  </si>
  <si>
    <t>Agro-Industry</t>
  </si>
  <si>
    <t>Agriculture</t>
  </si>
  <si>
    <t>Sanitation</t>
  </si>
  <si>
    <t>Resettlement Action Plan (RAP)</t>
  </si>
  <si>
    <t>Alternative Livelihood Projects (please specify)</t>
  </si>
  <si>
    <t>Total</t>
  </si>
  <si>
    <t>Socio-economic Contributions to Community ex Company's Trust Fund for Host Community (US$)</t>
  </si>
  <si>
    <t>Alternative Livelihood Projects (Xmas Hampers)</t>
  </si>
  <si>
    <t>Others (CGML contribution to Trust Fund)</t>
  </si>
  <si>
    <t>Socio-economic Contributions to General Public (US$)</t>
  </si>
  <si>
    <t>Others (please specify)</t>
  </si>
  <si>
    <t>* refer to WGC template and guidance note sheet</t>
  </si>
  <si>
    <t>CHIRANO GOLD MINES LTD.</t>
  </si>
  <si>
    <t>CHAMBER OF MINES -  RETURNS.</t>
  </si>
  <si>
    <t>DATE</t>
  </si>
  <si>
    <t>LOT #</t>
  </si>
  <si>
    <t>LOC #</t>
  </si>
  <si>
    <t>GOLD  OZ SHIPPED</t>
  </si>
  <si>
    <t>SILVER OZ SHIPPED</t>
  </si>
  <si>
    <t>GOLD  OZ OUTTURN</t>
  </si>
  <si>
    <t>SILVER OZ OUTTURN</t>
  </si>
  <si>
    <t>DIFFERENCE- GOLD OZ</t>
  </si>
  <si>
    <t>DIFFERENCE- SILVER OZ</t>
  </si>
  <si>
    <t>TOTAL</t>
  </si>
  <si>
    <t>Others - Social activities</t>
  </si>
  <si>
    <t>2026 COSTS</t>
  </si>
  <si>
    <t>Q1</t>
  </si>
  <si>
    <t>Q2</t>
  </si>
  <si>
    <t>Q3</t>
  </si>
  <si>
    <t>Q4</t>
  </si>
  <si>
    <t>Ghana Chamber of Mines 2026</t>
  </si>
  <si>
    <t>Quarter 1, 2026</t>
  </si>
  <si>
    <t>Quarter 2, 2026</t>
  </si>
  <si>
    <t>Quarter 3, 2026</t>
  </si>
  <si>
    <t>Quarter 4, 2026</t>
  </si>
  <si>
    <t>Full Year 2026</t>
  </si>
  <si>
    <t>RECONCILIATION OF QUANTITY SHIPPED AND OUT TURNS - YTD MARCH 2026</t>
  </si>
  <si>
    <t>LOC260109-090100090603-001133</t>
  </si>
  <si>
    <t>LOC260119-090100090603-002868</t>
  </si>
  <si>
    <t>LOC260129-090100090603-004911</t>
  </si>
  <si>
    <t>LOC260209-090100090603-006915</t>
  </si>
  <si>
    <t>LOC260218-090100090603-008890</t>
  </si>
  <si>
    <t>LOC260302-090100090603-011049</t>
  </si>
  <si>
    <t>LOC260312-090100090603-013081</t>
  </si>
  <si>
    <t>LOC260323-090100090603-014884</t>
  </si>
  <si>
    <t>LOC260330-090100090603-016380</t>
  </si>
  <si>
    <t>NOTE: N/A - Refinery not yet completed so estimates maintained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</si>
</sst>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409]d/mmm/yy;@"/>
    <numFmt numFmtId="167" formatCode="dd\.mm\.yyyy;@"/>
    <numFmt numFmtId="168" formatCode="0.0000"/>
  </numFmts>
  <fonts count="23">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sz val="12"/>
      <color theme="1"/>
      <name val="Times New Roman"/>
      <family val="1"/>
    </font>
    <font>
      <b/>
      <sz val="9"/>
      <color theme="1"/>
      <name val="Arial"/>
      <family val="2"/>
    </font>
    <font>
      <sz val="9"/>
      <color theme="1"/>
      <name val="Arial"/>
      <family val="2"/>
    </font>
    <font>
      <sz val="6"/>
      <color theme="1"/>
      <name val="Arial"/>
      <family val="2"/>
    </font>
    <font>
      <i/>
      <sz val="9"/>
      <color theme="1"/>
      <name val="Arial"/>
      <family val="2"/>
    </font>
    <font>
      <u/>
      <sz val="9"/>
      <color theme="1"/>
      <name val="Arial"/>
      <family val="2"/>
    </font>
    <font>
      <b/>
      <sz val="12"/>
      <color theme="1"/>
      <name val="Times New Roman"/>
      <family val="1"/>
    </font>
    <font>
      <b/>
      <sz val="16"/>
      <color theme="1"/>
      <name val="Aptos Narrow"/>
      <family val="2"/>
      <scheme val="minor"/>
    </font>
    <font>
      <sz val="12"/>
      <color theme="1"/>
      <name val="Aptos Narrow"/>
      <family val="2"/>
      <scheme val="minor"/>
    </font>
    <font>
      <b/>
      <sz val="12"/>
      <name val="Aptos Narrow"/>
      <family val="2"/>
      <scheme val="minor"/>
    </font>
    <font>
      <sz val="12"/>
      <name val="Aptos Narrow"/>
      <family val="2"/>
      <scheme val="minor"/>
    </font>
    <font>
      <b/>
      <u/>
      <sz val="12"/>
      <name val="Arial"/>
      <family val="2"/>
    </font>
    <font>
      <b/>
      <u/>
      <sz val="14"/>
      <name val="Arial"/>
      <family val="2"/>
    </font>
    <font>
      <u/>
      <sz val="14"/>
      <name val="Arial"/>
      <family val="2"/>
    </font>
    <font>
      <b/>
      <sz val="12"/>
      <name val="Arial"/>
      <family val="2"/>
    </font>
    <font>
      <sz val="12"/>
      <name val="Arial"/>
      <family val="2"/>
    </font>
    <font>
      <sz val="14"/>
      <name val="Arial"/>
      <family val="2"/>
    </font>
    <font>
      <sz val="10"/>
      <name val="Arial"/>
      <family val="2"/>
    </font>
    <font>
      <b/>
      <sz val="14"/>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1" tint="0.499984740745262"/>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164" fontId="21" fillId="0" borderId="0" applyFont="0" applyFill="0" applyBorder="0" applyAlignment="0" applyProtection="0"/>
  </cellStyleXfs>
  <cellXfs count="108">
    <xf numFmtId="0" fontId="0" fillId="0" borderId="0" xfId="0"/>
    <xf numFmtId="0" fontId="2" fillId="0" borderId="0" xfId="0" applyFont="1"/>
    <xf numFmtId="0" fontId="3" fillId="0" borderId="1" xfId="0" applyFont="1" applyBorder="1" applyAlignment="1">
      <alignment horizontal="left"/>
    </xf>
    <xf numFmtId="0" fontId="4" fillId="0" borderId="2" xfId="0" applyFont="1" applyBorder="1" applyAlignment="1">
      <alignment vertical="top" wrapText="1"/>
    </xf>
    <xf numFmtId="0" fontId="5" fillId="0" borderId="2" xfId="0" applyFont="1" applyBorder="1" applyAlignment="1">
      <alignment horizontal="right" vertical="top" wrapText="1"/>
    </xf>
    <xf numFmtId="0" fontId="4" fillId="0" borderId="3" xfId="0" applyFont="1" applyBorder="1" applyAlignment="1">
      <alignment vertical="top" wrapText="1"/>
    </xf>
    <xf numFmtId="0" fontId="4" fillId="0" borderId="4" xfId="0" applyFont="1" applyBorder="1" applyAlignment="1">
      <alignment vertical="top" wrapText="1"/>
    </xf>
    <xf numFmtId="0" fontId="5" fillId="0" borderId="2" xfId="0" applyFont="1" applyBorder="1" applyAlignment="1">
      <alignment horizontal="center" vertical="top" wrapText="1"/>
    </xf>
    <xf numFmtId="0" fontId="6" fillId="0" borderId="3" xfId="0" applyFont="1" applyBorder="1" applyAlignment="1">
      <alignment vertical="top" wrapText="1"/>
    </xf>
    <xf numFmtId="0" fontId="6" fillId="0" borderId="4" xfId="0" applyFont="1" applyBorder="1" applyAlignment="1">
      <alignment vertical="top" wrapText="1"/>
    </xf>
    <xf numFmtId="164" fontId="6" fillId="0" borderId="4" xfId="1" applyFont="1" applyBorder="1" applyAlignment="1">
      <alignment vertical="top" wrapText="1"/>
    </xf>
    <xf numFmtId="164" fontId="5" fillId="0" borderId="5" xfId="0" applyNumberFormat="1" applyFont="1" applyBorder="1" applyAlignment="1">
      <alignment vertical="top" wrapText="1"/>
    </xf>
    <xf numFmtId="164" fontId="2" fillId="0" borderId="0" xfId="1" applyFont="1" applyBorder="1"/>
    <xf numFmtId="164" fontId="2" fillId="0" borderId="0" xfId="0" applyNumberFormat="1" applyFont="1"/>
    <xf numFmtId="0" fontId="5" fillId="0" borderId="3" xfId="0" applyFont="1" applyBorder="1" applyAlignment="1">
      <alignment vertical="top" wrapText="1"/>
    </xf>
    <xf numFmtId="164" fontId="0" fillId="0" borderId="0" xfId="1" applyFont="1" applyBorder="1"/>
    <xf numFmtId="0" fontId="6" fillId="0" borderId="6" xfId="0" applyFont="1" applyBorder="1" applyAlignment="1">
      <alignment vertical="top" wrapText="1"/>
    </xf>
    <xf numFmtId="164" fontId="6" fillId="0" borderId="5" xfId="1" applyFont="1" applyBorder="1" applyAlignment="1">
      <alignment vertical="top" wrapText="1"/>
    </xf>
    <xf numFmtId="164" fontId="6" fillId="0" borderId="3" xfId="1" applyFont="1" applyBorder="1" applyAlignment="1">
      <alignment vertical="top" wrapText="1"/>
    </xf>
    <xf numFmtId="164" fontId="6" fillId="0" borderId="4" xfId="0" applyNumberFormat="1" applyFont="1" applyBorder="1" applyAlignment="1">
      <alignment vertical="top" wrapText="1"/>
    </xf>
    <xf numFmtId="164" fontId="5" fillId="0" borderId="7" xfId="0" applyNumberFormat="1" applyFont="1" applyBorder="1" applyAlignment="1">
      <alignment vertical="top" wrapText="1"/>
    </xf>
    <xf numFmtId="0" fontId="10" fillId="0" borderId="4" xfId="0" applyFont="1" applyBorder="1" applyAlignment="1">
      <alignment vertical="top" wrapText="1"/>
    </xf>
    <xf numFmtId="164" fontId="5" fillId="0" borderId="4" xfId="0" quotePrefix="1" applyNumberFormat="1" applyFont="1" applyBorder="1" applyAlignment="1">
      <alignment vertical="top" wrapText="1"/>
    </xf>
    <xf numFmtId="0" fontId="11" fillId="0" borderId="8" xfId="0" applyFont="1" applyBorder="1"/>
    <xf numFmtId="164" fontId="3" fillId="0" borderId="8" xfId="1" applyFont="1" applyBorder="1" applyAlignment="1">
      <alignment horizontal="center" vertical="center" wrapText="1"/>
    </xf>
    <xf numFmtId="0" fontId="12" fillId="0" borderId="0" xfId="0" applyFont="1"/>
    <xf numFmtId="165" fontId="12" fillId="0" borderId="0" xfId="1" applyNumberFormat="1" applyFont="1"/>
    <xf numFmtId="0" fontId="12" fillId="0" borderId="9" xfId="0" applyFont="1" applyBorder="1"/>
    <xf numFmtId="164" fontId="3" fillId="0" borderId="9" xfId="1" applyFont="1" applyBorder="1" applyAlignment="1">
      <alignment vertical="center" wrapText="1"/>
    </xf>
    <xf numFmtId="0" fontId="3" fillId="0" borderId="9" xfId="0" applyFont="1" applyBorder="1"/>
    <xf numFmtId="164" fontId="12" fillId="0" borderId="9" xfId="1" applyFont="1" applyBorder="1"/>
    <xf numFmtId="165" fontId="12" fillId="0" borderId="9" xfId="1" applyNumberFormat="1" applyFont="1" applyBorder="1"/>
    <xf numFmtId="0" fontId="3" fillId="2" borderId="9" xfId="0" applyFont="1" applyFill="1" applyBorder="1"/>
    <xf numFmtId="164" fontId="12" fillId="2" borderId="9" xfId="1" applyFont="1" applyFill="1" applyBorder="1"/>
    <xf numFmtId="165" fontId="12" fillId="0" borderId="9" xfId="1" applyNumberFormat="1" applyFont="1" applyFill="1" applyBorder="1"/>
    <xf numFmtId="164" fontId="12" fillId="0" borderId="9" xfId="1" applyFont="1" applyFill="1" applyBorder="1"/>
    <xf numFmtId="0" fontId="3" fillId="3" borderId="9" xfId="0" applyFont="1" applyFill="1" applyBorder="1"/>
    <xf numFmtId="164" fontId="3" fillId="3" borderId="9" xfId="1" applyFont="1" applyFill="1" applyBorder="1"/>
    <xf numFmtId="9" fontId="12" fillId="0" borderId="9" xfId="2" applyFont="1" applyFill="1" applyBorder="1"/>
    <xf numFmtId="164" fontId="12" fillId="0" borderId="0" xfId="1" applyFont="1"/>
    <xf numFmtId="164" fontId="12" fillId="3" borderId="9" xfId="1" applyFont="1" applyFill="1" applyBorder="1"/>
    <xf numFmtId="0" fontId="13" fillId="4" borderId="10" xfId="0" applyFont="1" applyFill="1" applyBorder="1"/>
    <xf numFmtId="0" fontId="0" fillId="4" borderId="0" xfId="0" applyFill="1"/>
    <xf numFmtId="0" fontId="14" fillId="0" borderId="10" xfId="0" applyFont="1" applyBorder="1"/>
    <xf numFmtId="0" fontId="13" fillId="0" borderId="10" xfId="0" applyFont="1" applyBorder="1"/>
    <xf numFmtId="0" fontId="12" fillId="0" borderId="11" xfId="0" applyFont="1" applyBorder="1"/>
    <xf numFmtId="165" fontId="12" fillId="0" borderId="11" xfId="1" applyNumberFormat="1" applyFont="1" applyBorder="1"/>
    <xf numFmtId="0" fontId="0" fillId="0" borderId="9" xfId="0" applyBorder="1"/>
    <xf numFmtId="0" fontId="3" fillId="0" borderId="12" xfId="0" applyFont="1" applyBorder="1"/>
    <xf numFmtId="164" fontId="3" fillId="0" borderId="12" xfId="1" applyFont="1" applyBorder="1"/>
    <xf numFmtId="0" fontId="3" fillId="0" borderId="0" xfId="0" applyFont="1"/>
    <xf numFmtId="0" fontId="15" fillId="0" borderId="0" xfId="0" applyFont="1"/>
    <xf numFmtId="0" fontId="16" fillId="0" borderId="0" xfId="0" applyFont="1"/>
    <xf numFmtId="0" fontId="17" fillId="0" borderId="0" xfId="0" applyFont="1"/>
    <xf numFmtId="0" fontId="18" fillId="0" borderId="13" xfId="0" applyFont="1" applyBorder="1"/>
    <xf numFmtId="0" fontId="18" fillId="0" borderId="13" xfId="0" applyFont="1" applyBorder="1" applyAlignment="1">
      <alignment horizontal="right" wrapText="1"/>
    </xf>
    <xf numFmtId="0" fontId="18" fillId="0" borderId="13" xfId="0" applyFont="1" applyBorder="1" applyAlignment="1">
      <alignment horizontal="center" wrapText="1"/>
    </xf>
    <xf numFmtId="166" fontId="19" fillId="0" borderId="0" xfId="0" applyNumberFormat="1" applyFont="1" applyAlignment="1">
      <alignment horizontal="center"/>
    </xf>
    <xf numFmtId="0" fontId="20" fillId="0" borderId="0" xfId="0" applyFont="1" applyAlignment="1">
      <alignment horizontal="center"/>
    </xf>
    <xf numFmtId="0" fontId="20" fillId="0" borderId="0" xfId="0" applyFont="1"/>
    <xf numFmtId="167" fontId="20" fillId="0" borderId="0" xfId="0" applyNumberFormat="1" applyFont="1"/>
    <xf numFmtId="0" fontId="22" fillId="0" borderId="0" xfId="0" applyFont="1"/>
    <xf numFmtId="165" fontId="20" fillId="0" borderId="0" xfId="0" applyNumberFormat="1" applyFont="1"/>
    <xf numFmtId="3" fontId="20" fillId="0" borderId="0" xfId="0" applyNumberFormat="1" applyFont="1"/>
    <xf numFmtId="0" fontId="2" fillId="0" borderId="0" xfId="0" applyFont="1" applyAlignment="1">
      <alignment horizontal="right"/>
    </xf>
    <xf numFmtId="0" fontId="2" fillId="0" borderId="0" xfId="0" applyFont="1" applyAlignment="1">
      <alignment horizontal="center"/>
    </xf>
    <xf numFmtId="164" fontId="0" fillId="0" borderId="0" xfId="0" applyNumberFormat="1"/>
    <xf numFmtId="165" fontId="0" fillId="0" borderId="0" xfId="1" applyNumberFormat="1" applyFont="1" applyBorder="1"/>
    <xf numFmtId="165" fontId="3" fillId="0" borderId="9" xfId="1" applyNumberFormat="1" applyFont="1" applyBorder="1" applyAlignment="1">
      <alignment horizontal="center" vertical="center" wrapText="1"/>
    </xf>
    <xf numFmtId="0" fontId="3" fillId="0" borderId="9" xfId="0" applyFont="1" applyBorder="1" applyAlignment="1">
      <alignment horizontal="center" vertical="center" wrapText="1"/>
    </xf>
    <xf numFmtId="165" fontId="3" fillId="0" borderId="9" xfId="1" applyNumberFormat="1" applyFont="1" applyBorder="1" applyAlignment="1">
      <alignment vertical="center" wrapText="1"/>
    </xf>
    <xf numFmtId="0" fontId="3" fillId="0" borderId="9" xfId="0" applyFont="1" applyBorder="1" applyAlignment="1">
      <alignment vertical="center" wrapText="1"/>
    </xf>
    <xf numFmtId="165" fontId="12" fillId="2" borderId="9" xfId="1" applyNumberFormat="1" applyFont="1" applyFill="1" applyBorder="1"/>
    <xf numFmtId="0" fontId="12" fillId="2" borderId="9" xfId="0" applyFont="1" applyFill="1" applyBorder="1"/>
    <xf numFmtId="164" fontId="12" fillId="0" borderId="0" xfId="0" applyNumberFormat="1" applyFont="1"/>
    <xf numFmtId="165" fontId="3" fillId="0" borderId="9" xfId="1" applyNumberFormat="1" applyFont="1" applyBorder="1"/>
    <xf numFmtId="164" fontId="3" fillId="0" borderId="9" xfId="1" applyFont="1" applyBorder="1"/>
    <xf numFmtId="165" fontId="3" fillId="3" borderId="9" xfId="1" applyNumberFormat="1" applyFont="1" applyFill="1" applyBorder="1"/>
    <xf numFmtId="164" fontId="3" fillId="0" borderId="9" xfId="1" applyFont="1" applyFill="1" applyBorder="1"/>
    <xf numFmtId="9" fontId="12" fillId="0" borderId="9" xfId="2" applyFont="1" applyBorder="1"/>
    <xf numFmtId="10" fontId="12" fillId="0" borderId="9" xfId="2" applyNumberFormat="1" applyFont="1" applyBorder="1"/>
    <xf numFmtId="10" fontId="3" fillId="0" borderId="9" xfId="2" applyNumberFormat="1" applyFont="1" applyBorder="1"/>
    <xf numFmtId="165" fontId="12" fillId="0" borderId="0" xfId="0" applyNumberFormat="1" applyFont="1"/>
    <xf numFmtId="165" fontId="12" fillId="3" borderId="9" xfId="1" applyNumberFormat="1" applyFont="1" applyFill="1" applyBorder="1"/>
    <xf numFmtId="0" fontId="2" fillId="4" borderId="0" xfId="0" applyFont="1" applyFill="1"/>
    <xf numFmtId="4" fontId="12" fillId="0" borderId="0" xfId="0" applyNumberFormat="1" applyFont="1"/>
    <xf numFmtId="165" fontId="3" fillId="0" borderId="9" xfId="1" applyNumberFormat="1" applyFont="1" applyFill="1" applyBorder="1"/>
    <xf numFmtId="165" fontId="3" fillId="0" borderId="11" xfId="1" applyNumberFormat="1" applyFont="1" applyBorder="1"/>
    <xf numFmtId="165" fontId="12" fillId="0" borderId="12" xfId="1" applyNumberFormat="1" applyFont="1" applyBorder="1"/>
    <xf numFmtId="164" fontId="12" fillId="0" borderId="12" xfId="1" applyFont="1" applyBorder="1"/>
    <xf numFmtId="164" fontId="3" fillId="0" borderId="0" xfId="1" applyFont="1"/>
    <xf numFmtId="165" fontId="20" fillId="0" borderId="0" xfId="3" applyNumberFormat="1" applyFont="1" applyFill="1"/>
    <xf numFmtId="165" fontId="20" fillId="0" borderId="0" xfId="3" applyNumberFormat="1" applyFont="1" applyFill="1" applyAlignment="1">
      <alignment horizontal="right"/>
    </xf>
    <xf numFmtId="165" fontId="20" fillId="0" borderId="0" xfId="3" applyNumberFormat="1" applyFont="1"/>
    <xf numFmtId="165" fontId="20" fillId="0" borderId="0" xfId="3" applyNumberFormat="1" applyFont="1" applyAlignment="1">
      <alignment horizontal="right"/>
    </xf>
    <xf numFmtId="165" fontId="0" fillId="0" borderId="0" xfId="0" applyNumberFormat="1"/>
    <xf numFmtId="165" fontId="22" fillId="0" borderId="0" xfId="3" applyNumberFormat="1" applyFont="1"/>
    <xf numFmtId="168" fontId="12" fillId="0" borderId="0" xfId="0" applyNumberFormat="1" applyFont="1" applyFill="1"/>
    <xf numFmtId="164" fontId="6" fillId="0" borderId="5" xfId="1" applyFont="1" applyBorder="1" applyAlignment="1">
      <alignment vertical="top" wrapText="1"/>
    </xf>
    <xf numFmtId="164" fontId="6" fillId="0" borderId="3" xfId="1" applyFont="1" applyBorder="1" applyAlignment="1">
      <alignment vertical="top" wrapText="1"/>
    </xf>
    <xf numFmtId="0" fontId="6" fillId="0" borderId="5" xfId="0" applyFont="1" applyBorder="1" applyAlignment="1">
      <alignment vertical="top" wrapText="1"/>
    </xf>
    <xf numFmtId="0" fontId="6" fillId="0" borderId="3" xfId="0" applyFont="1" applyBorder="1" applyAlignment="1">
      <alignment vertical="top" wrapText="1"/>
    </xf>
    <xf numFmtId="0" fontId="5" fillId="0" borderId="5" xfId="0" applyFont="1" applyBorder="1" applyAlignment="1">
      <alignment vertical="top" wrapText="1"/>
    </xf>
    <xf numFmtId="0" fontId="5" fillId="0" borderId="3" xfId="0" applyFont="1" applyBorder="1" applyAlignment="1">
      <alignment vertical="top" wrapText="1"/>
    </xf>
    <xf numFmtId="0" fontId="4" fillId="0" borderId="5" xfId="0" applyFont="1" applyBorder="1" applyAlignment="1">
      <alignment vertical="top" wrapText="1"/>
    </xf>
    <xf numFmtId="0" fontId="4" fillId="0" borderId="3" xfId="0" applyFont="1" applyBorder="1" applyAlignment="1">
      <alignment vertical="top" wrapText="1"/>
    </xf>
    <xf numFmtId="0" fontId="8" fillId="0" borderId="5" xfId="0" applyFont="1" applyBorder="1" applyAlignment="1">
      <alignment vertical="top" wrapText="1"/>
    </xf>
    <xf numFmtId="0" fontId="8" fillId="0" borderId="3" xfId="0" applyFont="1" applyBorder="1" applyAlignment="1">
      <alignment vertical="top" wrapText="1"/>
    </xf>
  </cellXfs>
  <cellStyles count="4">
    <cellStyle name="Comma" xfId="1" builtinId="3"/>
    <cellStyle name="Comma 10 2 5" xfId="3" xr:uid="{C89F4960-BD26-4D73-BBAC-068E1457B6BF}"/>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78B82-8B4A-41BD-B2B8-433CAD35CED0}">
  <sheetPr>
    <pageSetUpPr fitToPage="1"/>
  </sheetPr>
  <dimension ref="A1:I56"/>
  <sheetViews>
    <sheetView topLeftCell="A31" zoomScaleNormal="100" workbookViewId="0">
      <selection activeCell="C41" sqref="C41"/>
    </sheetView>
  </sheetViews>
  <sheetFormatPr defaultColWidth="9.0625" defaultRowHeight="13.5"/>
  <cols>
    <col min="1" max="1" width="37.0625" customWidth="1"/>
    <col min="2" max="2" width="18.5625" customWidth="1"/>
    <col min="3" max="3" width="13.625" bestFit="1" customWidth="1"/>
    <col min="4" max="4" width="13.375" hidden="1" customWidth="1"/>
    <col min="5" max="5" width="14" hidden="1" customWidth="1"/>
    <col min="6" max="6" width="13.375" hidden="1" customWidth="1"/>
    <col min="7" max="7" width="14.375" style="15" bestFit="1" customWidth="1"/>
    <col min="8" max="8" width="15.375" bestFit="1" customWidth="1"/>
    <col min="9" max="9" width="17" bestFit="1" customWidth="1"/>
  </cols>
  <sheetData>
    <row r="1" spans="1:9" ht="15" thickBot="1">
      <c r="A1" s="1" t="s">
        <v>135</v>
      </c>
      <c r="C1" s="65" t="s">
        <v>136</v>
      </c>
      <c r="D1" s="65" t="s">
        <v>137</v>
      </c>
      <c r="E1" s="65" t="s">
        <v>138</v>
      </c>
      <c r="F1" s="65" t="s">
        <v>139</v>
      </c>
      <c r="G1" s="65">
        <v>2026</v>
      </c>
    </row>
    <row r="2" spans="1:9" ht="23.55" thickBot="1">
      <c r="A2" s="2"/>
      <c r="B2" s="3"/>
      <c r="C2" s="4" t="s">
        <v>0</v>
      </c>
      <c r="D2" s="4" t="s">
        <v>0</v>
      </c>
      <c r="E2" s="4" t="s">
        <v>0</v>
      </c>
      <c r="F2" s="4" t="s">
        <v>0</v>
      </c>
      <c r="G2" s="4" t="s">
        <v>0</v>
      </c>
    </row>
    <row r="3" spans="1:9" ht="16.05" thickBot="1">
      <c r="A3" s="5"/>
      <c r="B3" s="6"/>
      <c r="C3" s="7"/>
      <c r="D3" s="7"/>
      <c r="E3" s="7"/>
      <c r="F3" s="7"/>
      <c r="G3" s="7"/>
    </row>
    <row r="4" spans="1:9" ht="15" thickBot="1">
      <c r="A4" s="8" t="s">
        <v>1</v>
      </c>
      <c r="B4" s="9" t="s">
        <v>2</v>
      </c>
      <c r="C4" s="10">
        <v>64812328.359999977</v>
      </c>
      <c r="D4" s="10">
        <v>0</v>
      </c>
      <c r="E4" s="10">
        <v>0</v>
      </c>
      <c r="F4" s="10">
        <v>0</v>
      </c>
      <c r="G4" s="10">
        <f>SUM(C4)</f>
        <v>64812328.359999977</v>
      </c>
    </row>
    <row r="5" spans="1:9" ht="15" thickBot="1">
      <c r="A5" s="8" t="s">
        <v>3</v>
      </c>
      <c r="B5" s="9" t="s">
        <v>2</v>
      </c>
      <c r="C5" s="10">
        <v>7476160.7300000004</v>
      </c>
      <c r="D5" s="10">
        <v>0</v>
      </c>
      <c r="E5" s="10">
        <v>0</v>
      </c>
      <c r="F5" s="10">
        <v>0</v>
      </c>
      <c r="G5" s="10">
        <f t="shared" ref="G5:G37" si="0">SUM(C5)</f>
        <v>7476160.7300000004</v>
      </c>
    </row>
    <row r="6" spans="1:9" ht="15" thickBot="1">
      <c r="A6" s="8" t="s">
        <v>4</v>
      </c>
      <c r="B6" s="9" t="s">
        <v>2</v>
      </c>
      <c r="C6" s="10">
        <v>11014579</v>
      </c>
      <c r="D6" s="10">
        <v>0</v>
      </c>
      <c r="E6" s="10">
        <v>0</v>
      </c>
      <c r="F6" s="10">
        <v>0</v>
      </c>
      <c r="G6" s="10">
        <f t="shared" si="0"/>
        <v>11014579</v>
      </c>
    </row>
    <row r="7" spans="1:9" ht="23.55" thickBot="1">
      <c r="A7" s="8" t="s">
        <v>5</v>
      </c>
      <c r="B7" s="9" t="s">
        <v>2</v>
      </c>
      <c r="C7" s="10">
        <v>0</v>
      </c>
      <c r="D7" s="10">
        <v>0</v>
      </c>
      <c r="E7" s="10">
        <v>0</v>
      </c>
      <c r="F7" s="10">
        <v>0</v>
      </c>
      <c r="G7" s="10">
        <f t="shared" si="0"/>
        <v>0</v>
      </c>
    </row>
    <row r="8" spans="1:9" ht="15" thickBot="1">
      <c r="A8" s="8" t="s">
        <v>6</v>
      </c>
      <c r="B8" s="9" t="s">
        <v>2</v>
      </c>
      <c r="C8" s="10">
        <v>292228.57999999996</v>
      </c>
      <c r="D8" s="10">
        <v>0</v>
      </c>
      <c r="E8" s="10">
        <v>0</v>
      </c>
      <c r="F8" s="10">
        <v>0</v>
      </c>
      <c r="G8" s="10">
        <f t="shared" si="0"/>
        <v>292228.57999999996</v>
      </c>
    </row>
    <row r="9" spans="1:9" ht="15" thickBot="1">
      <c r="A9" s="8" t="s">
        <v>7</v>
      </c>
      <c r="B9" s="9" t="s">
        <v>2</v>
      </c>
      <c r="C9" s="10">
        <v>0</v>
      </c>
      <c r="D9" s="10">
        <v>0</v>
      </c>
      <c r="E9" s="10">
        <v>0</v>
      </c>
      <c r="F9" s="10">
        <v>0</v>
      </c>
      <c r="G9" s="10">
        <f t="shared" si="0"/>
        <v>0</v>
      </c>
    </row>
    <row r="10" spans="1:9" ht="15" thickBot="1">
      <c r="A10" s="8" t="s">
        <v>37</v>
      </c>
      <c r="B10" s="9" t="s">
        <v>2</v>
      </c>
      <c r="C10" s="10">
        <v>156119.66</v>
      </c>
      <c r="D10" s="10">
        <v>0</v>
      </c>
      <c r="E10" s="10">
        <v>0</v>
      </c>
      <c r="F10" s="10">
        <v>0</v>
      </c>
      <c r="G10" s="10">
        <f t="shared" si="0"/>
        <v>156119.66</v>
      </c>
    </row>
    <row r="11" spans="1:9" ht="15" thickBot="1">
      <c r="A11" s="8" t="s">
        <v>8</v>
      </c>
      <c r="B11" s="9" t="s">
        <v>2</v>
      </c>
      <c r="C11" s="10">
        <v>0</v>
      </c>
      <c r="D11" s="10">
        <v>0</v>
      </c>
      <c r="E11" s="10">
        <v>0</v>
      </c>
      <c r="F11" s="10">
        <v>0</v>
      </c>
      <c r="G11" s="10">
        <f t="shared" si="0"/>
        <v>0</v>
      </c>
    </row>
    <row r="12" spans="1:9" ht="15" thickBot="1">
      <c r="A12" s="8" t="s">
        <v>9</v>
      </c>
      <c r="B12" s="9" t="s">
        <v>2</v>
      </c>
      <c r="C12" s="10">
        <v>357808.79999999888</v>
      </c>
      <c r="D12" s="10">
        <v>0</v>
      </c>
      <c r="E12" s="10">
        <v>0</v>
      </c>
      <c r="F12" s="10">
        <v>0</v>
      </c>
      <c r="G12" s="10">
        <f t="shared" si="0"/>
        <v>357808.79999999888</v>
      </c>
    </row>
    <row r="13" spans="1:9" ht="15" thickBot="1">
      <c r="A13" s="8" t="s">
        <v>10</v>
      </c>
      <c r="B13" s="9" t="s">
        <v>2</v>
      </c>
      <c r="C13" s="10">
        <v>0</v>
      </c>
      <c r="D13" s="10">
        <v>0</v>
      </c>
      <c r="E13" s="10"/>
      <c r="F13" s="10"/>
      <c r="G13" s="10">
        <f t="shared" si="0"/>
        <v>0</v>
      </c>
    </row>
    <row r="14" spans="1:9" ht="15" thickBot="1">
      <c r="A14" s="8" t="s">
        <v>11</v>
      </c>
      <c r="B14" s="9" t="s">
        <v>2</v>
      </c>
      <c r="C14" s="10">
        <v>0</v>
      </c>
      <c r="D14" s="10">
        <v>0</v>
      </c>
      <c r="E14" s="10"/>
      <c r="F14" s="10"/>
      <c r="G14" s="10">
        <f t="shared" si="0"/>
        <v>0</v>
      </c>
    </row>
    <row r="15" spans="1:9" s="1" customFormat="1" ht="15" customHeight="1" thickBot="1">
      <c r="A15" s="106" t="s">
        <v>12</v>
      </c>
      <c r="B15" s="104"/>
      <c r="C15" s="11">
        <f>C4+C5+C6+C8+C10+C12</f>
        <v>84109225.129999965</v>
      </c>
      <c r="D15" s="11">
        <f>D4+D5+D6+D8+D10+D12</f>
        <v>0</v>
      </c>
      <c r="E15" s="11">
        <f>E4+E5+E6+E8+E10+E12</f>
        <v>0</v>
      </c>
      <c r="F15" s="11">
        <f>F4+F5+F6+F8+F10+F12</f>
        <v>0</v>
      </c>
      <c r="G15" s="10">
        <f t="shared" si="0"/>
        <v>84109225.129999965</v>
      </c>
      <c r="H15" s="12"/>
      <c r="I15" s="13"/>
    </row>
    <row r="16" spans="1:9" ht="0.7" customHeight="1" thickBot="1">
      <c r="A16" s="107"/>
      <c r="B16" s="105"/>
      <c r="C16" s="14"/>
      <c r="D16" s="14"/>
      <c r="E16" s="14"/>
      <c r="F16" s="14"/>
      <c r="G16" s="10">
        <f t="shared" si="0"/>
        <v>0</v>
      </c>
      <c r="H16" s="15"/>
    </row>
    <row r="17" spans="1:9" ht="16.05" thickBot="1">
      <c r="A17" s="5"/>
      <c r="B17" s="6"/>
      <c r="C17" s="6"/>
      <c r="D17" s="6"/>
      <c r="E17" s="6"/>
      <c r="F17" s="6"/>
      <c r="G17" s="10">
        <f t="shared" si="0"/>
        <v>0</v>
      </c>
      <c r="H17" s="15"/>
    </row>
    <row r="18" spans="1:9" ht="13.9" thickBot="1">
      <c r="A18" s="16" t="s">
        <v>13</v>
      </c>
      <c r="B18" s="100" t="s">
        <v>2</v>
      </c>
      <c r="C18" s="17">
        <v>2071704.27</v>
      </c>
      <c r="D18" s="17">
        <v>0</v>
      </c>
      <c r="E18" s="98">
        <v>0</v>
      </c>
      <c r="F18" s="98">
        <v>0</v>
      </c>
      <c r="G18" s="10">
        <f t="shared" si="0"/>
        <v>2071704.27</v>
      </c>
      <c r="H18" s="15"/>
    </row>
    <row r="19" spans="1:9" ht="13.9" thickBot="1">
      <c r="A19" s="8" t="s">
        <v>14</v>
      </c>
      <c r="B19" s="101"/>
      <c r="C19" s="18"/>
      <c r="D19" s="18"/>
      <c r="E19" s="99"/>
      <c r="F19" s="99"/>
      <c r="G19" s="10">
        <f t="shared" si="0"/>
        <v>0</v>
      </c>
      <c r="H19" s="15"/>
    </row>
    <row r="20" spans="1:9" ht="13.9" thickBot="1">
      <c r="A20" s="16" t="s">
        <v>15</v>
      </c>
      <c r="B20" s="100" t="s">
        <v>2</v>
      </c>
      <c r="C20" s="17">
        <v>0</v>
      </c>
      <c r="D20" s="17">
        <v>0</v>
      </c>
      <c r="E20" s="17">
        <v>0</v>
      </c>
      <c r="F20" s="17">
        <v>0</v>
      </c>
      <c r="G20" s="10">
        <f t="shared" si="0"/>
        <v>0</v>
      </c>
      <c r="H20" s="15"/>
    </row>
    <row r="21" spans="1:9" ht="13.9" thickBot="1">
      <c r="A21" s="8" t="s">
        <v>16</v>
      </c>
      <c r="B21" s="101"/>
      <c r="C21" s="18"/>
      <c r="D21" s="18"/>
      <c r="E21" s="18"/>
      <c r="F21" s="18"/>
      <c r="G21" s="10">
        <f t="shared" si="0"/>
        <v>0</v>
      </c>
      <c r="H21" s="15"/>
    </row>
    <row r="22" spans="1:9" ht="15" thickBot="1">
      <c r="A22" s="8" t="s">
        <v>17</v>
      </c>
      <c r="B22" s="9" t="s">
        <v>2</v>
      </c>
      <c r="C22" s="10">
        <v>2891649.75</v>
      </c>
      <c r="D22" s="10">
        <v>0</v>
      </c>
      <c r="E22" s="10">
        <v>0</v>
      </c>
      <c r="F22" s="10">
        <v>0</v>
      </c>
      <c r="G22" s="10">
        <f t="shared" si="0"/>
        <v>2891649.75</v>
      </c>
      <c r="H22" s="15"/>
    </row>
    <row r="23" spans="1:9" ht="15" thickBot="1">
      <c r="A23" s="8" t="s">
        <v>18</v>
      </c>
      <c r="B23" s="9" t="s">
        <v>19</v>
      </c>
      <c r="C23" s="10"/>
      <c r="D23" s="10"/>
      <c r="E23" s="10"/>
      <c r="F23" s="10"/>
      <c r="G23" s="10">
        <f t="shared" si="0"/>
        <v>0</v>
      </c>
      <c r="H23" s="15"/>
    </row>
    <row r="24" spans="1:9" ht="23.55" thickBot="1">
      <c r="A24" s="8" t="s">
        <v>20</v>
      </c>
      <c r="B24" s="9" t="s">
        <v>21</v>
      </c>
      <c r="C24" s="10">
        <v>0</v>
      </c>
      <c r="D24" s="10"/>
      <c r="E24" s="10">
        <v>0</v>
      </c>
      <c r="F24" s="10">
        <v>0</v>
      </c>
      <c r="G24" s="10">
        <f t="shared" si="0"/>
        <v>0</v>
      </c>
      <c r="H24" s="15"/>
    </row>
    <row r="25" spans="1:9" ht="15" thickBot="1">
      <c r="A25" s="8" t="s">
        <v>22</v>
      </c>
      <c r="B25" s="9" t="s">
        <v>21</v>
      </c>
      <c r="C25" s="19">
        <v>22463083.509999998</v>
      </c>
      <c r="D25" s="19">
        <v>0</v>
      </c>
      <c r="E25" s="19">
        <v>0</v>
      </c>
      <c r="F25" s="19">
        <v>0</v>
      </c>
      <c r="G25" s="10">
        <f t="shared" si="0"/>
        <v>22463083.509999998</v>
      </c>
      <c r="H25" s="15"/>
    </row>
    <row r="26" spans="1:9" s="1" customFormat="1" ht="14.25" thickBot="1">
      <c r="A26" s="102" t="s">
        <v>23</v>
      </c>
      <c r="B26" s="104"/>
      <c r="C26" s="20">
        <f>SUM(C15:C25)</f>
        <v>111535662.65999997</v>
      </c>
      <c r="D26" s="20">
        <f>SUM(D15:D25)</f>
        <v>0</v>
      </c>
      <c r="E26" s="20">
        <f>SUM(E15:E25)</f>
        <v>0</v>
      </c>
      <c r="F26" s="20">
        <f>SUM(F15:F25)</f>
        <v>0</v>
      </c>
      <c r="G26" s="10">
        <f t="shared" si="0"/>
        <v>111535662.65999997</v>
      </c>
      <c r="H26" s="12"/>
      <c r="I26" s="13"/>
    </row>
    <row r="27" spans="1:9" ht="4.5" customHeight="1" thickBot="1">
      <c r="A27" s="103"/>
      <c r="B27" s="105"/>
      <c r="C27" s="9"/>
      <c r="D27" s="9"/>
      <c r="E27" s="9"/>
      <c r="F27" s="9"/>
      <c r="G27" s="10">
        <f t="shared" si="0"/>
        <v>0</v>
      </c>
      <c r="H27" s="15"/>
    </row>
    <row r="28" spans="1:9" ht="16.05" thickBot="1">
      <c r="A28" s="5"/>
      <c r="B28" s="6"/>
      <c r="C28" s="6"/>
      <c r="D28" s="6"/>
      <c r="E28" s="6"/>
      <c r="F28" s="6"/>
      <c r="G28" s="10">
        <f t="shared" si="0"/>
        <v>0</v>
      </c>
      <c r="H28" s="15"/>
    </row>
    <row r="29" spans="1:9" ht="23.55" thickBot="1">
      <c r="A29" s="8" t="s">
        <v>38</v>
      </c>
      <c r="B29" s="9" t="s">
        <v>2</v>
      </c>
      <c r="C29" s="10">
        <v>0</v>
      </c>
      <c r="D29" s="10"/>
      <c r="E29" s="10"/>
      <c r="F29" s="10"/>
      <c r="G29" s="10">
        <f t="shared" si="0"/>
        <v>0</v>
      </c>
      <c r="H29" s="15"/>
    </row>
    <row r="30" spans="1:9" ht="15" thickBot="1">
      <c r="A30" s="8" t="s">
        <v>39</v>
      </c>
      <c r="B30" s="9" t="s">
        <v>2</v>
      </c>
      <c r="C30" s="10">
        <v>0</v>
      </c>
      <c r="D30" s="10"/>
      <c r="E30" s="10"/>
      <c r="F30" s="10"/>
      <c r="G30" s="10">
        <f t="shared" si="0"/>
        <v>0</v>
      </c>
      <c r="H30" s="15"/>
    </row>
    <row r="31" spans="1:9" ht="23.55" thickBot="1">
      <c r="A31" s="8" t="s">
        <v>40</v>
      </c>
      <c r="B31" s="9" t="s">
        <v>2</v>
      </c>
      <c r="C31" s="10">
        <v>0</v>
      </c>
      <c r="D31" s="10"/>
      <c r="E31" s="10"/>
      <c r="F31" s="10"/>
      <c r="G31" s="10">
        <f t="shared" si="0"/>
        <v>0</v>
      </c>
      <c r="H31" s="15"/>
    </row>
    <row r="32" spans="1:9" ht="15" thickBot="1">
      <c r="A32" s="8" t="s">
        <v>24</v>
      </c>
      <c r="B32" s="9" t="s">
        <v>2</v>
      </c>
      <c r="C32" s="10">
        <v>325142.52</v>
      </c>
      <c r="D32" s="10">
        <v>0</v>
      </c>
      <c r="E32" s="10">
        <v>0</v>
      </c>
      <c r="F32" s="10">
        <v>0</v>
      </c>
      <c r="G32" s="10">
        <f t="shared" si="0"/>
        <v>325142.52</v>
      </c>
      <c r="H32" s="15"/>
    </row>
    <row r="33" spans="1:9" ht="15" thickBot="1">
      <c r="A33" s="8" t="s">
        <v>25</v>
      </c>
      <c r="B33" s="9" t="s">
        <v>21</v>
      </c>
      <c r="C33" s="10"/>
      <c r="D33" s="10"/>
      <c r="E33" s="10"/>
      <c r="F33" s="10"/>
      <c r="G33" s="10">
        <f t="shared" si="0"/>
        <v>0</v>
      </c>
      <c r="H33" s="15"/>
    </row>
    <row r="34" spans="1:9" ht="23.55" thickBot="1">
      <c r="A34" s="8" t="s">
        <v>26</v>
      </c>
      <c r="B34" s="9" t="s">
        <v>21</v>
      </c>
      <c r="C34" s="10">
        <v>0</v>
      </c>
      <c r="D34" s="10">
        <v>0</v>
      </c>
      <c r="E34" s="10">
        <v>0</v>
      </c>
      <c r="F34" s="10">
        <v>0</v>
      </c>
      <c r="G34" s="10">
        <f t="shared" si="0"/>
        <v>0</v>
      </c>
      <c r="H34" s="15"/>
    </row>
    <row r="35" spans="1:9" ht="15" thickBot="1">
      <c r="A35" s="8" t="s">
        <v>27</v>
      </c>
      <c r="B35" s="9" t="s">
        <v>21</v>
      </c>
      <c r="C35" s="10">
        <v>0</v>
      </c>
      <c r="D35" s="10">
        <v>0</v>
      </c>
      <c r="E35" s="10">
        <v>0</v>
      </c>
      <c r="F35" s="10">
        <v>0</v>
      </c>
      <c r="G35" s="10">
        <f t="shared" si="0"/>
        <v>0</v>
      </c>
      <c r="H35" s="15"/>
    </row>
    <row r="36" spans="1:9" ht="16.05" thickBot="1">
      <c r="A36" s="5"/>
      <c r="B36" s="6"/>
      <c r="C36" s="6"/>
      <c r="D36" s="6"/>
      <c r="E36" s="6"/>
      <c r="F36" s="6"/>
      <c r="G36" s="10">
        <f t="shared" si="0"/>
        <v>0</v>
      </c>
      <c r="H36" s="15"/>
    </row>
    <row r="37" spans="1:9" s="1" customFormat="1" ht="15.5" thickBot="1">
      <c r="A37" s="14" t="s">
        <v>28</v>
      </c>
      <c r="B37" s="21"/>
      <c r="C37" s="22">
        <f>SUM(C26:C35)</f>
        <v>111860805.17999996</v>
      </c>
      <c r="D37" s="22">
        <f>SUM(D26:D35)</f>
        <v>0</v>
      </c>
      <c r="E37" s="22">
        <f>SUM(E26:E35)</f>
        <v>0</v>
      </c>
      <c r="F37" s="22">
        <f>SUM(F26:F35)</f>
        <v>0</v>
      </c>
      <c r="G37" s="22">
        <f t="shared" si="0"/>
        <v>111860805.17999996</v>
      </c>
      <c r="H37" s="12"/>
      <c r="I37" s="13"/>
    </row>
    <row r="38" spans="1:9" ht="14.55">
      <c r="C38" s="66"/>
      <c r="D38" s="66"/>
      <c r="G38" s="67"/>
    </row>
    <row r="39" spans="1:9" ht="14.55">
      <c r="A39" s="1" t="s">
        <v>29</v>
      </c>
    </row>
    <row r="40" spans="1:9" ht="14.55">
      <c r="A40" t="s">
        <v>41</v>
      </c>
    </row>
    <row r="41" spans="1:9" ht="14.55">
      <c r="A41" t="s">
        <v>30</v>
      </c>
    </row>
    <row r="43" spans="1:9" ht="14.55">
      <c r="A43" t="s">
        <v>42</v>
      </c>
    </row>
    <row r="45" spans="1:9" ht="14.55">
      <c r="A45" t="s">
        <v>43</v>
      </c>
    </row>
    <row r="47" spans="1:9" ht="14.55">
      <c r="A47" t="s">
        <v>44</v>
      </c>
    </row>
    <row r="49" spans="1:1" ht="14.55">
      <c r="A49" t="s">
        <v>45</v>
      </c>
    </row>
    <row r="51" spans="1:1" ht="14.55">
      <c r="A51" t="s">
        <v>31</v>
      </c>
    </row>
    <row r="52" spans="1:1" ht="14.55">
      <c r="A52" t="s">
        <v>32</v>
      </c>
    </row>
    <row r="53" spans="1:1" ht="14.55">
      <c r="A53" t="s">
        <v>33</v>
      </c>
    </row>
    <row r="54" spans="1:1" ht="14.55">
      <c r="A54" t="s">
        <v>34</v>
      </c>
    </row>
    <row r="55" spans="1:1" ht="14.55">
      <c r="A55" t="s">
        <v>35</v>
      </c>
    </row>
    <row r="56" spans="1:1" ht="14.55">
      <c r="A56" t="s">
        <v>36</v>
      </c>
    </row>
  </sheetData>
  <mergeCells count="8">
    <mergeCell ref="A15:A16"/>
    <mergeCell ref="B15:B16"/>
    <mergeCell ref="B18:B19"/>
    <mergeCell ref="E18:E19"/>
    <mergeCell ref="F18:F19"/>
    <mergeCell ref="B20:B21"/>
    <mergeCell ref="A26:A27"/>
    <mergeCell ref="B26:B27"/>
  </mergeCells>
  <printOptions gridLines="1"/>
  <pageMargins left="0.7" right="0.7" top="0.75" bottom="0.75" header="0.3" footer="0.3"/>
  <pageSetup scale="7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1C8B0-D126-404A-AB72-6994AE765FB5}">
  <sheetPr>
    <pageSetUpPr fitToPage="1"/>
  </sheetPr>
  <dimension ref="A1:G122"/>
  <sheetViews>
    <sheetView tabSelected="1" zoomScaleNormal="100" workbookViewId="0">
      <pane ySplit="1" topLeftCell="A2" activePane="bottomLeft" state="frozen"/>
      <selection pane="bottomLeft" activeCell="A101" sqref="A101"/>
    </sheetView>
  </sheetViews>
  <sheetFormatPr defaultColWidth="9.0625" defaultRowHeight="15"/>
  <cols>
    <col min="1" max="1" width="96.4375" style="25" bestFit="1" customWidth="1"/>
    <col min="2" max="2" width="13.4375" style="39" bestFit="1" customWidth="1"/>
    <col min="3" max="4" width="13.4375" style="26" hidden="1" customWidth="1"/>
    <col min="5" max="5" width="12.375" style="25" hidden="1" customWidth="1"/>
    <col min="6" max="6" width="14.9375" style="50" customWidth="1"/>
    <col min="7" max="7" width="15.4375" style="25" customWidth="1"/>
    <col min="8" max="16384" width="9.0625" style="25"/>
  </cols>
  <sheetData>
    <row r="1" spans="1:7" ht="33.950000000000003" customHeight="1">
      <c r="A1" s="23" t="s">
        <v>140</v>
      </c>
      <c r="B1" s="24" t="s">
        <v>141</v>
      </c>
      <c r="C1" s="68" t="s">
        <v>142</v>
      </c>
      <c r="D1" s="24" t="s">
        <v>143</v>
      </c>
      <c r="E1" s="68" t="s">
        <v>144</v>
      </c>
      <c r="F1" s="69" t="s">
        <v>145</v>
      </c>
    </row>
    <row r="2" spans="1:7">
      <c r="A2" s="27" t="s">
        <v>46</v>
      </c>
      <c r="B2" s="28"/>
      <c r="C2" s="70"/>
      <c r="D2" s="70"/>
      <c r="E2" s="71"/>
      <c r="F2" s="71"/>
    </row>
    <row r="3" spans="1:7">
      <c r="A3" s="29" t="s">
        <v>47</v>
      </c>
      <c r="B3" s="30"/>
      <c r="C3" s="31"/>
      <c r="D3" s="31"/>
      <c r="E3" s="27"/>
      <c r="F3" s="29"/>
    </row>
    <row r="4" spans="1:7">
      <c r="A4" s="32" t="s">
        <v>48</v>
      </c>
      <c r="B4" s="33"/>
      <c r="C4" s="72"/>
      <c r="D4" s="72"/>
      <c r="E4" s="73"/>
      <c r="F4" s="32"/>
      <c r="G4" s="74"/>
    </row>
    <row r="5" spans="1:7">
      <c r="A5" s="27" t="s">
        <v>49</v>
      </c>
      <c r="B5" s="34">
        <v>155950830.42000002</v>
      </c>
      <c r="C5" s="34"/>
      <c r="D5" s="34"/>
      <c r="E5" s="34"/>
      <c r="F5" s="75">
        <f>SUM(B5:E5)</f>
        <v>155950830.42000002</v>
      </c>
    </row>
    <row r="6" spans="1:7">
      <c r="A6" s="27" t="s">
        <v>50</v>
      </c>
      <c r="B6" s="34">
        <v>2423737.3600000003</v>
      </c>
      <c r="C6" s="34"/>
      <c r="D6" s="34"/>
      <c r="E6" s="34"/>
      <c r="F6" s="75">
        <f>SUM(B6:E6)</f>
        <v>2423737.3600000003</v>
      </c>
    </row>
    <row r="7" spans="1:7">
      <c r="A7" s="27" t="s">
        <v>51</v>
      </c>
      <c r="B7" s="34"/>
      <c r="C7" s="31"/>
      <c r="D7" s="34"/>
      <c r="E7" s="34"/>
      <c r="F7" s="75">
        <f t="shared" ref="F7:F19" si="0">SUM(B7:E7)</f>
        <v>0</v>
      </c>
    </row>
    <row r="8" spans="1:7">
      <c r="A8" s="27" t="s">
        <v>52</v>
      </c>
      <c r="B8" s="34">
        <f>B5*37%</f>
        <v>57701807.255400002</v>
      </c>
      <c r="C8" s="34"/>
      <c r="D8" s="34"/>
      <c r="E8" s="34"/>
      <c r="F8" s="75">
        <f>SUM(B8:E8)</f>
        <v>57701807.255400002</v>
      </c>
    </row>
    <row r="9" spans="1:7">
      <c r="A9" s="27" t="s">
        <v>53</v>
      </c>
      <c r="B9" s="34"/>
      <c r="C9" s="31"/>
      <c r="D9" s="34"/>
      <c r="E9" s="34"/>
      <c r="F9" s="75">
        <f t="shared" si="0"/>
        <v>0</v>
      </c>
    </row>
    <row r="10" spans="1:7">
      <c r="A10" s="27" t="s">
        <v>54</v>
      </c>
      <c r="B10" s="34">
        <v>5185212.87</v>
      </c>
      <c r="C10" s="31"/>
      <c r="D10" s="34"/>
      <c r="E10" s="34"/>
      <c r="F10" s="75">
        <f>SUM(B10:E10)</f>
        <v>5185212.87</v>
      </c>
    </row>
    <row r="11" spans="1:7">
      <c r="A11" s="27" t="s">
        <v>55</v>
      </c>
      <c r="B11" s="34">
        <v>40830977.069999889</v>
      </c>
      <c r="C11" s="31"/>
      <c r="D11" s="34"/>
      <c r="E11" s="34"/>
      <c r="F11" s="75">
        <f t="shared" si="0"/>
        <v>40830977.069999889</v>
      </c>
    </row>
    <row r="12" spans="1:7">
      <c r="A12" s="27" t="s">
        <v>56</v>
      </c>
      <c r="B12" s="34">
        <v>45430811.429999977</v>
      </c>
      <c r="C12" s="31"/>
      <c r="D12" s="34"/>
      <c r="E12" s="34"/>
      <c r="F12" s="75">
        <f t="shared" si="0"/>
        <v>45430811.429999977</v>
      </c>
    </row>
    <row r="13" spans="1:7">
      <c r="A13" s="27" t="s">
        <v>57</v>
      </c>
      <c r="B13" s="34">
        <v>2618.237880164646</v>
      </c>
      <c r="C13" s="31"/>
      <c r="D13" s="34"/>
      <c r="E13" s="34"/>
      <c r="F13" s="75">
        <v>2618.2378801646455</v>
      </c>
    </row>
    <row r="14" spans="1:7">
      <c r="A14" s="29" t="s">
        <v>58</v>
      </c>
      <c r="B14" s="34">
        <v>3471.9960445993647</v>
      </c>
      <c r="C14" s="31"/>
      <c r="D14" s="34"/>
      <c r="E14" s="34"/>
      <c r="F14" s="75">
        <v>3471.9960445993634</v>
      </c>
    </row>
    <row r="15" spans="1:7">
      <c r="A15" s="29" t="s">
        <v>59</v>
      </c>
      <c r="B15" s="34">
        <v>3482.1174131056182</v>
      </c>
      <c r="C15" s="31"/>
      <c r="D15" s="34"/>
      <c r="E15" s="34"/>
      <c r="F15" s="75">
        <v>3482.1174131056177</v>
      </c>
      <c r="G15" s="74"/>
    </row>
    <row r="16" spans="1:7">
      <c r="A16" s="27" t="s">
        <v>60</v>
      </c>
      <c r="B16" s="34"/>
      <c r="C16" s="31"/>
      <c r="D16" s="34"/>
      <c r="E16" s="34"/>
      <c r="F16" s="75"/>
    </row>
    <row r="17" spans="1:7">
      <c r="A17" s="27" t="s">
        <v>61</v>
      </c>
      <c r="B17" s="34">
        <v>5576308.7300000004</v>
      </c>
      <c r="C17" s="31"/>
      <c r="D17" s="34"/>
      <c r="E17" s="34"/>
      <c r="F17" s="75">
        <f t="shared" si="0"/>
        <v>5576308.7300000004</v>
      </c>
    </row>
    <row r="18" spans="1:7">
      <c r="A18" s="27" t="s">
        <v>62</v>
      </c>
      <c r="B18" s="35"/>
      <c r="C18" s="31"/>
      <c r="D18" s="31"/>
      <c r="E18" s="35"/>
      <c r="F18" s="76">
        <f t="shared" si="0"/>
        <v>0</v>
      </c>
    </row>
    <row r="19" spans="1:7">
      <c r="A19" s="27" t="s">
        <v>63</v>
      </c>
      <c r="B19" s="35"/>
      <c r="C19" s="31"/>
      <c r="D19" s="31"/>
      <c r="E19" s="30"/>
      <c r="F19" s="76">
        <f t="shared" si="0"/>
        <v>0</v>
      </c>
    </row>
    <row r="20" spans="1:7">
      <c r="A20" s="27"/>
      <c r="B20" s="35"/>
      <c r="C20" s="31"/>
      <c r="D20" s="31"/>
      <c r="E20" s="30"/>
      <c r="F20" s="76"/>
    </row>
    <row r="21" spans="1:7">
      <c r="A21" s="36" t="s">
        <v>64</v>
      </c>
      <c r="B21" s="37"/>
      <c r="C21" s="77"/>
      <c r="D21" s="77"/>
      <c r="E21" s="37"/>
      <c r="F21" s="37"/>
    </row>
    <row r="22" spans="1:7">
      <c r="A22" s="27" t="s">
        <v>65</v>
      </c>
      <c r="B22" s="34">
        <v>489102.30664323107</v>
      </c>
      <c r="C22" s="31"/>
      <c r="D22" s="34"/>
      <c r="E22" s="31"/>
      <c r="F22" s="75">
        <f>SUM(B22:E22)</f>
        <v>489102.30664323107</v>
      </c>
      <c r="G22" s="74"/>
    </row>
    <row r="23" spans="1:7">
      <c r="A23" s="27" t="s">
        <v>66</v>
      </c>
      <c r="B23" s="35">
        <v>1.0798604657526973</v>
      </c>
      <c r="C23" s="35"/>
      <c r="D23" s="35"/>
      <c r="E23" s="35"/>
      <c r="F23" s="78">
        <f>AVERAGE(B23:E23)</f>
        <v>1.0798604657526973</v>
      </c>
    </row>
    <row r="24" spans="1:7">
      <c r="A24" s="27" t="s">
        <v>67</v>
      </c>
      <c r="B24" s="34">
        <v>451317.01235942659</v>
      </c>
      <c r="C24" s="34"/>
      <c r="D24" s="34"/>
      <c r="E24" s="34"/>
      <c r="F24" s="75">
        <f>SUM(B24:E24)</f>
        <v>451317.01235942659</v>
      </c>
    </row>
    <row r="25" spans="1:7">
      <c r="A25" s="25" t="s">
        <v>68</v>
      </c>
      <c r="B25" s="35">
        <v>1.4442659529710766</v>
      </c>
      <c r="C25" s="35"/>
      <c r="D25" s="35"/>
      <c r="E25" s="35"/>
      <c r="F25" s="78">
        <f>AVERAGE(B25:E25)</f>
        <v>1.4442659529710766</v>
      </c>
    </row>
    <row r="26" spans="1:7">
      <c r="A26" s="27" t="s">
        <v>69</v>
      </c>
      <c r="B26" s="34">
        <v>937788.47043143411</v>
      </c>
      <c r="C26" s="31"/>
      <c r="D26" s="34"/>
      <c r="E26" s="31"/>
      <c r="F26" s="75">
        <f>SUM(B26:E26)</f>
        <v>937788.47043143411</v>
      </c>
    </row>
    <row r="27" spans="1:7">
      <c r="A27" s="27" t="s">
        <v>70</v>
      </c>
      <c r="B27" s="35">
        <v>1.2596055828518644</v>
      </c>
      <c r="C27" s="30"/>
      <c r="D27" s="35"/>
      <c r="E27" s="30"/>
      <c r="F27" s="78">
        <f>AVERAGE(B27:E27)</f>
        <v>1.2596055828518644</v>
      </c>
    </row>
    <row r="28" spans="1:7">
      <c r="A28" s="27" t="s">
        <v>71</v>
      </c>
      <c r="B28" s="38">
        <v>0.82204087824652827</v>
      </c>
      <c r="C28" s="79"/>
      <c r="D28" s="38"/>
      <c r="E28" s="80"/>
      <c r="F28" s="81">
        <f>AVERAGE(B28:E28)</f>
        <v>0.82204087824652827</v>
      </c>
    </row>
    <row r="29" spans="1:7">
      <c r="A29" s="27" t="s">
        <v>72</v>
      </c>
      <c r="B29" s="34">
        <v>32033.283399979093</v>
      </c>
      <c r="C29" s="31"/>
      <c r="D29" s="34"/>
      <c r="E29" s="31"/>
      <c r="F29" s="75">
        <f t="shared" ref="F29:F35" si="1">SUM(B29:E29)</f>
        <v>32033.283399979093</v>
      </c>
    </row>
    <row r="30" spans="1:7">
      <c r="A30" s="27" t="s">
        <v>73</v>
      </c>
      <c r="B30" s="34">
        <v>31521.301000000003</v>
      </c>
      <c r="C30" s="34"/>
      <c r="D30" s="34"/>
      <c r="E30" s="31"/>
      <c r="F30" s="75">
        <f t="shared" si="1"/>
        <v>31521.301000000003</v>
      </c>
      <c r="G30" s="82"/>
    </row>
    <row r="31" spans="1:7">
      <c r="A31" s="27" t="s">
        <v>74</v>
      </c>
      <c r="B31" s="34">
        <v>40347559</v>
      </c>
      <c r="C31" s="31"/>
      <c r="D31" s="34"/>
      <c r="E31" s="31"/>
      <c r="F31" s="75">
        <f t="shared" si="1"/>
        <v>40347559</v>
      </c>
    </row>
    <row r="32" spans="1:7">
      <c r="A32" s="27" t="s">
        <v>75</v>
      </c>
      <c r="B32" s="34">
        <v>66849</v>
      </c>
      <c r="C32" s="31"/>
      <c r="D32" s="34"/>
      <c r="E32" s="31"/>
      <c r="F32" s="75">
        <f t="shared" si="1"/>
        <v>66849</v>
      </c>
      <c r="G32" s="64" t="s">
        <v>136</v>
      </c>
    </row>
    <row r="33" spans="1:7">
      <c r="A33" s="27" t="s">
        <v>76</v>
      </c>
      <c r="B33" s="34">
        <v>5208248.6182000004</v>
      </c>
      <c r="C33" s="31"/>
      <c r="D33" s="34"/>
      <c r="E33" s="31"/>
      <c r="F33" s="75">
        <f t="shared" si="1"/>
        <v>5208248.6182000004</v>
      </c>
      <c r="G33" s="97">
        <v>10.860817796610176</v>
      </c>
    </row>
    <row r="34" spans="1:7">
      <c r="A34" s="27" t="s">
        <v>77</v>
      </c>
      <c r="B34" s="34">
        <v>6428644.3432257315</v>
      </c>
      <c r="C34" s="31"/>
      <c r="D34" s="34"/>
      <c r="E34" s="31"/>
      <c r="F34" s="75">
        <f t="shared" si="1"/>
        <v>6428644.3432257315</v>
      </c>
      <c r="G34" s="39"/>
    </row>
    <row r="35" spans="1:7">
      <c r="A35" s="27" t="s">
        <v>78</v>
      </c>
      <c r="B35" s="34">
        <v>7518369.1399999922</v>
      </c>
      <c r="C35" s="31"/>
      <c r="D35" s="34"/>
      <c r="E35" s="31"/>
      <c r="F35" s="75">
        <f t="shared" si="1"/>
        <v>7518369.1399999922</v>
      </c>
    </row>
    <row r="36" spans="1:7">
      <c r="A36" s="27"/>
      <c r="B36" s="35"/>
      <c r="C36" s="30"/>
      <c r="D36" s="30"/>
      <c r="E36" s="30"/>
      <c r="F36" s="76"/>
    </row>
    <row r="37" spans="1:7">
      <c r="A37" s="36" t="s">
        <v>79</v>
      </c>
      <c r="B37" s="40"/>
      <c r="C37" s="83"/>
      <c r="D37" s="83"/>
      <c r="E37" s="40"/>
      <c r="F37" s="37"/>
    </row>
    <row r="38" spans="1:7">
      <c r="A38" s="27" t="s">
        <v>80</v>
      </c>
      <c r="B38" s="34">
        <v>946</v>
      </c>
      <c r="C38" s="31"/>
      <c r="D38" s="34"/>
      <c r="E38" s="34"/>
      <c r="F38" s="75">
        <f>B38</f>
        <v>946</v>
      </c>
    </row>
    <row r="39" spans="1:7">
      <c r="A39" s="27" t="s">
        <v>81</v>
      </c>
      <c r="B39" s="34">
        <v>0</v>
      </c>
      <c r="C39" s="34"/>
      <c r="D39" s="34"/>
      <c r="E39" s="34"/>
      <c r="F39" s="75">
        <f>B39</f>
        <v>0</v>
      </c>
    </row>
    <row r="40" spans="1:7">
      <c r="A40" s="27" t="s">
        <v>82</v>
      </c>
      <c r="B40" s="34">
        <v>8581887.3399999999</v>
      </c>
      <c r="C40" s="31"/>
      <c r="D40" s="34"/>
      <c r="E40" s="34"/>
      <c r="F40" s="75">
        <f>SUM(B40:E40)</f>
        <v>8581887.3399999999</v>
      </c>
    </row>
    <row r="41" spans="1:7">
      <c r="A41" s="27" t="s">
        <v>83</v>
      </c>
      <c r="B41" s="34">
        <v>783882.47178377514</v>
      </c>
      <c r="C41" s="34"/>
      <c r="D41" s="34"/>
      <c r="E41" s="34"/>
      <c r="F41" s="75">
        <f>SUM(B41:E41)</f>
        <v>783882.47178377514</v>
      </c>
    </row>
    <row r="42" spans="1:7">
      <c r="A42" s="27" t="s">
        <v>84</v>
      </c>
      <c r="B42" s="34">
        <v>5903596.5882162256</v>
      </c>
      <c r="C42" s="31"/>
      <c r="D42" s="34"/>
      <c r="E42" s="34"/>
      <c r="F42" s="75">
        <f>SUM(B42:E42)</f>
        <v>5903596.5882162256</v>
      </c>
    </row>
    <row r="43" spans="1:7">
      <c r="A43" s="41" t="s">
        <v>85</v>
      </c>
      <c r="B43" s="42"/>
      <c r="C43" s="42"/>
      <c r="D43" s="42"/>
      <c r="E43" s="42"/>
      <c r="F43" s="84"/>
    </row>
    <row r="44" spans="1:7">
      <c r="A44" s="43" t="s">
        <v>86</v>
      </c>
      <c r="B44" s="34">
        <v>12037005.210676063</v>
      </c>
      <c r="C44" s="31"/>
      <c r="D44" s="34"/>
      <c r="E44" s="34"/>
      <c r="F44" s="75">
        <f>SUM(B44:E44)</f>
        <v>12037005.210676063</v>
      </c>
      <c r="G44" s="85"/>
    </row>
    <row r="45" spans="1:7">
      <c r="A45" s="43" t="s">
        <v>87</v>
      </c>
      <c r="B45" s="34">
        <v>772898.45545700903</v>
      </c>
      <c r="C45" s="34"/>
      <c r="D45" s="34"/>
      <c r="E45" s="34"/>
      <c r="F45" s="75">
        <f t="shared" ref="F45:F57" si="2">SUM(B45:E45)</f>
        <v>772898.45545700903</v>
      </c>
      <c r="G45" s="82"/>
    </row>
    <row r="46" spans="1:7">
      <c r="A46" s="43" t="s">
        <v>88</v>
      </c>
      <c r="B46" s="34">
        <v>3129131.8100011954</v>
      </c>
      <c r="C46" s="34"/>
      <c r="D46" s="34"/>
      <c r="E46" s="34"/>
      <c r="F46" s="75">
        <f t="shared" si="2"/>
        <v>3129131.8100011954</v>
      </c>
    </row>
    <row r="47" spans="1:7">
      <c r="A47" s="43" t="s">
        <v>89</v>
      </c>
      <c r="B47" s="34">
        <v>47673.42</v>
      </c>
      <c r="C47" s="31"/>
      <c r="D47" s="34"/>
      <c r="E47" s="34"/>
      <c r="F47" s="75">
        <f t="shared" si="2"/>
        <v>47673.42</v>
      </c>
    </row>
    <row r="48" spans="1:7">
      <c r="A48" s="43" t="s">
        <v>90</v>
      </c>
      <c r="B48" s="34">
        <v>78438.420000000013</v>
      </c>
      <c r="C48" s="31"/>
      <c r="D48" s="34"/>
      <c r="E48" s="34"/>
      <c r="F48" s="75">
        <f>SUM(B48:E48)</f>
        <v>78438.420000000013</v>
      </c>
    </row>
    <row r="49" spans="1:6">
      <c r="A49" s="43" t="s">
        <v>91</v>
      </c>
      <c r="B49" s="34">
        <v>1943375.2000000002</v>
      </c>
      <c r="C49" s="34"/>
      <c r="D49" s="34"/>
      <c r="E49" s="34"/>
      <c r="F49" s="86">
        <f>SUM(B49:E49)</f>
        <v>1943375.2000000002</v>
      </c>
    </row>
    <row r="50" spans="1:6">
      <c r="A50" s="43" t="s">
        <v>92</v>
      </c>
      <c r="B50" s="34"/>
      <c r="C50" s="31"/>
      <c r="D50" s="34"/>
      <c r="E50" s="34"/>
      <c r="F50" s="75">
        <f t="shared" si="2"/>
        <v>0</v>
      </c>
    </row>
    <row r="51" spans="1:6">
      <c r="A51" s="43" t="s">
        <v>93</v>
      </c>
      <c r="B51" s="34"/>
      <c r="C51" s="31"/>
      <c r="D51" s="34"/>
      <c r="E51" s="34"/>
      <c r="F51" s="75">
        <f t="shared" si="2"/>
        <v>0</v>
      </c>
    </row>
    <row r="52" spans="1:6">
      <c r="A52" s="43" t="s">
        <v>94</v>
      </c>
      <c r="B52" s="34"/>
      <c r="C52" s="31"/>
      <c r="D52" s="34"/>
      <c r="E52" s="34"/>
      <c r="F52" s="75">
        <f t="shared" si="2"/>
        <v>0</v>
      </c>
    </row>
    <row r="53" spans="1:6">
      <c r="A53" s="43" t="s">
        <v>95</v>
      </c>
      <c r="B53" s="34"/>
      <c r="C53" s="31"/>
      <c r="D53" s="34"/>
      <c r="E53" s="34"/>
      <c r="F53" s="75">
        <f t="shared" si="2"/>
        <v>0</v>
      </c>
    </row>
    <row r="54" spans="1:6">
      <c r="A54" s="43" t="s">
        <v>96</v>
      </c>
      <c r="B54" s="34"/>
      <c r="C54" s="31"/>
      <c r="D54" s="34"/>
      <c r="E54" s="34"/>
      <c r="F54" s="75">
        <f t="shared" si="2"/>
        <v>0</v>
      </c>
    </row>
    <row r="55" spans="1:6">
      <c r="A55" s="43" t="s">
        <v>97</v>
      </c>
      <c r="B55" s="34">
        <v>14260612.693303902</v>
      </c>
      <c r="C55" s="31"/>
      <c r="D55" s="34"/>
      <c r="E55" s="34"/>
      <c r="F55" s="75">
        <f>SUM(B55:E55)</f>
        <v>14260612.693303902</v>
      </c>
    </row>
    <row r="56" spans="1:6">
      <c r="A56" s="43" t="s">
        <v>98</v>
      </c>
      <c r="B56" s="34">
        <v>9028956.4465952627</v>
      </c>
      <c r="C56" s="31"/>
      <c r="D56" s="34"/>
      <c r="E56" s="34"/>
      <c r="F56" s="75">
        <f>SUM(B56:E56)</f>
        <v>9028956.4465952627</v>
      </c>
    </row>
    <row r="57" spans="1:6">
      <c r="A57" s="43" t="s">
        <v>99</v>
      </c>
      <c r="B57" s="34">
        <v>0</v>
      </c>
      <c r="C57" s="31"/>
      <c r="D57" s="34"/>
      <c r="E57" s="31"/>
      <c r="F57" s="75">
        <f t="shared" si="2"/>
        <v>0</v>
      </c>
    </row>
    <row r="58" spans="1:6">
      <c r="A58" s="44" t="s">
        <v>100</v>
      </c>
      <c r="B58" s="34"/>
      <c r="C58" s="31"/>
      <c r="D58" s="34"/>
      <c r="E58" s="31"/>
      <c r="F58" s="75"/>
    </row>
    <row r="59" spans="1:6">
      <c r="A59" s="43" t="s">
        <v>101</v>
      </c>
      <c r="B59" s="34"/>
      <c r="C59" s="31"/>
      <c r="D59" s="31"/>
      <c r="E59" s="31"/>
      <c r="F59" s="75">
        <f>SUM(B59:E59)</f>
        <v>0</v>
      </c>
    </row>
    <row r="60" spans="1:6">
      <c r="A60" s="43" t="s">
        <v>102</v>
      </c>
      <c r="B60" s="34">
        <v>22463083.509999998</v>
      </c>
      <c r="C60" s="31"/>
      <c r="D60" s="34"/>
      <c r="E60" s="34"/>
      <c r="F60" s="75">
        <f>SUM(B60:E60)</f>
        <v>22463083.509999998</v>
      </c>
    </row>
    <row r="61" spans="1:6">
      <c r="A61" s="27"/>
      <c r="B61" s="30"/>
      <c r="C61" s="31"/>
      <c r="D61" s="31"/>
      <c r="E61" s="30"/>
      <c r="F61" s="76"/>
    </row>
    <row r="62" spans="1:6">
      <c r="A62" s="36" t="s">
        <v>103</v>
      </c>
      <c r="B62" s="40"/>
      <c r="C62" s="83"/>
      <c r="D62" s="83"/>
      <c r="E62" s="40"/>
      <c r="F62" s="37"/>
    </row>
    <row r="63" spans="1:6">
      <c r="A63" s="27" t="s">
        <v>104</v>
      </c>
      <c r="B63" s="34">
        <v>4325.12</v>
      </c>
      <c r="C63" s="31"/>
      <c r="D63" s="34"/>
      <c r="E63" s="31"/>
      <c r="F63" s="75">
        <f>SUM(B63:E63)</f>
        <v>4325.12</v>
      </c>
    </row>
    <row r="64" spans="1:6">
      <c r="A64" s="27" t="s">
        <v>105</v>
      </c>
      <c r="B64" s="34">
        <v>95102.59</v>
      </c>
      <c r="C64" s="31"/>
      <c r="D64" s="34"/>
      <c r="E64" s="34"/>
      <c r="F64" s="75">
        <f>SUM(B64:E64)</f>
        <v>95102.59</v>
      </c>
    </row>
    <row r="65" spans="1:6">
      <c r="A65" s="27" t="s">
        <v>106</v>
      </c>
      <c r="B65" s="34"/>
      <c r="D65" s="34"/>
      <c r="E65" s="34"/>
      <c r="F65" s="75">
        <f t="shared" ref="F65:F74" si="3">SUM(B65:E65)</f>
        <v>0</v>
      </c>
    </row>
    <row r="66" spans="1:6">
      <c r="A66" s="27" t="s">
        <v>107</v>
      </c>
      <c r="B66" s="34">
        <v>75072.000000000015</v>
      </c>
      <c r="C66" s="31"/>
      <c r="D66" s="34"/>
      <c r="E66" s="34"/>
      <c r="F66" s="75">
        <f>SUM(B66:E66)</f>
        <v>75072.000000000015</v>
      </c>
    </row>
    <row r="67" spans="1:6">
      <c r="A67" s="27" t="s">
        <v>108</v>
      </c>
      <c r="B67" s="34"/>
      <c r="C67" s="31"/>
      <c r="D67" s="34"/>
      <c r="E67" s="34"/>
      <c r="F67" s="75">
        <f t="shared" si="3"/>
        <v>0</v>
      </c>
    </row>
    <row r="68" spans="1:6">
      <c r="A68" s="27" t="s">
        <v>109</v>
      </c>
      <c r="B68" s="34"/>
      <c r="C68" s="31"/>
      <c r="D68" s="31"/>
      <c r="E68" s="34"/>
      <c r="F68" s="75">
        <f t="shared" si="3"/>
        <v>0</v>
      </c>
    </row>
    <row r="69" spans="1:6">
      <c r="A69" s="27" t="s">
        <v>110</v>
      </c>
      <c r="B69" s="34"/>
      <c r="C69" s="31"/>
      <c r="D69" s="31"/>
      <c r="E69" s="34"/>
      <c r="F69" s="75">
        <f t="shared" si="3"/>
        <v>0</v>
      </c>
    </row>
    <row r="70" spans="1:6">
      <c r="A70" s="27" t="s">
        <v>111</v>
      </c>
      <c r="B70" s="34"/>
      <c r="C70" s="31"/>
      <c r="D70" s="31"/>
      <c r="E70" s="34"/>
      <c r="F70" s="75">
        <f t="shared" si="3"/>
        <v>0</v>
      </c>
    </row>
    <row r="71" spans="1:6">
      <c r="A71" s="27" t="s">
        <v>112</v>
      </c>
      <c r="B71" s="34">
        <v>6166.95</v>
      </c>
      <c r="C71" s="31"/>
      <c r="D71" s="34"/>
      <c r="E71" s="34"/>
      <c r="F71" s="75">
        <f t="shared" si="3"/>
        <v>6166.95</v>
      </c>
    </row>
    <row r="72" spans="1:6">
      <c r="A72" s="27" t="s">
        <v>113</v>
      </c>
      <c r="B72" s="34"/>
      <c r="C72" s="31"/>
      <c r="D72" s="34"/>
      <c r="E72" s="34"/>
      <c r="F72" s="75">
        <f t="shared" si="3"/>
        <v>0</v>
      </c>
    </row>
    <row r="73" spans="1:6">
      <c r="A73" s="27" t="s">
        <v>114</v>
      </c>
      <c r="B73" s="34"/>
      <c r="C73" s="31"/>
      <c r="D73" s="34"/>
      <c r="E73" s="34"/>
      <c r="F73" s="75">
        <f t="shared" si="3"/>
        <v>0</v>
      </c>
    </row>
    <row r="74" spans="1:6">
      <c r="A74" s="27" t="s">
        <v>134</v>
      </c>
      <c r="B74" s="34">
        <v>30170.760000000009</v>
      </c>
      <c r="C74" s="31"/>
      <c r="D74" s="34"/>
      <c r="E74" s="34"/>
      <c r="F74" s="75">
        <f t="shared" si="3"/>
        <v>30170.760000000009</v>
      </c>
    </row>
    <row r="75" spans="1:6">
      <c r="A75" s="45" t="s">
        <v>115</v>
      </c>
      <c r="B75" s="46">
        <f>SUM(B63:B74)</f>
        <v>210837.42000000004</v>
      </c>
      <c r="C75" s="46"/>
      <c r="D75" s="46"/>
      <c r="E75" s="46"/>
      <c r="F75" s="87">
        <f>SUM(F63:F74)</f>
        <v>210837.42000000004</v>
      </c>
    </row>
    <row r="76" spans="1:6">
      <c r="A76" s="27"/>
      <c r="B76" s="30"/>
      <c r="C76" s="31"/>
      <c r="D76" s="31"/>
      <c r="E76" s="30"/>
      <c r="F76" s="76"/>
    </row>
    <row r="77" spans="1:6">
      <c r="A77" s="36" t="s">
        <v>116</v>
      </c>
      <c r="B77" s="40"/>
      <c r="C77" s="83"/>
      <c r="D77" s="83"/>
      <c r="E77" s="40"/>
      <c r="F77" s="37"/>
    </row>
    <row r="78" spans="1:6">
      <c r="A78" s="27" t="s">
        <v>104</v>
      </c>
      <c r="B78" s="30"/>
      <c r="C78" s="31"/>
      <c r="D78" s="31"/>
      <c r="E78" s="30"/>
      <c r="F78" s="76">
        <f t="shared" ref="F78:F89" si="4">SUM(B78:E78)</f>
        <v>0</v>
      </c>
    </row>
    <row r="79" spans="1:6">
      <c r="A79" s="27" t="s">
        <v>105</v>
      </c>
      <c r="B79" s="30"/>
      <c r="C79" s="31"/>
      <c r="D79" s="31"/>
      <c r="E79" s="30"/>
      <c r="F79" s="76">
        <f t="shared" si="4"/>
        <v>0</v>
      </c>
    </row>
    <row r="80" spans="1:6">
      <c r="A80" s="27" t="s">
        <v>106</v>
      </c>
      <c r="B80" s="30"/>
      <c r="C80" s="31"/>
      <c r="D80" s="31"/>
      <c r="E80" s="30"/>
      <c r="F80" s="76">
        <f t="shared" si="4"/>
        <v>0</v>
      </c>
    </row>
    <row r="81" spans="1:6">
      <c r="A81" s="27" t="s">
        <v>107</v>
      </c>
      <c r="B81" s="30"/>
      <c r="C81" s="31"/>
      <c r="D81" s="31"/>
      <c r="E81" s="30"/>
      <c r="F81" s="76">
        <f t="shared" si="4"/>
        <v>0</v>
      </c>
    </row>
    <row r="82" spans="1:6">
      <c r="A82" s="27" t="s">
        <v>108</v>
      </c>
      <c r="B82" s="30"/>
      <c r="C82" s="31"/>
      <c r="D82" s="31"/>
      <c r="E82" s="30"/>
      <c r="F82" s="76">
        <f t="shared" si="4"/>
        <v>0</v>
      </c>
    </row>
    <row r="83" spans="1:6">
      <c r="A83" s="27" t="s">
        <v>109</v>
      </c>
      <c r="B83" s="30"/>
      <c r="C83" s="31"/>
      <c r="D83" s="31"/>
      <c r="E83" s="30"/>
      <c r="F83" s="76">
        <f t="shared" si="4"/>
        <v>0</v>
      </c>
    </row>
    <row r="84" spans="1:6">
      <c r="A84" s="27" t="s">
        <v>110</v>
      </c>
      <c r="B84" s="30"/>
      <c r="C84" s="31"/>
      <c r="D84" s="31"/>
      <c r="E84" s="30"/>
      <c r="F84" s="76">
        <f t="shared" si="4"/>
        <v>0</v>
      </c>
    </row>
    <row r="85" spans="1:6">
      <c r="A85" s="27" t="s">
        <v>111</v>
      </c>
      <c r="B85" s="30"/>
      <c r="C85" s="31"/>
      <c r="D85" s="31"/>
      <c r="E85" s="30"/>
      <c r="F85" s="76">
        <f t="shared" si="4"/>
        <v>0</v>
      </c>
    </row>
    <row r="86" spans="1:6">
      <c r="A86" s="27" t="s">
        <v>112</v>
      </c>
      <c r="B86" s="31"/>
      <c r="C86" s="31"/>
      <c r="D86" s="31"/>
      <c r="E86" s="31"/>
      <c r="F86" s="75">
        <f t="shared" si="4"/>
        <v>0</v>
      </c>
    </row>
    <row r="87" spans="1:6">
      <c r="A87" s="27" t="s">
        <v>113</v>
      </c>
      <c r="B87" s="31"/>
      <c r="C87" s="31"/>
      <c r="D87" s="31"/>
      <c r="E87" s="31"/>
      <c r="F87" s="75">
        <f t="shared" si="4"/>
        <v>0</v>
      </c>
    </row>
    <row r="88" spans="1:6">
      <c r="A88" s="27" t="s">
        <v>117</v>
      </c>
      <c r="B88" s="31"/>
      <c r="C88" s="31"/>
      <c r="D88" s="31"/>
      <c r="E88" s="34"/>
      <c r="F88" s="75">
        <f t="shared" si="4"/>
        <v>0</v>
      </c>
    </row>
    <row r="89" spans="1:6">
      <c r="A89" s="47" t="s">
        <v>118</v>
      </c>
      <c r="B89" s="34">
        <v>32011</v>
      </c>
      <c r="C89" s="31"/>
      <c r="D89" s="34"/>
      <c r="E89" s="34"/>
      <c r="F89" s="75">
        <f t="shared" si="4"/>
        <v>32011</v>
      </c>
    </row>
    <row r="90" spans="1:6">
      <c r="B90" s="46">
        <f>SUM(B78:B89)</f>
        <v>32011</v>
      </c>
      <c r="C90" s="46"/>
      <c r="D90" s="46"/>
      <c r="E90" s="46"/>
      <c r="F90" s="87">
        <f>SUM(B90:E90)</f>
        <v>32011</v>
      </c>
    </row>
    <row r="91" spans="1:6">
      <c r="A91" s="45" t="s">
        <v>115</v>
      </c>
      <c r="B91" s="30"/>
      <c r="C91" s="31"/>
      <c r="D91" s="31"/>
      <c r="E91" s="30"/>
      <c r="F91" s="76"/>
    </row>
    <row r="92" spans="1:6">
      <c r="A92" s="36" t="s">
        <v>119</v>
      </c>
      <c r="B92" s="40"/>
      <c r="C92" s="83"/>
      <c r="D92" s="83"/>
      <c r="E92" s="40"/>
      <c r="F92" s="37"/>
    </row>
    <row r="93" spans="1:6">
      <c r="A93" s="27" t="s">
        <v>104</v>
      </c>
      <c r="B93" s="30"/>
      <c r="C93" s="31"/>
      <c r="D93" s="31"/>
      <c r="E93" s="30"/>
      <c r="F93" s="76">
        <f t="shared" ref="F93:F99" si="5">SUM(B93:E93)</f>
        <v>0</v>
      </c>
    </row>
    <row r="94" spans="1:6">
      <c r="A94" s="27" t="s">
        <v>105</v>
      </c>
      <c r="B94" s="30"/>
      <c r="C94" s="31"/>
      <c r="D94" s="31"/>
      <c r="E94" s="30"/>
      <c r="F94" s="76">
        <f t="shared" si="5"/>
        <v>0</v>
      </c>
    </row>
    <row r="95" spans="1:6">
      <c r="A95" s="27" t="s">
        <v>106</v>
      </c>
      <c r="B95" s="30"/>
      <c r="C95" s="31"/>
      <c r="D95" s="31"/>
      <c r="E95" s="30"/>
      <c r="F95" s="76">
        <f t="shared" si="5"/>
        <v>0</v>
      </c>
    </row>
    <row r="96" spans="1:6">
      <c r="A96" s="27" t="s">
        <v>107</v>
      </c>
      <c r="B96" s="30"/>
      <c r="C96" s="31"/>
      <c r="D96" s="31"/>
      <c r="E96" s="30"/>
      <c r="F96" s="76">
        <f t="shared" si="5"/>
        <v>0</v>
      </c>
    </row>
    <row r="97" spans="1:6">
      <c r="A97" s="27" t="s">
        <v>108</v>
      </c>
      <c r="B97" s="30"/>
      <c r="C97" s="31"/>
      <c r="D97" s="31"/>
      <c r="E97" s="30"/>
      <c r="F97" s="76">
        <f t="shared" si="5"/>
        <v>0</v>
      </c>
    </row>
    <row r="98" spans="1:6">
      <c r="A98" s="27" t="s">
        <v>120</v>
      </c>
      <c r="B98" s="30"/>
      <c r="C98" s="31"/>
      <c r="D98" s="31"/>
      <c r="E98" s="30"/>
      <c r="F98" s="76">
        <f t="shared" si="5"/>
        <v>0</v>
      </c>
    </row>
    <row r="99" spans="1:6">
      <c r="A99" s="48" t="s">
        <v>115</v>
      </c>
      <c r="B99" s="49"/>
      <c r="C99" s="88"/>
      <c r="D99" s="88"/>
      <c r="E99" s="89"/>
      <c r="F99" s="49">
        <f t="shared" si="5"/>
        <v>0</v>
      </c>
    </row>
    <row r="100" spans="1:6">
      <c r="E100" s="39"/>
      <c r="F100" s="90"/>
    </row>
    <row r="101" spans="1:6">
      <c r="A101" s="50" t="s">
        <v>121</v>
      </c>
      <c r="E101" s="39"/>
      <c r="F101" s="90"/>
    </row>
    <row r="102" spans="1:6">
      <c r="E102" s="39"/>
      <c r="F102" s="90"/>
    </row>
    <row r="103" spans="1:6">
      <c r="E103" s="39"/>
      <c r="F103" s="90"/>
    </row>
    <row r="104" spans="1:6">
      <c r="E104" s="39"/>
      <c r="F104" s="90"/>
    </row>
    <row r="105" spans="1:6">
      <c r="E105" s="39"/>
      <c r="F105" s="90"/>
    </row>
    <row r="106" spans="1:6">
      <c r="E106" s="39"/>
      <c r="F106" s="90"/>
    </row>
    <row r="107" spans="1:6">
      <c r="E107" s="39"/>
      <c r="F107" s="90"/>
    </row>
    <row r="108" spans="1:6">
      <c r="E108" s="39"/>
      <c r="F108" s="90"/>
    </row>
    <row r="109" spans="1:6">
      <c r="E109" s="39"/>
      <c r="F109" s="90"/>
    </row>
    <row r="110" spans="1:6">
      <c r="E110" s="39"/>
      <c r="F110" s="90"/>
    </row>
    <row r="111" spans="1:6">
      <c r="E111" s="39"/>
      <c r="F111" s="90"/>
    </row>
    <row r="112" spans="1:6">
      <c r="E112" s="39"/>
      <c r="F112" s="90"/>
    </row>
    <row r="113" spans="5:6">
      <c r="E113" s="39"/>
      <c r="F113" s="90"/>
    </row>
    <row r="114" spans="5:6">
      <c r="E114" s="39"/>
      <c r="F114" s="90"/>
    </row>
    <row r="115" spans="5:6">
      <c r="E115" s="39"/>
      <c r="F115" s="90"/>
    </row>
    <row r="116" spans="5:6">
      <c r="E116" s="39"/>
      <c r="F116" s="90"/>
    </row>
    <row r="117" spans="5:6">
      <c r="E117" s="39"/>
      <c r="F117" s="90"/>
    </row>
    <row r="118" spans="5:6">
      <c r="E118" s="39"/>
      <c r="F118" s="90"/>
    </row>
    <row r="119" spans="5:6">
      <c r="E119" s="39"/>
      <c r="F119" s="90"/>
    </row>
    <row r="120" spans="5:6">
      <c r="E120" s="39"/>
      <c r="F120" s="90"/>
    </row>
    <row r="121" spans="5:6">
      <c r="E121" s="39"/>
      <c r="F121" s="90"/>
    </row>
    <row r="122" spans="5:6">
      <c r="E122" s="39"/>
      <c r="F122" s="90"/>
    </row>
  </sheetData>
  <printOptions gridLines="1"/>
  <pageMargins left="0.49" right="0.32" top="0.75" bottom="1.18" header="0.3" footer="0.3"/>
  <pageSetup paperSize="9" scale="5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4800-FC34-4C57-8696-4E6DC38B28AA}">
  <dimension ref="A1:K30"/>
  <sheetViews>
    <sheetView topLeftCell="A14" zoomScale="80" zoomScaleNormal="80" workbookViewId="0">
      <selection activeCell="D16" sqref="D16"/>
    </sheetView>
  </sheetViews>
  <sheetFormatPr defaultRowHeight="13.5"/>
  <cols>
    <col min="1" max="1" width="16.625" customWidth="1"/>
    <col min="2" max="2" width="7.625" bestFit="1" customWidth="1"/>
    <col min="3" max="3" width="47.625" bestFit="1" customWidth="1"/>
    <col min="4" max="4" width="13.0625" bestFit="1" customWidth="1"/>
    <col min="5" max="5" width="13.4375" bestFit="1" customWidth="1"/>
    <col min="6" max="6" width="15.5625" bestFit="1" customWidth="1"/>
    <col min="7" max="7" width="13.4375" bestFit="1" customWidth="1"/>
    <col min="8" max="8" width="16.4375" bestFit="1" customWidth="1"/>
    <col min="9" max="9" width="17.0625" bestFit="1" customWidth="1"/>
    <col min="12" max="12" width="10.1875" bestFit="1" customWidth="1"/>
    <col min="257" max="257" width="16.625" customWidth="1"/>
    <col min="258" max="258" width="7.625" bestFit="1" customWidth="1"/>
    <col min="259" max="259" width="47.625" bestFit="1" customWidth="1"/>
    <col min="260" max="260" width="13.0625" bestFit="1" customWidth="1"/>
    <col min="261" max="261" width="13.4375" bestFit="1" customWidth="1"/>
    <col min="262" max="262" width="15.5625" bestFit="1" customWidth="1"/>
    <col min="263" max="263" width="13.4375" bestFit="1" customWidth="1"/>
    <col min="264" max="264" width="16.4375" bestFit="1" customWidth="1"/>
    <col min="265" max="265" width="17.0625" bestFit="1" customWidth="1"/>
    <col min="268" max="268" width="10.1875" bestFit="1" customWidth="1"/>
    <col min="513" max="513" width="16.625" customWidth="1"/>
    <col min="514" max="514" width="7.625" bestFit="1" customWidth="1"/>
    <col min="515" max="515" width="47.625" bestFit="1" customWidth="1"/>
    <col min="516" max="516" width="13.0625" bestFit="1" customWidth="1"/>
    <col min="517" max="517" width="13.4375" bestFit="1" customWidth="1"/>
    <col min="518" max="518" width="15.5625" bestFit="1" customWidth="1"/>
    <col min="519" max="519" width="13.4375" bestFit="1" customWidth="1"/>
    <col min="520" max="520" width="16.4375" bestFit="1" customWidth="1"/>
    <col min="521" max="521" width="17.0625" bestFit="1" customWidth="1"/>
    <col min="524" max="524" width="10.1875" bestFit="1" customWidth="1"/>
    <col min="769" max="769" width="16.625" customWidth="1"/>
    <col min="770" max="770" width="7.625" bestFit="1" customWidth="1"/>
    <col min="771" max="771" width="47.625" bestFit="1" customWidth="1"/>
    <col min="772" max="772" width="13.0625" bestFit="1" customWidth="1"/>
    <col min="773" max="773" width="13.4375" bestFit="1" customWidth="1"/>
    <col min="774" max="774" width="15.5625" bestFit="1" customWidth="1"/>
    <col min="775" max="775" width="13.4375" bestFit="1" customWidth="1"/>
    <col min="776" max="776" width="16.4375" bestFit="1" customWidth="1"/>
    <col min="777" max="777" width="17.0625" bestFit="1" customWidth="1"/>
    <col min="780" max="780" width="10.1875" bestFit="1" customWidth="1"/>
    <col min="1025" max="1025" width="16.625" customWidth="1"/>
    <col min="1026" max="1026" width="7.625" bestFit="1" customWidth="1"/>
    <col min="1027" max="1027" width="47.625" bestFit="1" customWidth="1"/>
    <col min="1028" max="1028" width="13.0625" bestFit="1" customWidth="1"/>
    <col min="1029" max="1029" width="13.4375" bestFit="1" customWidth="1"/>
    <col min="1030" max="1030" width="15.5625" bestFit="1" customWidth="1"/>
    <col min="1031" max="1031" width="13.4375" bestFit="1" customWidth="1"/>
    <col min="1032" max="1032" width="16.4375" bestFit="1" customWidth="1"/>
    <col min="1033" max="1033" width="17.0625" bestFit="1" customWidth="1"/>
    <col min="1036" max="1036" width="10.1875" bestFit="1" customWidth="1"/>
    <col min="1281" max="1281" width="16.625" customWidth="1"/>
    <col min="1282" max="1282" width="7.625" bestFit="1" customWidth="1"/>
    <col min="1283" max="1283" width="47.625" bestFit="1" customWidth="1"/>
    <col min="1284" max="1284" width="13.0625" bestFit="1" customWidth="1"/>
    <col min="1285" max="1285" width="13.4375" bestFit="1" customWidth="1"/>
    <col min="1286" max="1286" width="15.5625" bestFit="1" customWidth="1"/>
    <col min="1287" max="1287" width="13.4375" bestFit="1" customWidth="1"/>
    <col min="1288" max="1288" width="16.4375" bestFit="1" customWidth="1"/>
    <col min="1289" max="1289" width="17.0625" bestFit="1" customWidth="1"/>
    <col min="1292" max="1292" width="10.1875" bestFit="1" customWidth="1"/>
    <col min="1537" max="1537" width="16.625" customWidth="1"/>
    <col min="1538" max="1538" width="7.625" bestFit="1" customWidth="1"/>
    <col min="1539" max="1539" width="47.625" bestFit="1" customWidth="1"/>
    <col min="1540" max="1540" width="13.0625" bestFit="1" customWidth="1"/>
    <col min="1541" max="1541" width="13.4375" bestFit="1" customWidth="1"/>
    <col min="1542" max="1542" width="15.5625" bestFit="1" customWidth="1"/>
    <col min="1543" max="1543" width="13.4375" bestFit="1" customWidth="1"/>
    <col min="1544" max="1544" width="16.4375" bestFit="1" customWidth="1"/>
    <col min="1545" max="1545" width="17.0625" bestFit="1" customWidth="1"/>
    <col min="1548" max="1548" width="10.1875" bestFit="1" customWidth="1"/>
    <col min="1793" max="1793" width="16.625" customWidth="1"/>
    <col min="1794" max="1794" width="7.625" bestFit="1" customWidth="1"/>
    <col min="1795" max="1795" width="47.625" bestFit="1" customWidth="1"/>
    <col min="1796" max="1796" width="13.0625" bestFit="1" customWidth="1"/>
    <col min="1797" max="1797" width="13.4375" bestFit="1" customWidth="1"/>
    <col min="1798" max="1798" width="15.5625" bestFit="1" customWidth="1"/>
    <col min="1799" max="1799" width="13.4375" bestFit="1" customWidth="1"/>
    <col min="1800" max="1800" width="16.4375" bestFit="1" customWidth="1"/>
    <col min="1801" max="1801" width="17.0625" bestFit="1" customWidth="1"/>
    <col min="1804" max="1804" width="10.1875" bestFit="1" customWidth="1"/>
    <col min="2049" max="2049" width="16.625" customWidth="1"/>
    <col min="2050" max="2050" width="7.625" bestFit="1" customWidth="1"/>
    <col min="2051" max="2051" width="47.625" bestFit="1" customWidth="1"/>
    <col min="2052" max="2052" width="13.0625" bestFit="1" customWidth="1"/>
    <col min="2053" max="2053" width="13.4375" bestFit="1" customWidth="1"/>
    <col min="2054" max="2054" width="15.5625" bestFit="1" customWidth="1"/>
    <col min="2055" max="2055" width="13.4375" bestFit="1" customWidth="1"/>
    <col min="2056" max="2056" width="16.4375" bestFit="1" customWidth="1"/>
    <col min="2057" max="2057" width="17.0625" bestFit="1" customWidth="1"/>
    <col min="2060" max="2060" width="10.1875" bestFit="1" customWidth="1"/>
    <col min="2305" max="2305" width="16.625" customWidth="1"/>
    <col min="2306" max="2306" width="7.625" bestFit="1" customWidth="1"/>
    <col min="2307" max="2307" width="47.625" bestFit="1" customWidth="1"/>
    <col min="2308" max="2308" width="13.0625" bestFit="1" customWidth="1"/>
    <col min="2309" max="2309" width="13.4375" bestFit="1" customWidth="1"/>
    <col min="2310" max="2310" width="15.5625" bestFit="1" customWidth="1"/>
    <col min="2311" max="2311" width="13.4375" bestFit="1" customWidth="1"/>
    <col min="2312" max="2312" width="16.4375" bestFit="1" customWidth="1"/>
    <col min="2313" max="2313" width="17.0625" bestFit="1" customWidth="1"/>
    <col min="2316" max="2316" width="10.1875" bestFit="1" customWidth="1"/>
    <col min="2561" max="2561" width="16.625" customWidth="1"/>
    <col min="2562" max="2562" width="7.625" bestFit="1" customWidth="1"/>
    <col min="2563" max="2563" width="47.625" bestFit="1" customWidth="1"/>
    <col min="2564" max="2564" width="13.0625" bestFit="1" customWidth="1"/>
    <col min="2565" max="2565" width="13.4375" bestFit="1" customWidth="1"/>
    <col min="2566" max="2566" width="15.5625" bestFit="1" customWidth="1"/>
    <col min="2567" max="2567" width="13.4375" bestFit="1" customWidth="1"/>
    <col min="2568" max="2568" width="16.4375" bestFit="1" customWidth="1"/>
    <col min="2569" max="2569" width="17.0625" bestFit="1" customWidth="1"/>
    <col min="2572" max="2572" width="10.1875" bestFit="1" customWidth="1"/>
    <col min="2817" max="2817" width="16.625" customWidth="1"/>
    <col min="2818" max="2818" width="7.625" bestFit="1" customWidth="1"/>
    <col min="2819" max="2819" width="47.625" bestFit="1" customWidth="1"/>
    <col min="2820" max="2820" width="13.0625" bestFit="1" customWidth="1"/>
    <col min="2821" max="2821" width="13.4375" bestFit="1" customWidth="1"/>
    <col min="2822" max="2822" width="15.5625" bestFit="1" customWidth="1"/>
    <col min="2823" max="2823" width="13.4375" bestFit="1" customWidth="1"/>
    <col min="2824" max="2824" width="16.4375" bestFit="1" customWidth="1"/>
    <col min="2825" max="2825" width="17.0625" bestFit="1" customWidth="1"/>
    <col min="2828" max="2828" width="10.1875" bestFit="1" customWidth="1"/>
    <col min="3073" max="3073" width="16.625" customWidth="1"/>
    <col min="3074" max="3074" width="7.625" bestFit="1" customWidth="1"/>
    <col min="3075" max="3075" width="47.625" bestFit="1" customWidth="1"/>
    <col min="3076" max="3076" width="13.0625" bestFit="1" customWidth="1"/>
    <col min="3077" max="3077" width="13.4375" bestFit="1" customWidth="1"/>
    <col min="3078" max="3078" width="15.5625" bestFit="1" customWidth="1"/>
    <col min="3079" max="3079" width="13.4375" bestFit="1" customWidth="1"/>
    <col min="3080" max="3080" width="16.4375" bestFit="1" customWidth="1"/>
    <col min="3081" max="3081" width="17.0625" bestFit="1" customWidth="1"/>
    <col min="3084" max="3084" width="10.1875" bestFit="1" customWidth="1"/>
    <col min="3329" max="3329" width="16.625" customWidth="1"/>
    <col min="3330" max="3330" width="7.625" bestFit="1" customWidth="1"/>
    <col min="3331" max="3331" width="47.625" bestFit="1" customWidth="1"/>
    <col min="3332" max="3332" width="13.0625" bestFit="1" customWidth="1"/>
    <col min="3333" max="3333" width="13.4375" bestFit="1" customWidth="1"/>
    <col min="3334" max="3334" width="15.5625" bestFit="1" customWidth="1"/>
    <col min="3335" max="3335" width="13.4375" bestFit="1" customWidth="1"/>
    <col min="3336" max="3336" width="16.4375" bestFit="1" customWidth="1"/>
    <col min="3337" max="3337" width="17.0625" bestFit="1" customWidth="1"/>
    <col min="3340" max="3340" width="10.1875" bestFit="1" customWidth="1"/>
    <col min="3585" max="3585" width="16.625" customWidth="1"/>
    <col min="3586" max="3586" width="7.625" bestFit="1" customWidth="1"/>
    <col min="3587" max="3587" width="47.625" bestFit="1" customWidth="1"/>
    <col min="3588" max="3588" width="13.0625" bestFit="1" customWidth="1"/>
    <col min="3589" max="3589" width="13.4375" bestFit="1" customWidth="1"/>
    <col min="3590" max="3590" width="15.5625" bestFit="1" customWidth="1"/>
    <col min="3591" max="3591" width="13.4375" bestFit="1" customWidth="1"/>
    <col min="3592" max="3592" width="16.4375" bestFit="1" customWidth="1"/>
    <col min="3593" max="3593" width="17.0625" bestFit="1" customWidth="1"/>
    <col min="3596" max="3596" width="10.1875" bestFit="1" customWidth="1"/>
    <col min="3841" max="3841" width="16.625" customWidth="1"/>
    <col min="3842" max="3842" width="7.625" bestFit="1" customWidth="1"/>
    <col min="3843" max="3843" width="47.625" bestFit="1" customWidth="1"/>
    <col min="3844" max="3844" width="13.0625" bestFit="1" customWidth="1"/>
    <col min="3845" max="3845" width="13.4375" bestFit="1" customWidth="1"/>
    <col min="3846" max="3846" width="15.5625" bestFit="1" customWidth="1"/>
    <col min="3847" max="3847" width="13.4375" bestFit="1" customWidth="1"/>
    <col min="3848" max="3848" width="16.4375" bestFit="1" customWidth="1"/>
    <col min="3849" max="3849" width="17.0625" bestFit="1" customWidth="1"/>
    <col min="3852" max="3852" width="10.1875" bestFit="1" customWidth="1"/>
    <col min="4097" max="4097" width="16.625" customWidth="1"/>
    <col min="4098" max="4098" width="7.625" bestFit="1" customWidth="1"/>
    <col min="4099" max="4099" width="47.625" bestFit="1" customWidth="1"/>
    <col min="4100" max="4100" width="13.0625" bestFit="1" customWidth="1"/>
    <col min="4101" max="4101" width="13.4375" bestFit="1" customWidth="1"/>
    <col min="4102" max="4102" width="15.5625" bestFit="1" customWidth="1"/>
    <col min="4103" max="4103" width="13.4375" bestFit="1" customWidth="1"/>
    <col min="4104" max="4104" width="16.4375" bestFit="1" customWidth="1"/>
    <col min="4105" max="4105" width="17.0625" bestFit="1" customWidth="1"/>
    <col min="4108" max="4108" width="10.1875" bestFit="1" customWidth="1"/>
    <col min="4353" max="4353" width="16.625" customWidth="1"/>
    <col min="4354" max="4354" width="7.625" bestFit="1" customWidth="1"/>
    <col min="4355" max="4355" width="47.625" bestFit="1" customWidth="1"/>
    <col min="4356" max="4356" width="13.0625" bestFit="1" customWidth="1"/>
    <col min="4357" max="4357" width="13.4375" bestFit="1" customWidth="1"/>
    <col min="4358" max="4358" width="15.5625" bestFit="1" customWidth="1"/>
    <col min="4359" max="4359" width="13.4375" bestFit="1" customWidth="1"/>
    <col min="4360" max="4360" width="16.4375" bestFit="1" customWidth="1"/>
    <col min="4361" max="4361" width="17.0625" bestFit="1" customWidth="1"/>
    <col min="4364" max="4364" width="10.1875" bestFit="1" customWidth="1"/>
    <col min="4609" max="4609" width="16.625" customWidth="1"/>
    <col min="4610" max="4610" width="7.625" bestFit="1" customWidth="1"/>
    <col min="4611" max="4611" width="47.625" bestFit="1" customWidth="1"/>
    <col min="4612" max="4612" width="13.0625" bestFit="1" customWidth="1"/>
    <col min="4613" max="4613" width="13.4375" bestFit="1" customWidth="1"/>
    <col min="4614" max="4614" width="15.5625" bestFit="1" customWidth="1"/>
    <col min="4615" max="4615" width="13.4375" bestFit="1" customWidth="1"/>
    <col min="4616" max="4616" width="16.4375" bestFit="1" customWidth="1"/>
    <col min="4617" max="4617" width="17.0625" bestFit="1" customWidth="1"/>
    <col min="4620" max="4620" width="10.1875" bestFit="1" customWidth="1"/>
    <col min="4865" max="4865" width="16.625" customWidth="1"/>
    <col min="4866" max="4866" width="7.625" bestFit="1" customWidth="1"/>
    <col min="4867" max="4867" width="47.625" bestFit="1" customWidth="1"/>
    <col min="4868" max="4868" width="13.0625" bestFit="1" customWidth="1"/>
    <col min="4869" max="4869" width="13.4375" bestFit="1" customWidth="1"/>
    <col min="4870" max="4870" width="15.5625" bestFit="1" customWidth="1"/>
    <col min="4871" max="4871" width="13.4375" bestFit="1" customWidth="1"/>
    <col min="4872" max="4872" width="16.4375" bestFit="1" customWidth="1"/>
    <col min="4873" max="4873" width="17.0625" bestFit="1" customWidth="1"/>
    <col min="4876" max="4876" width="10.1875" bestFit="1" customWidth="1"/>
    <col min="5121" max="5121" width="16.625" customWidth="1"/>
    <col min="5122" max="5122" width="7.625" bestFit="1" customWidth="1"/>
    <col min="5123" max="5123" width="47.625" bestFit="1" customWidth="1"/>
    <col min="5124" max="5124" width="13.0625" bestFit="1" customWidth="1"/>
    <col min="5125" max="5125" width="13.4375" bestFit="1" customWidth="1"/>
    <col min="5126" max="5126" width="15.5625" bestFit="1" customWidth="1"/>
    <col min="5127" max="5127" width="13.4375" bestFit="1" customWidth="1"/>
    <col min="5128" max="5128" width="16.4375" bestFit="1" customWidth="1"/>
    <col min="5129" max="5129" width="17.0625" bestFit="1" customWidth="1"/>
    <col min="5132" max="5132" width="10.1875" bestFit="1" customWidth="1"/>
    <col min="5377" max="5377" width="16.625" customWidth="1"/>
    <col min="5378" max="5378" width="7.625" bestFit="1" customWidth="1"/>
    <col min="5379" max="5379" width="47.625" bestFit="1" customWidth="1"/>
    <col min="5380" max="5380" width="13.0625" bestFit="1" customWidth="1"/>
    <col min="5381" max="5381" width="13.4375" bestFit="1" customWidth="1"/>
    <col min="5382" max="5382" width="15.5625" bestFit="1" customWidth="1"/>
    <col min="5383" max="5383" width="13.4375" bestFit="1" customWidth="1"/>
    <col min="5384" max="5384" width="16.4375" bestFit="1" customWidth="1"/>
    <col min="5385" max="5385" width="17.0625" bestFit="1" customWidth="1"/>
    <col min="5388" max="5388" width="10.1875" bestFit="1" customWidth="1"/>
    <col min="5633" max="5633" width="16.625" customWidth="1"/>
    <col min="5634" max="5634" width="7.625" bestFit="1" customWidth="1"/>
    <col min="5635" max="5635" width="47.625" bestFit="1" customWidth="1"/>
    <col min="5636" max="5636" width="13.0625" bestFit="1" customWidth="1"/>
    <col min="5637" max="5637" width="13.4375" bestFit="1" customWidth="1"/>
    <col min="5638" max="5638" width="15.5625" bestFit="1" customWidth="1"/>
    <col min="5639" max="5639" width="13.4375" bestFit="1" customWidth="1"/>
    <col min="5640" max="5640" width="16.4375" bestFit="1" customWidth="1"/>
    <col min="5641" max="5641" width="17.0625" bestFit="1" customWidth="1"/>
    <col min="5644" max="5644" width="10.1875" bestFit="1" customWidth="1"/>
    <col min="5889" max="5889" width="16.625" customWidth="1"/>
    <col min="5890" max="5890" width="7.625" bestFit="1" customWidth="1"/>
    <col min="5891" max="5891" width="47.625" bestFit="1" customWidth="1"/>
    <col min="5892" max="5892" width="13.0625" bestFit="1" customWidth="1"/>
    <col min="5893" max="5893" width="13.4375" bestFit="1" customWidth="1"/>
    <col min="5894" max="5894" width="15.5625" bestFit="1" customWidth="1"/>
    <col min="5895" max="5895" width="13.4375" bestFit="1" customWidth="1"/>
    <col min="5896" max="5896" width="16.4375" bestFit="1" customWidth="1"/>
    <col min="5897" max="5897" width="17.0625" bestFit="1" customWidth="1"/>
    <col min="5900" max="5900" width="10.1875" bestFit="1" customWidth="1"/>
    <col min="6145" max="6145" width="16.625" customWidth="1"/>
    <col min="6146" max="6146" width="7.625" bestFit="1" customWidth="1"/>
    <col min="6147" max="6147" width="47.625" bestFit="1" customWidth="1"/>
    <col min="6148" max="6148" width="13.0625" bestFit="1" customWidth="1"/>
    <col min="6149" max="6149" width="13.4375" bestFit="1" customWidth="1"/>
    <col min="6150" max="6150" width="15.5625" bestFit="1" customWidth="1"/>
    <col min="6151" max="6151" width="13.4375" bestFit="1" customWidth="1"/>
    <col min="6152" max="6152" width="16.4375" bestFit="1" customWidth="1"/>
    <col min="6153" max="6153" width="17.0625" bestFit="1" customWidth="1"/>
    <col min="6156" max="6156" width="10.1875" bestFit="1" customWidth="1"/>
    <col min="6401" max="6401" width="16.625" customWidth="1"/>
    <col min="6402" max="6402" width="7.625" bestFit="1" customWidth="1"/>
    <col min="6403" max="6403" width="47.625" bestFit="1" customWidth="1"/>
    <col min="6404" max="6404" width="13.0625" bestFit="1" customWidth="1"/>
    <col min="6405" max="6405" width="13.4375" bestFit="1" customWidth="1"/>
    <col min="6406" max="6406" width="15.5625" bestFit="1" customWidth="1"/>
    <col min="6407" max="6407" width="13.4375" bestFit="1" customWidth="1"/>
    <col min="6408" max="6408" width="16.4375" bestFit="1" customWidth="1"/>
    <col min="6409" max="6409" width="17.0625" bestFit="1" customWidth="1"/>
    <col min="6412" max="6412" width="10.1875" bestFit="1" customWidth="1"/>
    <col min="6657" max="6657" width="16.625" customWidth="1"/>
    <col min="6658" max="6658" width="7.625" bestFit="1" customWidth="1"/>
    <col min="6659" max="6659" width="47.625" bestFit="1" customWidth="1"/>
    <col min="6660" max="6660" width="13.0625" bestFit="1" customWidth="1"/>
    <col min="6661" max="6661" width="13.4375" bestFit="1" customWidth="1"/>
    <col min="6662" max="6662" width="15.5625" bestFit="1" customWidth="1"/>
    <col min="6663" max="6663" width="13.4375" bestFit="1" customWidth="1"/>
    <col min="6664" max="6664" width="16.4375" bestFit="1" customWidth="1"/>
    <col min="6665" max="6665" width="17.0625" bestFit="1" customWidth="1"/>
    <col min="6668" max="6668" width="10.1875" bestFit="1" customWidth="1"/>
    <col min="6913" max="6913" width="16.625" customWidth="1"/>
    <col min="6914" max="6914" width="7.625" bestFit="1" customWidth="1"/>
    <col min="6915" max="6915" width="47.625" bestFit="1" customWidth="1"/>
    <col min="6916" max="6916" width="13.0625" bestFit="1" customWidth="1"/>
    <col min="6917" max="6917" width="13.4375" bestFit="1" customWidth="1"/>
    <col min="6918" max="6918" width="15.5625" bestFit="1" customWidth="1"/>
    <col min="6919" max="6919" width="13.4375" bestFit="1" customWidth="1"/>
    <col min="6920" max="6920" width="16.4375" bestFit="1" customWidth="1"/>
    <col min="6921" max="6921" width="17.0625" bestFit="1" customWidth="1"/>
    <col min="6924" max="6924" width="10.1875" bestFit="1" customWidth="1"/>
    <col min="7169" max="7169" width="16.625" customWidth="1"/>
    <col min="7170" max="7170" width="7.625" bestFit="1" customWidth="1"/>
    <col min="7171" max="7171" width="47.625" bestFit="1" customWidth="1"/>
    <col min="7172" max="7172" width="13.0625" bestFit="1" customWidth="1"/>
    <col min="7173" max="7173" width="13.4375" bestFit="1" customWidth="1"/>
    <col min="7174" max="7174" width="15.5625" bestFit="1" customWidth="1"/>
    <col min="7175" max="7175" width="13.4375" bestFit="1" customWidth="1"/>
    <col min="7176" max="7176" width="16.4375" bestFit="1" customWidth="1"/>
    <col min="7177" max="7177" width="17.0625" bestFit="1" customWidth="1"/>
    <col min="7180" max="7180" width="10.1875" bestFit="1" customWidth="1"/>
    <col min="7425" max="7425" width="16.625" customWidth="1"/>
    <col min="7426" max="7426" width="7.625" bestFit="1" customWidth="1"/>
    <col min="7427" max="7427" width="47.625" bestFit="1" customWidth="1"/>
    <col min="7428" max="7428" width="13.0625" bestFit="1" customWidth="1"/>
    <col min="7429" max="7429" width="13.4375" bestFit="1" customWidth="1"/>
    <col min="7430" max="7430" width="15.5625" bestFit="1" customWidth="1"/>
    <col min="7431" max="7431" width="13.4375" bestFit="1" customWidth="1"/>
    <col min="7432" max="7432" width="16.4375" bestFit="1" customWidth="1"/>
    <col min="7433" max="7433" width="17.0625" bestFit="1" customWidth="1"/>
    <col min="7436" max="7436" width="10.1875" bestFit="1" customWidth="1"/>
    <col min="7681" max="7681" width="16.625" customWidth="1"/>
    <col min="7682" max="7682" width="7.625" bestFit="1" customWidth="1"/>
    <col min="7683" max="7683" width="47.625" bestFit="1" customWidth="1"/>
    <col min="7684" max="7684" width="13.0625" bestFit="1" customWidth="1"/>
    <col min="7685" max="7685" width="13.4375" bestFit="1" customWidth="1"/>
    <col min="7686" max="7686" width="15.5625" bestFit="1" customWidth="1"/>
    <col min="7687" max="7687" width="13.4375" bestFit="1" customWidth="1"/>
    <col min="7688" max="7688" width="16.4375" bestFit="1" customWidth="1"/>
    <col min="7689" max="7689" width="17.0625" bestFit="1" customWidth="1"/>
    <col min="7692" max="7692" width="10.1875" bestFit="1" customWidth="1"/>
    <col min="7937" max="7937" width="16.625" customWidth="1"/>
    <col min="7938" max="7938" width="7.625" bestFit="1" customWidth="1"/>
    <col min="7939" max="7939" width="47.625" bestFit="1" customWidth="1"/>
    <col min="7940" max="7940" width="13.0625" bestFit="1" customWidth="1"/>
    <col min="7941" max="7941" width="13.4375" bestFit="1" customWidth="1"/>
    <col min="7942" max="7942" width="15.5625" bestFit="1" customWidth="1"/>
    <col min="7943" max="7943" width="13.4375" bestFit="1" customWidth="1"/>
    <col min="7944" max="7944" width="16.4375" bestFit="1" customWidth="1"/>
    <col min="7945" max="7945" width="17.0625" bestFit="1" customWidth="1"/>
    <col min="7948" max="7948" width="10.1875" bestFit="1" customWidth="1"/>
    <col min="8193" max="8193" width="16.625" customWidth="1"/>
    <col min="8194" max="8194" width="7.625" bestFit="1" customWidth="1"/>
    <col min="8195" max="8195" width="47.625" bestFit="1" customWidth="1"/>
    <col min="8196" max="8196" width="13.0625" bestFit="1" customWidth="1"/>
    <col min="8197" max="8197" width="13.4375" bestFit="1" customWidth="1"/>
    <col min="8198" max="8198" width="15.5625" bestFit="1" customWidth="1"/>
    <col min="8199" max="8199" width="13.4375" bestFit="1" customWidth="1"/>
    <col min="8200" max="8200" width="16.4375" bestFit="1" customWidth="1"/>
    <col min="8201" max="8201" width="17.0625" bestFit="1" customWidth="1"/>
    <col min="8204" max="8204" width="10.1875" bestFit="1" customWidth="1"/>
    <col min="8449" max="8449" width="16.625" customWidth="1"/>
    <col min="8450" max="8450" width="7.625" bestFit="1" customWidth="1"/>
    <col min="8451" max="8451" width="47.625" bestFit="1" customWidth="1"/>
    <col min="8452" max="8452" width="13.0625" bestFit="1" customWidth="1"/>
    <col min="8453" max="8453" width="13.4375" bestFit="1" customWidth="1"/>
    <col min="8454" max="8454" width="15.5625" bestFit="1" customWidth="1"/>
    <col min="8455" max="8455" width="13.4375" bestFit="1" customWidth="1"/>
    <col min="8456" max="8456" width="16.4375" bestFit="1" customWidth="1"/>
    <col min="8457" max="8457" width="17.0625" bestFit="1" customWidth="1"/>
    <col min="8460" max="8460" width="10.1875" bestFit="1" customWidth="1"/>
    <col min="8705" max="8705" width="16.625" customWidth="1"/>
    <col min="8706" max="8706" width="7.625" bestFit="1" customWidth="1"/>
    <col min="8707" max="8707" width="47.625" bestFit="1" customWidth="1"/>
    <col min="8708" max="8708" width="13.0625" bestFit="1" customWidth="1"/>
    <col min="8709" max="8709" width="13.4375" bestFit="1" customWidth="1"/>
    <col min="8710" max="8710" width="15.5625" bestFit="1" customWidth="1"/>
    <col min="8711" max="8711" width="13.4375" bestFit="1" customWidth="1"/>
    <col min="8712" max="8712" width="16.4375" bestFit="1" customWidth="1"/>
    <col min="8713" max="8713" width="17.0625" bestFit="1" customWidth="1"/>
    <col min="8716" max="8716" width="10.1875" bestFit="1" customWidth="1"/>
    <col min="8961" max="8961" width="16.625" customWidth="1"/>
    <col min="8962" max="8962" width="7.625" bestFit="1" customWidth="1"/>
    <col min="8963" max="8963" width="47.625" bestFit="1" customWidth="1"/>
    <col min="8964" max="8964" width="13.0625" bestFit="1" customWidth="1"/>
    <col min="8965" max="8965" width="13.4375" bestFit="1" customWidth="1"/>
    <col min="8966" max="8966" width="15.5625" bestFit="1" customWidth="1"/>
    <col min="8967" max="8967" width="13.4375" bestFit="1" customWidth="1"/>
    <col min="8968" max="8968" width="16.4375" bestFit="1" customWidth="1"/>
    <col min="8969" max="8969" width="17.0625" bestFit="1" customWidth="1"/>
    <col min="8972" max="8972" width="10.1875" bestFit="1" customWidth="1"/>
    <col min="9217" max="9217" width="16.625" customWidth="1"/>
    <col min="9218" max="9218" width="7.625" bestFit="1" customWidth="1"/>
    <col min="9219" max="9219" width="47.625" bestFit="1" customWidth="1"/>
    <col min="9220" max="9220" width="13.0625" bestFit="1" customWidth="1"/>
    <col min="9221" max="9221" width="13.4375" bestFit="1" customWidth="1"/>
    <col min="9222" max="9222" width="15.5625" bestFit="1" customWidth="1"/>
    <col min="9223" max="9223" width="13.4375" bestFit="1" customWidth="1"/>
    <col min="9224" max="9224" width="16.4375" bestFit="1" customWidth="1"/>
    <col min="9225" max="9225" width="17.0625" bestFit="1" customWidth="1"/>
    <col min="9228" max="9228" width="10.1875" bestFit="1" customWidth="1"/>
    <col min="9473" max="9473" width="16.625" customWidth="1"/>
    <col min="9474" max="9474" width="7.625" bestFit="1" customWidth="1"/>
    <col min="9475" max="9475" width="47.625" bestFit="1" customWidth="1"/>
    <col min="9476" max="9476" width="13.0625" bestFit="1" customWidth="1"/>
    <col min="9477" max="9477" width="13.4375" bestFit="1" customWidth="1"/>
    <col min="9478" max="9478" width="15.5625" bestFit="1" customWidth="1"/>
    <col min="9479" max="9479" width="13.4375" bestFit="1" customWidth="1"/>
    <col min="9480" max="9480" width="16.4375" bestFit="1" customWidth="1"/>
    <col min="9481" max="9481" width="17.0625" bestFit="1" customWidth="1"/>
    <col min="9484" max="9484" width="10.1875" bestFit="1" customWidth="1"/>
    <col min="9729" max="9729" width="16.625" customWidth="1"/>
    <col min="9730" max="9730" width="7.625" bestFit="1" customWidth="1"/>
    <col min="9731" max="9731" width="47.625" bestFit="1" customWidth="1"/>
    <col min="9732" max="9732" width="13.0625" bestFit="1" customWidth="1"/>
    <col min="9733" max="9733" width="13.4375" bestFit="1" customWidth="1"/>
    <col min="9734" max="9734" width="15.5625" bestFit="1" customWidth="1"/>
    <col min="9735" max="9735" width="13.4375" bestFit="1" customWidth="1"/>
    <col min="9736" max="9736" width="16.4375" bestFit="1" customWidth="1"/>
    <col min="9737" max="9737" width="17.0625" bestFit="1" customWidth="1"/>
    <col min="9740" max="9740" width="10.1875" bestFit="1" customWidth="1"/>
    <col min="9985" max="9985" width="16.625" customWidth="1"/>
    <col min="9986" max="9986" width="7.625" bestFit="1" customWidth="1"/>
    <col min="9987" max="9987" width="47.625" bestFit="1" customWidth="1"/>
    <col min="9988" max="9988" width="13.0625" bestFit="1" customWidth="1"/>
    <col min="9989" max="9989" width="13.4375" bestFit="1" customWidth="1"/>
    <col min="9990" max="9990" width="15.5625" bestFit="1" customWidth="1"/>
    <col min="9991" max="9991" width="13.4375" bestFit="1" customWidth="1"/>
    <col min="9992" max="9992" width="16.4375" bestFit="1" customWidth="1"/>
    <col min="9993" max="9993" width="17.0625" bestFit="1" customWidth="1"/>
    <col min="9996" max="9996" width="10.1875" bestFit="1" customWidth="1"/>
    <col min="10241" max="10241" width="16.625" customWidth="1"/>
    <col min="10242" max="10242" width="7.625" bestFit="1" customWidth="1"/>
    <col min="10243" max="10243" width="47.625" bestFit="1" customWidth="1"/>
    <col min="10244" max="10244" width="13.0625" bestFit="1" customWidth="1"/>
    <col min="10245" max="10245" width="13.4375" bestFit="1" customWidth="1"/>
    <col min="10246" max="10246" width="15.5625" bestFit="1" customWidth="1"/>
    <col min="10247" max="10247" width="13.4375" bestFit="1" customWidth="1"/>
    <col min="10248" max="10248" width="16.4375" bestFit="1" customWidth="1"/>
    <col min="10249" max="10249" width="17.0625" bestFit="1" customWidth="1"/>
    <col min="10252" max="10252" width="10.1875" bestFit="1" customWidth="1"/>
    <col min="10497" max="10497" width="16.625" customWidth="1"/>
    <col min="10498" max="10498" width="7.625" bestFit="1" customWidth="1"/>
    <col min="10499" max="10499" width="47.625" bestFit="1" customWidth="1"/>
    <col min="10500" max="10500" width="13.0625" bestFit="1" customWidth="1"/>
    <col min="10501" max="10501" width="13.4375" bestFit="1" customWidth="1"/>
    <col min="10502" max="10502" width="15.5625" bestFit="1" customWidth="1"/>
    <col min="10503" max="10503" width="13.4375" bestFit="1" customWidth="1"/>
    <col min="10504" max="10504" width="16.4375" bestFit="1" customWidth="1"/>
    <col min="10505" max="10505" width="17.0625" bestFit="1" customWidth="1"/>
    <col min="10508" max="10508" width="10.1875" bestFit="1" customWidth="1"/>
    <col min="10753" max="10753" width="16.625" customWidth="1"/>
    <col min="10754" max="10754" width="7.625" bestFit="1" customWidth="1"/>
    <col min="10755" max="10755" width="47.625" bestFit="1" customWidth="1"/>
    <col min="10756" max="10756" width="13.0625" bestFit="1" customWidth="1"/>
    <col min="10757" max="10757" width="13.4375" bestFit="1" customWidth="1"/>
    <col min="10758" max="10758" width="15.5625" bestFit="1" customWidth="1"/>
    <col min="10759" max="10759" width="13.4375" bestFit="1" customWidth="1"/>
    <col min="10760" max="10760" width="16.4375" bestFit="1" customWidth="1"/>
    <col min="10761" max="10761" width="17.0625" bestFit="1" customWidth="1"/>
    <col min="10764" max="10764" width="10.1875" bestFit="1" customWidth="1"/>
    <col min="11009" max="11009" width="16.625" customWidth="1"/>
    <col min="11010" max="11010" width="7.625" bestFit="1" customWidth="1"/>
    <col min="11011" max="11011" width="47.625" bestFit="1" customWidth="1"/>
    <col min="11012" max="11012" width="13.0625" bestFit="1" customWidth="1"/>
    <col min="11013" max="11013" width="13.4375" bestFit="1" customWidth="1"/>
    <col min="11014" max="11014" width="15.5625" bestFit="1" customWidth="1"/>
    <col min="11015" max="11015" width="13.4375" bestFit="1" customWidth="1"/>
    <col min="11016" max="11016" width="16.4375" bestFit="1" customWidth="1"/>
    <col min="11017" max="11017" width="17.0625" bestFit="1" customWidth="1"/>
    <col min="11020" max="11020" width="10.1875" bestFit="1" customWidth="1"/>
    <col min="11265" max="11265" width="16.625" customWidth="1"/>
    <col min="11266" max="11266" width="7.625" bestFit="1" customWidth="1"/>
    <col min="11267" max="11267" width="47.625" bestFit="1" customWidth="1"/>
    <col min="11268" max="11268" width="13.0625" bestFit="1" customWidth="1"/>
    <col min="11269" max="11269" width="13.4375" bestFit="1" customWidth="1"/>
    <col min="11270" max="11270" width="15.5625" bestFit="1" customWidth="1"/>
    <col min="11271" max="11271" width="13.4375" bestFit="1" customWidth="1"/>
    <col min="11272" max="11272" width="16.4375" bestFit="1" customWidth="1"/>
    <col min="11273" max="11273" width="17.0625" bestFit="1" customWidth="1"/>
    <col min="11276" max="11276" width="10.1875" bestFit="1" customWidth="1"/>
    <col min="11521" max="11521" width="16.625" customWidth="1"/>
    <col min="11522" max="11522" width="7.625" bestFit="1" customWidth="1"/>
    <col min="11523" max="11523" width="47.625" bestFit="1" customWidth="1"/>
    <col min="11524" max="11524" width="13.0625" bestFit="1" customWidth="1"/>
    <col min="11525" max="11525" width="13.4375" bestFit="1" customWidth="1"/>
    <col min="11526" max="11526" width="15.5625" bestFit="1" customWidth="1"/>
    <col min="11527" max="11527" width="13.4375" bestFit="1" customWidth="1"/>
    <col min="11528" max="11528" width="16.4375" bestFit="1" customWidth="1"/>
    <col min="11529" max="11529" width="17.0625" bestFit="1" customWidth="1"/>
    <col min="11532" max="11532" width="10.1875" bestFit="1" customWidth="1"/>
    <col min="11777" max="11777" width="16.625" customWidth="1"/>
    <col min="11778" max="11778" width="7.625" bestFit="1" customWidth="1"/>
    <col min="11779" max="11779" width="47.625" bestFit="1" customWidth="1"/>
    <col min="11780" max="11780" width="13.0625" bestFit="1" customWidth="1"/>
    <col min="11781" max="11781" width="13.4375" bestFit="1" customWidth="1"/>
    <col min="11782" max="11782" width="15.5625" bestFit="1" customWidth="1"/>
    <col min="11783" max="11783" width="13.4375" bestFit="1" customWidth="1"/>
    <col min="11784" max="11784" width="16.4375" bestFit="1" customWidth="1"/>
    <col min="11785" max="11785" width="17.0625" bestFit="1" customWidth="1"/>
    <col min="11788" max="11788" width="10.1875" bestFit="1" customWidth="1"/>
    <col min="12033" max="12033" width="16.625" customWidth="1"/>
    <col min="12034" max="12034" width="7.625" bestFit="1" customWidth="1"/>
    <col min="12035" max="12035" width="47.625" bestFit="1" customWidth="1"/>
    <col min="12036" max="12036" width="13.0625" bestFit="1" customWidth="1"/>
    <col min="12037" max="12037" width="13.4375" bestFit="1" customWidth="1"/>
    <col min="12038" max="12038" width="15.5625" bestFit="1" customWidth="1"/>
    <col min="12039" max="12039" width="13.4375" bestFit="1" customWidth="1"/>
    <col min="12040" max="12040" width="16.4375" bestFit="1" customWidth="1"/>
    <col min="12041" max="12041" width="17.0625" bestFit="1" customWidth="1"/>
    <col min="12044" max="12044" width="10.1875" bestFit="1" customWidth="1"/>
    <col min="12289" max="12289" width="16.625" customWidth="1"/>
    <col min="12290" max="12290" width="7.625" bestFit="1" customWidth="1"/>
    <col min="12291" max="12291" width="47.625" bestFit="1" customWidth="1"/>
    <col min="12292" max="12292" width="13.0625" bestFit="1" customWidth="1"/>
    <col min="12293" max="12293" width="13.4375" bestFit="1" customWidth="1"/>
    <col min="12294" max="12294" width="15.5625" bestFit="1" customWidth="1"/>
    <col min="12295" max="12295" width="13.4375" bestFit="1" customWidth="1"/>
    <col min="12296" max="12296" width="16.4375" bestFit="1" customWidth="1"/>
    <col min="12297" max="12297" width="17.0625" bestFit="1" customWidth="1"/>
    <col min="12300" max="12300" width="10.1875" bestFit="1" customWidth="1"/>
    <col min="12545" max="12545" width="16.625" customWidth="1"/>
    <col min="12546" max="12546" width="7.625" bestFit="1" customWidth="1"/>
    <col min="12547" max="12547" width="47.625" bestFit="1" customWidth="1"/>
    <col min="12548" max="12548" width="13.0625" bestFit="1" customWidth="1"/>
    <col min="12549" max="12549" width="13.4375" bestFit="1" customWidth="1"/>
    <col min="12550" max="12550" width="15.5625" bestFit="1" customWidth="1"/>
    <col min="12551" max="12551" width="13.4375" bestFit="1" customWidth="1"/>
    <col min="12552" max="12552" width="16.4375" bestFit="1" customWidth="1"/>
    <col min="12553" max="12553" width="17.0625" bestFit="1" customWidth="1"/>
    <col min="12556" max="12556" width="10.1875" bestFit="1" customWidth="1"/>
    <col min="12801" max="12801" width="16.625" customWidth="1"/>
    <col min="12802" max="12802" width="7.625" bestFit="1" customWidth="1"/>
    <col min="12803" max="12803" width="47.625" bestFit="1" customWidth="1"/>
    <col min="12804" max="12804" width="13.0625" bestFit="1" customWidth="1"/>
    <col min="12805" max="12805" width="13.4375" bestFit="1" customWidth="1"/>
    <col min="12806" max="12806" width="15.5625" bestFit="1" customWidth="1"/>
    <col min="12807" max="12807" width="13.4375" bestFit="1" customWidth="1"/>
    <col min="12808" max="12808" width="16.4375" bestFit="1" customWidth="1"/>
    <col min="12809" max="12809" width="17.0625" bestFit="1" customWidth="1"/>
    <col min="12812" max="12812" width="10.1875" bestFit="1" customWidth="1"/>
    <col min="13057" max="13057" width="16.625" customWidth="1"/>
    <col min="13058" max="13058" width="7.625" bestFit="1" customWidth="1"/>
    <col min="13059" max="13059" width="47.625" bestFit="1" customWidth="1"/>
    <col min="13060" max="13060" width="13.0625" bestFit="1" customWidth="1"/>
    <col min="13061" max="13061" width="13.4375" bestFit="1" customWidth="1"/>
    <col min="13062" max="13062" width="15.5625" bestFit="1" customWidth="1"/>
    <col min="13063" max="13063" width="13.4375" bestFit="1" customWidth="1"/>
    <col min="13064" max="13064" width="16.4375" bestFit="1" customWidth="1"/>
    <col min="13065" max="13065" width="17.0625" bestFit="1" customWidth="1"/>
    <col min="13068" max="13068" width="10.1875" bestFit="1" customWidth="1"/>
    <col min="13313" max="13313" width="16.625" customWidth="1"/>
    <col min="13314" max="13314" width="7.625" bestFit="1" customWidth="1"/>
    <col min="13315" max="13315" width="47.625" bestFit="1" customWidth="1"/>
    <col min="13316" max="13316" width="13.0625" bestFit="1" customWidth="1"/>
    <col min="13317" max="13317" width="13.4375" bestFit="1" customWidth="1"/>
    <col min="13318" max="13318" width="15.5625" bestFit="1" customWidth="1"/>
    <col min="13319" max="13319" width="13.4375" bestFit="1" customWidth="1"/>
    <col min="13320" max="13320" width="16.4375" bestFit="1" customWidth="1"/>
    <col min="13321" max="13321" width="17.0625" bestFit="1" customWidth="1"/>
    <col min="13324" max="13324" width="10.1875" bestFit="1" customWidth="1"/>
    <col min="13569" max="13569" width="16.625" customWidth="1"/>
    <col min="13570" max="13570" width="7.625" bestFit="1" customWidth="1"/>
    <col min="13571" max="13571" width="47.625" bestFit="1" customWidth="1"/>
    <col min="13572" max="13572" width="13.0625" bestFit="1" customWidth="1"/>
    <col min="13573" max="13573" width="13.4375" bestFit="1" customWidth="1"/>
    <col min="13574" max="13574" width="15.5625" bestFit="1" customWidth="1"/>
    <col min="13575" max="13575" width="13.4375" bestFit="1" customWidth="1"/>
    <col min="13576" max="13576" width="16.4375" bestFit="1" customWidth="1"/>
    <col min="13577" max="13577" width="17.0625" bestFit="1" customWidth="1"/>
    <col min="13580" max="13580" width="10.1875" bestFit="1" customWidth="1"/>
    <col min="13825" max="13825" width="16.625" customWidth="1"/>
    <col min="13826" max="13826" width="7.625" bestFit="1" customWidth="1"/>
    <col min="13827" max="13827" width="47.625" bestFit="1" customWidth="1"/>
    <col min="13828" max="13828" width="13.0625" bestFit="1" customWidth="1"/>
    <col min="13829" max="13829" width="13.4375" bestFit="1" customWidth="1"/>
    <col min="13830" max="13830" width="15.5625" bestFit="1" customWidth="1"/>
    <col min="13831" max="13831" width="13.4375" bestFit="1" customWidth="1"/>
    <col min="13832" max="13832" width="16.4375" bestFit="1" customWidth="1"/>
    <col min="13833" max="13833" width="17.0625" bestFit="1" customWidth="1"/>
    <col min="13836" max="13836" width="10.1875" bestFit="1" customWidth="1"/>
    <col min="14081" max="14081" width="16.625" customWidth="1"/>
    <col min="14082" max="14082" width="7.625" bestFit="1" customWidth="1"/>
    <col min="14083" max="14083" width="47.625" bestFit="1" customWidth="1"/>
    <col min="14084" max="14084" width="13.0625" bestFit="1" customWidth="1"/>
    <col min="14085" max="14085" width="13.4375" bestFit="1" customWidth="1"/>
    <col min="14086" max="14086" width="15.5625" bestFit="1" customWidth="1"/>
    <col min="14087" max="14087" width="13.4375" bestFit="1" customWidth="1"/>
    <col min="14088" max="14088" width="16.4375" bestFit="1" customWidth="1"/>
    <col min="14089" max="14089" width="17.0625" bestFit="1" customWidth="1"/>
    <col min="14092" max="14092" width="10.1875" bestFit="1" customWidth="1"/>
    <col min="14337" max="14337" width="16.625" customWidth="1"/>
    <col min="14338" max="14338" width="7.625" bestFit="1" customWidth="1"/>
    <col min="14339" max="14339" width="47.625" bestFit="1" customWidth="1"/>
    <col min="14340" max="14340" width="13.0625" bestFit="1" customWidth="1"/>
    <col min="14341" max="14341" width="13.4375" bestFit="1" customWidth="1"/>
    <col min="14342" max="14342" width="15.5625" bestFit="1" customWidth="1"/>
    <col min="14343" max="14343" width="13.4375" bestFit="1" customWidth="1"/>
    <col min="14344" max="14344" width="16.4375" bestFit="1" customWidth="1"/>
    <col min="14345" max="14345" width="17.0625" bestFit="1" customWidth="1"/>
    <col min="14348" max="14348" width="10.1875" bestFit="1" customWidth="1"/>
    <col min="14593" max="14593" width="16.625" customWidth="1"/>
    <col min="14594" max="14594" width="7.625" bestFit="1" customWidth="1"/>
    <col min="14595" max="14595" width="47.625" bestFit="1" customWidth="1"/>
    <col min="14596" max="14596" width="13.0625" bestFit="1" customWidth="1"/>
    <col min="14597" max="14597" width="13.4375" bestFit="1" customWidth="1"/>
    <col min="14598" max="14598" width="15.5625" bestFit="1" customWidth="1"/>
    <col min="14599" max="14599" width="13.4375" bestFit="1" customWidth="1"/>
    <col min="14600" max="14600" width="16.4375" bestFit="1" customWidth="1"/>
    <col min="14601" max="14601" width="17.0625" bestFit="1" customWidth="1"/>
    <col min="14604" max="14604" width="10.1875" bestFit="1" customWidth="1"/>
    <col min="14849" max="14849" width="16.625" customWidth="1"/>
    <col min="14850" max="14850" width="7.625" bestFit="1" customWidth="1"/>
    <col min="14851" max="14851" width="47.625" bestFit="1" customWidth="1"/>
    <col min="14852" max="14852" width="13.0625" bestFit="1" customWidth="1"/>
    <col min="14853" max="14853" width="13.4375" bestFit="1" customWidth="1"/>
    <col min="14854" max="14854" width="15.5625" bestFit="1" customWidth="1"/>
    <col min="14855" max="14855" width="13.4375" bestFit="1" customWidth="1"/>
    <col min="14856" max="14856" width="16.4375" bestFit="1" customWidth="1"/>
    <col min="14857" max="14857" width="17.0625" bestFit="1" customWidth="1"/>
    <col min="14860" max="14860" width="10.1875" bestFit="1" customWidth="1"/>
    <col min="15105" max="15105" width="16.625" customWidth="1"/>
    <col min="15106" max="15106" width="7.625" bestFit="1" customWidth="1"/>
    <col min="15107" max="15107" width="47.625" bestFit="1" customWidth="1"/>
    <col min="15108" max="15108" width="13.0625" bestFit="1" customWidth="1"/>
    <col min="15109" max="15109" width="13.4375" bestFit="1" customWidth="1"/>
    <col min="15110" max="15110" width="15.5625" bestFit="1" customWidth="1"/>
    <col min="15111" max="15111" width="13.4375" bestFit="1" customWidth="1"/>
    <col min="15112" max="15112" width="16.4375" bestFit="1" customWidth="1"/>
    <col min="15113" max="15113" width="17.0625" bestFit="1" customWidth="1"/>
    <col min="15116" max="15116" width="10.1875" bestFit="1" customWidth="1"/>
    <col min="15361" max="15361" width="16.625" customWidth="1"/>
    <col min="15362" max="15362" width="7.625" bestFit="1" customWidth="1"/>
    <col min="15363" max="15363" width="47.625" bestFit="1" customWidth="1"/>
    <col min="15364" max="15364" width="13.0625" bestFit="1" customWidth="1"/>
    <col min="15365" max="15365" width="13.4375" bestFit="1" customWidth="1"/>
    <col min="15366" max="15366" width="15.5625" bestFit="1" customWidth="1"/>
    <col min="15367" max="15367" width="13.4375" bestFit="1" customWidth="1"/>
    <col min="15368" max="15368" width="16.4375" bestFit="1" customWidth="1"/>
    <col min="15369" max="15369" width="17.0625" bestFit="1" customWidth="1"/>
    <col min="15372" max="15372" width="10.1875" bestFit="1" customWidth="1"/>
    <col min="15617" max="15617" width="16.625" customWidth="1"/>
    <col min="15618" max="15618" width="7.625" bestFit="1" customWidth="1"/>
    <col min="15619" max="15619" width="47.625" bestFit="1" customWidth="1"/>
    <col min="15620" max="15620" width="13.0625" bestFit="1" customWidth="1"/>
    <col min="15621" max="15621" width="13.4375" bestFit="1" customWidth="1"/>
    <col min="15622" max="15622" width="15.5625" bestFit="1" customWidth="1"/>
    <col min="15623" max="15623" width="13.4375" bestFit="1" customWidth="1"/>
    <col min="15624" max="15624" width="16.4375" bestFit="1" customWidth="1"/>
    <col min="15625" max="15625" width="17.0625" bestFit="1" customWidth="1"/>
    <col min="15628" max="15628" width="10.1875" bestFit="1" customWidth="1"/>
    <col min="15873" max="15873" width="16.625" customWidth="1"/>
    <col min="15874" max="15874" width="7.625" bestFit="1" customWidth="1"/>
    <col min="15875" max="15875" width="47.625" bestFit="1" customWidth="1"/>
    <col min="15876" max="15876" width="13.0625" bestFit="1" customWidth="1"/>
    <col min="15877" max="15877" width="13.4375" bestFit="1" customWidth="1"/>
    <col min="15878" max="15878" width="15.5625" bestFit="1" customWidth="1"/>
    <col min="15879" max="15879" width="13.4375" bestFit="1" customWidth="1"/>
    <col min="15880" max="15880" width="16.4375" bestFit="1" customWidth="1"/>
    <col min="15881" max="15881" width="17.0625" bestFit="1" customWidth="1"/>
    <col min="15884" max="15884" width="10.1875" bestFit="1" customWidth="1"/>
    <col min="16129" max="16129" width="16.625" customWidth="1"/>
    <col min="16130" max="16130" width="7.625" bestFit="1" customWidth="1"/>
    <col min="16131" max="16131" width="47.625" bestFit="1" customWidth="1"/>
    <col min="16132" max="16132" width="13.0625" bestFit="1" customWidth="1"/>
    <col min="16133" max="16133" width="13.4375" bestFit="1" customWidth="1"/>
    <col min="16134" max="16134" width="15.5625" bestFit="1" customWidth="1"/>
    <col min="16135" max="16135" width="13.4375" bestFit="1" customWidth="1"/>
    <col min="16136" max="16136" width="16.4375" bestFit="1" customWidth="1"/>
    <col min="16137" max="16137" width="17.0625" bestFit="1" customWidth="1"/>
    <col min="16140" max="16140" width="10.1875" bestFit="1" customWidth="1"/>
  </cols>
  <sheetData>
    <row r="1" spans="1:10" ht="17.649999999999999">
      <c r="A1" s="51" t="s">
        <v>122</v>
      </c>
      <c r="B1" s="52"/>
    </row>
    <row r="2" spans="1:10" ht="17.649999999999999">
      <c r="A2" s="51"/>
      <c r="B2" s="52"/>
    </row>
    <row r="3" spans="1:10" ht="17.649999999999999" hidden="1">
      <c r="A3" s="51" t="s">
        <v>123</v>
      </c>
      <c r="B3" s="52"/>
    </row>
    <row r="4" spans="1:10" ht="17.25" hidden="1">
      <c r="B4" s="53"/>
    </row>
    <row r="5" spans="1:10" ht="17.649999999999999">
      <c r="A5" s="51" t="s">
        <v>146</v>
      </c>
      <c r="B5" s="52"/>
    </row>
    <row r="7" spans="1:10" ht="13.9" thickBot="1"/>
    <row r="8" spans="1:10" ht="30.4" thickBot="1">
      <c r="A8" s="54" t="s">
        <v>124</v>
      </c>
      <c r="B8" s="54" t="s">
        <v>125</v>
      </c>
      <c r="C8" s="54" t="s">
        <v>126</v>
      </c>
      <c r="D8" s="55" t="s">
        <v>127</v>
      </c>
      <c r="E8" s="55" t="s">
        <v>128</v>
      </c>
      <c r="F8" s="55" t="s">
        <v>129</v>
      </c>
      <c r="G8" s="55" t="s">
        <v>130</v>
      </c>
      <c r="H8" s="56" t="s">
        <v>131</v>
      </c>
      <c r="I8" s="56" t="s">
        <v>132</v>
      </c>
    </row>
    <row r="9" spans="1:10" ht="17.25">
      <c r="A9" s="57">
        <v>46031</v>
      </c>
      <c r="B9" s="58">
        <v>878</v>
      </c>
      <c r="C9" s="59" t="s">
        <v>147</v>
      </c>
      <c r="D9" s="91">
        <v>3113.931</v>
      </c>
      <c r="E9" s="91">
        <v>591.88599999999997</v>
      </c>
      <c r="F9" s="92">
        <v>3151</v>
      </c>
      <c r="G9" s="92">
        <v>610.16</v>
      </c>
      <c r="H9" s="93">
        <f t="shared" ref="H9:I17" si="0">F9-D9</f>
        <v>37.06899999999996</v>
      </c>
      <c r="I9" s="93">
        <f t="shared" si="0"/>
        <v>18.274000000000001</v>
      </c>
      <c r="J9" s="94"/>
    </row>
    <row r="10" spans="1:10" ht="17.25">
      <c r="A10" s="57">
        <v>46041</v>
      </c>
      <c r="B10" s="58">
        <v>879</v>
      </c>
      <c r="C10" s="59" t="s">
        <v>148</v>
      </c>
      <c r="D10" s="91">
        <v>3660.0050000000001</v>
      </c>
      <c r="E10" s="91">
        <v>918.01900000000001</v>
      </c>
      <c r="F10" s="92">
        <v>3684.6959999999999</v>
      </c>
      <c r="G10" s="92">
        <v>919.20399999999995</v>
      </c>
      <c r="H10" s="93">
        <f t="shared" si="0"/>
        <v>24.690999999999804</v>
      </c>
      <c r="I10" s="93">
        <f t="shared" si="0"/>
        <v>1.1849999999999454</v>
      </c>
      <c r="J10" s="94"/>
    </row>
    <row r="11" spans="1:10" ht="17.25">
      <c r="A11" s="57">
        <v>46051</v>
      </c>
      <c r="B11" s="58">
        <v>880</v>
      </c>
      <c r="C11" s="59" t="s">
        <v>149</v>
      </c>
      <c r="D11" s="91">
        <v>3540.6439999999998</v>
      </c>
      <c r="E11" s="91">
        <v>613.19299999999998</v>
      </c>
      <c r="F11" s="92">
        <v>3533.6570000000002</v>
      </c>
      <c r="G11" s="92">
        <v>566.13699999999994</v>
      </c>
      <c r="H11" s="93">
        <f t="shared" si="0"/>
        <v>-6.9869999999996253</v>
      </c>
      <c r="I11" s="93">
        <f t="shared" si="0"/>
        <v>-47.05600000000004</v>
      </c>
      <c r="J11" s="94"/>
    </row>
    <row r="12" spans="1:10" ht="17.25">
      <c r="A12" s="57">
        <v>46062</v>
      </c>
      <c r="B12" s="58">
        <v>881</v>
      </c>
      <c r="C12" s="59" t="s">
        <v>150</v>
      </c>
      <c r="D12" s="91">
        <v>4471.1809999999996</v>
      </c>
      <c r="E12" s="91">
        <v>735.17399999999998</v>
      </c>
      <c r="F12" s="92">
        <v>4454.518</v>
      </c>
      <c r="G12" s="92">
        <v>734.15099999999995</v>
      </c>
      <c r="H12" s="93">
        <f t="shared" si="0"/>
        <v>-16.662999999999556</v>
      </c>
      <c r="I12" s="93">
        <f t="shared" si="0"/>
        <v>-1.0230000000000246</v>
      </c>
      <c r="J12" s="94"/>
    </row>
    <row r="13" spans="1:10" ht="17.25">
      <c r="A13" s="57">
        <v>46071</v>
      </c>
      <c r="B13" s="58">
        <v>882</v>
      </c>
      <c r="C13" s="59" t="s">
        <v>151</v>
      </c>
      <c r="D13" s="91">
        <v>3500.3380000000002</v>
      </c>
      <c r="E13" s="91">
        <v>616.47900000000004</v>
      </c>
      <c r="F13" s="92">
        <v>3513.8249999999998</v>
      </c>
      <c r="G13" s="92">
        <v>581.96900000000005</v>
      </c>
      <c r="H13" s="93">
        <f t="shared" si="0"/>
        <v>13.486999999999625</v>
      </c>
      <c r="I13" s="93">
        <f t="shared" si="0"/>
        <v>-34.509999999999991</v>
      </c>
      <c r="J13" s="94"/>
    </row>
    <row r="14" spans="1:10" ht="17.25">
      <c r="A14" s="57">
        <v>46083</v>
      </c>
      <c r="B14" s="58">
        <v>883</v>
      </c>
      <c r="C14" s="59" t="s">
        <v>152</v>
      </c>
      <c r="D14" s="91">
        <v>4824.4790000000003</v>
      </c>
      <c r="E14" s="91">
        <v>960.24800000000005</v>
      </c>
      <c r="F14" s="92">
        <v>4829.5360000000001</v>
      </c>
      <c r="G14" s="92">
        <v>940.86500000000001</v>
      </c>
      <c r="H14" s="93">
        <f t="shared" si="0"/>
        <v>5.056999999999789</v>
      </c>
      <c r="I14" s="93">
        <f t="shared" si="0"/>
        <v>-19.383000000000038</v>
      </c>
      <c r="J14" s="94"/>
    </row>
    <row r="15" spans="1:10" ht="17.25">
      <c r="A15" s="57">
        <v>46093</v>
      </c>
      <c r="B15" s="58">
        <v>884</v>
      </c>
      <c r="C15" s="59" t="s">
        <v>153</v>
      </c>
      <c r="D15" s="91">
        <v>2665.1239999999998</v>
      </c>
      <c r="E15" s="91">
        <v>340.41500000000002</v>
      </c>
      <c r="F15" s="92">
        <v>2605.3440000000001</v>
      </c>
      <c r="G15" s="92">
        <v>377.87299999999999</v>
      </c>
      <c r="H15" s="93">
        <f t="shared" si="0"/>
        <v>-59.779999999999745</v>
      </c>
      <c r="I15" s="93">
        <f t="shared" si="0"/>
        <v>37.45799999999997</v>
      </c>
      <c r="J15" s="94"/>
    </row>
    <row r="16" spans="1:10" ht="17.25">
      <c r="A16" s="57">
        <v>46104</v>
      </c>
      <c r="B16" s="58">
        <v>885</v>
      </c>
      <c r="C16" s="59" t="s">
        <v>154</v>
      </c>
      <c r="D16" s="91">
        <v>3200.4520000000002</v>
      </c>
      <c r="E16" s="91">
        <v>362.21</v>
      </c>
      <c r="F16" s="92">
        <v>3248.65</v>
      </c>
      <c r="G16" s="92">
        <v>315.10000000000002</v>
      </c>
      <c r="H16" s="93">
        <f t="shared" si="0"/>
        <v>48.197999999999865</v>
      </c>
      <c r="I16" s="93">
        <f t="shared" si="0"/>
        <v>-47.109999999999957</v>
      </c>
      <c r="J16" s="94"/>
    </row>
    <row r="17" spans="1:11" ht="17.25">
      <c r="A17" s="57">
        <v>46111</v>
      </c>
      <c r="B17" s="58">
        <v>886</v>
      </c>
      <c r="C17" s="59" t="s">
        <v>155</v>
      </c>
      <c r="D17" s="91">
        <v>2500.0749999999998</v>
      </c>
      <c r="E17" s="91">
        <v>282.73899999999998</v>
      </c>
      <c r="F17" s="92">
        <v>2500.0749999999998</v>
      </c>
      <c r="G17" s="92">
        <v>282.73899999999998</v>
      </c>
      <c r="H17" s="93">
        <f t="shared" si="0"/>
        <v>0</v>
      </c>
      <c r="I17" s="93">
        <f t="shared" si="0"/>
        <v>0</v>
      </c>
      <c r="J17" s="94"/>
    </row>
    <row r="18" spans="1:11" ht="17.25">
      <c r="A18" s="57"/>
      <c r="B18" s="58"/>
      <c r="C18" s="59"/>
      <c r="D18" s="93"/>
      <c r="E18" s="93"/>
      <c r="F18" s="94"/>
      <c r="G18" s="94"/>
      <c r="H18" s="93"/>
      <c r="I18" s="93"/>
      <c r="J18" s="94"/>
      <c r="K18" s="95"/>
    </row>
    <row r="19" spans="1:11" ht="17.25">
      <c r="A19" s="57"/>
      <c r="B19" s="58"/>
      <c r="C19" s="59"/>
      <c r="D19" s="93"/>
      <c r="E19" s="93"/>
      <c r="F19" s="94"/>
      <c r="G19" s="94"/>
      <c r="H19" s="93"/>
      <c r="I19" s="93"/>
      <c r="J19" s="94"/>
      <c r="K19" s="95"/>
    </row>
    <row r="20" spans="1:11" ht="17.25">
      <c r="A20" s="57"/>
      <c r="B20" s="58"/>
      <c r="C20" s="59"/>
      <c r="D20" s="93"/>
      <c r="E20" s="93"/>
      <c r="F20" s="94"/>
      <c r="G20" s="94"/>
      <c r="H20" s="93"/>
      <c r="I20" s="93"/>
      <c r="J20" s="94"/>
      <c r="K20" s="95"/>
    </row>
    <row r="21" spans="1:11" ht="17.25">
      <c r="A21" s="57"/>
      <c r="B21" s="58"/>
      <c r="C21" s="59"/>
      <c r="D21" s="93"/>
      <c r="E21" s="93"/>
      <c r="F21" s="94"/>
      <c r="G21" s="94"/>
      <c r="H21" s="93"/>
      <c r="I21" s="93"/>
      <c r="J21" s="94"/>
      <c r="K21" s="95"/>
    </row>
    <row r="22" spans="1:11" ht="17.649999999999999">
      <c r="A22" s="60"/>
      <c r="C22" s="61" t="s">
        <v>133</v>
      </c>
      <c r="D22" s="96">
        <f t="shared" ref="D22:I22" si="1">SUM(D9:D21)</f>
        <v>31476.228999999999</v>
      </c>
      <c r="E22" s="96">
        <f t="shared" si="1"/>
        <v>5420.3629999999994</v>
      </c>
      <c r="F22" s="96">
        <f t="shared" si="1"/>
        <v>31521.301000000003</v>
      </c>
      <c r="G22" s="96">
        <f t="shared" si="1"/>
        <v>5328.1979999999994</v>
      </c>
      <c r="H22" s="96">
        <f t="shared" si="1"/>
        <v>45.072000000000116</v>
      </c>
      <c r="I22" s="96">
        <f t="shared" si="1"/>
        <v>-92.165000000000134</v>
      </c>
    </row>
    <row r="23" spans="1:11" ht="17.25">
      <c r="A23" s="59"/>
      <c r="B23" s="59"/>
      <c r="C23" s="59"/>
      <c r="D23" s="59"/>
      <c r="E23" s="59"/>
      <c r="F23" s="59"/>
      <c r="G23" s="59"/>
      <c r="H23" s="59"/>
      <c r="I23" s="59"/>
    </row>
    <row r="24" spans="1:11" ht="17.649999999999999">
      <c r="A24" s="59"/>
      <c r="B24" s="59"/>
      <c r="C24" s="61" t="s">
        <v>156</v>
      </c>
      <c r="D24" s="59"/>
      <c r="E24" s="62"/>
      <c r="F24" s="59"/>
      <c r="G24" s="62"/>
      <c r="H24" s="59"/>
      <c r="I24" s="59"/>
    </row>
    <row r="25" spans="1:11" ht="17.25">
      <c r="A25" s="59"/>
      <c r="B25" s="59"/>
      <c r="C25" s="59"/>
      <c r="D25" s="59"/>
      <c r="E25" s="62"/>
      <c r="F25" s="59"/>
      <c r="G25" s="62"/>
      <c r="H25" s="59"/>
      <c r="I25" s="59"/>
    </row>
    <row r="26" spans="1:11" ht="17.25">
      <c r="A26" s="59"/>
      <c r="B26" s="59"/>
      <c r="C26" s="59"/>
      <c r="D26" s="59"/>
      <c r="E26" s="63"/>
      <c r="F26" s="59"/>
      <c r="G26" s="59"/>
      <c r="H26" s="59"/>
      <c r="I26" s="59"/>
    </row>
    <row r="27" spans="1:11" ht="17.25">
      <c r="A27" s="59"/>
      <c r="B27" s="59"/>
      <c r="C27" s="59"/>
      <c r="D27" s="62"/>
      <c r="E27" s="62"/>
      <c r="F27" s="62"/>
      <c r="G27" s="62"/>
      <c r="H27" s="59"/>
      <c r="I27" s="59"/>
    </row>
    <row r="28" spans="1:11" ht="17.25">
      <c r="A28" s="59"/>
      <c r="B28" s="59"/>
      <c r="C28" s="59"/>
      <c r="D28" s="62"/>
      <c r="E28" s="62"/>
      <c r="F28" s="62"/>
      <c r="G28" s="62"/>
      <c r="H28" s="59"/>
      <c r="I28" s="59"/>
    </row>
    <row r="29" spans="1:11" ht="17.25">
      <c r="A29" s="59"/>
      <c r="B29" s="59"/>
      <c r="C29" s="59"/>
      <c r="D29" s="62"/>
      <c r="E29" s="62"/>
      <c r="F29" s="62"/>
      <c r="G29" s="62"/>
      <c r="H29" s="59"/>
      <c r="I29" s="59"/>
    </row>
    <row r="30" spans="1:11" ht="17.25">
      <c r="A30" s="59"/>
      <c r="B30" s="59"/>
      <c r="C30" s="59"/>
      <c r="D30" s="59"/>
      <c r="E30" s="59"/>
      <c r="F30" s="59"/>
      <c r="G30" s="59"/>
      <c r="H30" s="59"/>
      <c r="I30" s="5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WGC template &amp; guidance not </vt:lpstr>
      <vt:lpstr>2026 Chamber template</vt:lpstr>
      <vt:lpstr>Export Renconciliation</vt:lpstr>
      <vt:lpstr>'2026 Chamber template'!Print_Area</vt:lpstr>
      <vt:lpstr>'WGC template &amp; guidance not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Paa Kwasi De-Graft Mensah</dc:creator>
  <cp:lastModifiedBy>Priscilla Owusu</cp:lastModifiedBy>
  <dcterms:created xsi:type="dcterms:W3CDTF">2025-01-30T16:07:25Z</dcterms:created>
  <dcterms:modified xsi:type="dcterms:W3CDTF">2026-05-13T15:36:14Z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2025-01-30T16:17:44Z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18c5332a-ea0c-42a4-b39d-c163212b68d6</vt:lpwstr>
  </property>
  <property fmtid="{D5CDD505-2E9C-101B-9397-08002B2CF9AE}" pid="7" name="MSIP_Label_defa4170-0d19-0005-0004-bc88714345d2_ActionId">
    <vt:lpwstr>961cee88-6c52-4ba6-870c-bbf6fc161a99</vt:lpwstr>
  </property>
  <property fmtid="{D5CDD505-2E9C-101B-9397-08002B2CF9AE}" pid="8" name="MSIP_Label_defa4170-0d19-0005-0004-bc88714345d2_ContentBits">
    <vt:lpwstr>0</vt:lpwstr>
  </property>
</Properties>
</file>
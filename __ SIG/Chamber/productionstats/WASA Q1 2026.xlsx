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949EA670-D6FD-43B9-9570-115090B2E911}" xr6:coauthVersionLast="47" xr6:coauthVersionMax="47" xr10:uidLastSave="{00000000-0000-0000-0000-000000000000}"/>
  <bookViews>
    <workbookView xWindow="-98" yWindow="-98" windowWidth="20715" windowHeight="13155" activeTab="1" xr2:uid="{FBEF5809-C873-4F17-B4CE-1B76CACB3A5D}"/>
  </bookViews>
  <sheets>
    <sheet name="WGC template &amp; guidance note" sheetId="2" r:id="rId1"/>
    <sheet name="2023 Chamber Templat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8" i="1" l="1"/>
  <c r="F101" i="1"/>
  <c r="F100" i="1"/>
  <c r="F99" i="1"/>
  <c r="F98" i="1"/>
  <c r="F97" i="1"/>
  <c r="F96" i="1"/>
  <c r="F95" i="1"/>
  <c r="F94" i="1"/>
  <c r="F91" i="1"/>
  <c r="F90" i="1"/>
  <c r="F89" i="1"/>
  <c r="F88" i="1"/>
  <c r="F87" i="1"/>
  <c r="F86" i="1"/>
  <c r="F85" i="1"/>
  <c r="F84" i="1"/>
  <c r="F83" i="1"/>
  <c r="F82" i="1"/>
  <c r="F81" i="1"/>
  <c r="F80" i="1"/>
  <c r="F79" i="1"/>
  <c r="F76" i="1"/>
  <c r="F65" i="1"/>
  <c r="F66" i="1"/>
  <c r="F67" i="1"/>
  <c r="F68" i="1"/>
  <c r="F69" i="1"/>
  <c r="F70" i="1"/>
  <c r="F71" i="1"/>
  <c r="F72" i="1"/>
  <c r="F73" i="1"/>
  <c r="F74" i="1"/>
  <c r="F75" i="1"/>
  <c r="F64" i="1"/>
  <c r="F47" i="1"/>
  <c r="F48" i="1"/>
  <c r="F49" i="1"/>
  <c r="F50" i="1"/>
  <c r="F51" i="1"/>
  <c r="F52" i="1"/>
  <c r="F53" i="1"/>
  <c r="F55" i="1"/>
  <c r="F56" i="1"/>
  <c r="F59" i="1"/>
  <c r="F60" i="1"/>
  <c r="F61" i="1"/>
  <c r="F46" i="1"/>
  <c r="F45" i="1"/>
  <c r="F42" i="1"/>
  <c r="F41" i="1"/>
  <c r="F40" i="1"/>
  <c r="F39" i="1"/>
  <c r="F23" i="1"/>
  <c r="F24" i="1"/>
  <c r="F25" i="1"/>
  <c r="F26" i="1"/>
  <c r="F27" i="1"/>
  <c r="F28" i="1"/>
  <c r="F29" i="1"/>
  <c r="F30" i="1"/>
  <c r="F31" i="1"/>
  <c r="F32" i="1"/>
  <c r="F33" i="1"/>
  <c r="F34" i="1"/>
  <c r="F35" i="1"/>
  <c r="F22" i="1"/>
  <c r="F14" i="1"/>
  <c r="F15" i="1"/>
  <c r="F16" i="1"/>
  <c r="F17" i="1"/>
  <c r="F18" i="1"/>
  <c r="F19" i="1"/>
  <c r="F6" i="1"/>
  <c r="F7" i="1"/>
  <c r="F8" i="1"/>
  <c r="F9" i="1"/>
  <c r="F10" i="1"/>
  <c r="F11" i="1"/>
  <c r="F12" i="1"/>
  <c r="F13" i="1"/>
  <c r="F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Priscilla Owusu</author>
  </authors>
  <commentList>
    <comment ref="B33" authorId="0" shapeId="0" xr:uid="{B139BB32-DA82-47FB-A0CF-8C96EAD88701}">
      <text>
        <r>
          <rPr>
            <b/>
            <sz val="9"/>
            <color indexed="81"/>
            <rFont val="Tahoma"/>
            <family val="2"/>
          </rPr>
          <t>Priscilla Owusu:</t>
        </r>
        <r>
          <rPr>
            <sz val="9"/>
            <color indexed="81"/>
            <rFont val="Tahoma"/>
            <family val="2"/>
          </rPr>
          <t xml:space="preserve">
kindly provide the total amount paid for total power consumed in USD</t>
        </r>
      </text>
    </comment>
    <comment ref="B35" authorId="0" shapeId="0" xr:uid="{9DC2CB3A-B8D6-44F1-B500-FB85B05A1596}">
      <text>
        <r>
          <rPr>
            <b/>
            <sz val="9"/>
            <color indexed="81"/>
            <rFont val="Tahoma"/>
            <family val="2"/>
          </rPr>
          <t>Priscilla Owusu:</t>
        </r>
        <r>
          <rPr>
            <sz val="9"/>
            <color indexed="81"/>
            <rFont val="Tahoma"/>
            <family val="2"/>
          </rPr>
          <t xml:space="preserve">
kindly provide the total amount paid for total diesel consumed in USD</t>
        </r>
      </text>
    </comment>
    <comment ref="B45" authorId="0" shapeId="0" xr:uid="{D4270661-02AD-4408-9114-C37190BAC43C}">
      <text>
        <r>
          <rPr>
            <b/>
            <sz val="9"/>
            <color indexed="81"/>
            <rFont val="Tahoma"/>
            <family val="2"/>
          </rPr>
          <t>Priscilla Owusu:</t>
        </r>
        <r>
          <rPr>
            <sz val="9"/>
            <color indexed="81"/>
            <rFont val="Tahoma"/>
            <family val="2"/>
          </rPr>
          <t xml:space="preserve">
Provide all amounts in this category in dollars, please.</t>
        </r>
      </text>
    </comment>
  </commentList>
</comments>
</file>

<file path=xl/sharedStrings.xml><?xml version="1.0" encoding="utf-8"?>
<sst xmlns="http://schemas.openxmlformats.org/spreadsheetml/2006/main" count="202" uniqueCount="156">
  <si>
    <t>Quarter information from Members</t>
  </si>
  <si>
    <t xml:space="preserve">Company Name: </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</si>
  <si>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</si>
  <si>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</si>
  <si>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</si>
  <si>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</si>
  <si>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</si>
  <si>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</si>
  <si>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</si>
  <si>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</si>
  <si>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</si>
  <si>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</si>
  <si>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</si>
  <si>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</si>
  <si>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</si>
  <si>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</si>
  <si>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</si>
  <si>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</si>
  <si>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</si>
  <si>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</si>
  <si>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</si>
  <si>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</si>
  <si>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</si>
  <si>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</si>
  <si>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</si>
  <si>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</si>
  <si>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Other Payments-bonuses, overtime etc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</si>
  <si>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</si>
  <si>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</si>
  <si>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</si>
  <si>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</si>
  <si>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</si>
  <si>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</si>
  <si>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</si>
  <si>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</si>
  <si>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</si>
  <si>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</si>
  <si>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</si>
  <si>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</si>
  <si>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</si>
  <si>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</si>
  <si>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</si>
  <si>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</si>
  <si>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</si>
  <si>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</si>
  <si>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</si>
  <si>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</si>
  <si>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</si>
  <si>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</si>
  <si>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</si>
  <si>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</si>
  <si>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</si>
  <si>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</si>
  <si>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</si>
  <si>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</si>
  <si>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</si>
  <si>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</si>
  <si>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</si>
  <si>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</si>
  <si>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</si>
  <si>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</si>
  <si>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</si>
  <si>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</si>
  <si>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</si>
  <si>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</si>
  <si>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</si>
  <si>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</si>
  <si>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</si>
  <si>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</si>
  <si>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</si>
  <si>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</si>
  <si>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</si>
  <si>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</si>
  <si>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</si>
  <si>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</si>
  <si>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</si>
  <si>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</si>
  <si>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</si>
  <si>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</si>
  <si>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</si>
  <si>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</si>
  <si>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</si>
  <si>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</si>
  <si>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</si>
  <si>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</si>
  <si>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</si>
  <si>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</si>
  <si>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</si>
  <si>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</si>
  <si>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</si>
  <si>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</si>
  <si>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</si>
  <si>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</si>
  <si>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</si>
  <si>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</si>
  <si>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</si>
  <si>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</si>
  <si>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</si>
  <si>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</si>
  <si>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</si>
  <si>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</si>
  <si>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</si>
  <si>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</si>
  <si>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</si>
  <si>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</si>
  <si>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</si>
  <si>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</si>
  <si>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</si>
  <si>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</si>
  <si>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</si>
  <si>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</si>
  <si>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</si>
  <si>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</si>
  <si>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</si>
  <si>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</si>
  <si>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</si>
  <si>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</si>
  <si>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</si>
  <si>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</si>
  <si>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</si>
  <si>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</si>
  <si>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</si>
  <si>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</si>
  <si>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</si>
  <si>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</si>
  <si>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</si>
  <si>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</si>
  <si>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</si>
  <si>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</si>
  <si>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Corporate Tax</t>
  </si>
  <si>
    <t>Withholding tax on Dividends, interest and services</t>
  </si>
  <si>
    <t>Dividends Paid to Other Shareholders</t>
  </si>
  <si>
    <t>Retained Earnings</t>
  </si>
  <si>
    <t>CAPEX</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</si>
  <si>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</si>
  <si>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</si>
  <si>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</si>
  <si>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</si>
  <si>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</si>
  <si>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</si>
  <si>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</si>
  <si>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</si>
  <si>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</si>
  <si>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</si>
  <si>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</si>
  <si>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</si>
  <si>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 xml:space="preserve">Mineral Royalty Payments </t>
  </si>
  <si>
    <t>Ghana Chamber of Mines 2026</t>
  </si>
  <si>
    <t>1st Qtr</t>
  </si>
  <si>
    <t>2nd Qtr</t>
  </si>
  <si>
    <t>3rd Qtr</t>
  </si>
  <si>
    <t>4th Qtr</t>
  </si>
  <si>
    <t>Y-t-d</t>
  </si>
  <si>
    <t>N/A</t>
  </si>
  <si>
    <t>1% Growth &amp; sustainability Levy</t>
  </si>
  <si>
    <t>Others - please specify - Management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</si>
</sst>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7" x14ac:knownFonts="1">
    <font>
      <sz val="11"/>
      <color theme="1"/>
      <name val="Calibri"/>
      <family val="2"/>
      <scheme val="minor"/>
    </font>
    <font>
      <b/>
      <sz val="11"/>
      <color theme="1"/>
      <name val="Calibri"/>
      <family val="2"/>
      <scheme val="minor"/>
    </font>
    <font>
      <b/>
      <sz val="16"/>
      <name val="Calibri"/>
      <family val="2"/>
      <scheme val="minor"/>
    </font>
    <font>
      <sz val="12"/>
      <name val="Calibri"/>
      <family val="2"/>
      <scheme val="minor"/>
    </font>
    <font>
      <b/>
      <sz val="12"/>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family val="2"/>
    </font>
    <font>
      <b/>
      <sz val="9"/>
      <color indexed="81"/>
      <name val="Tahoma"/>
      <family val="2"/>
    </font>
    <font>
      <sz val="11"/>
      <color theme="1"/>
      <name val="Calibri"/>
      <family val="2"/>
      <scheme val="minor"/>
    </font>
    <font>
      <b/>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1">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s>
  <cellStyleXfs count="3">
    <xf numFmtId="0" fontId="0" fillId="0" borderId="0"/>
    <xf numFmtId="164" fontId="14" fillId="0" borderId="0" applyFont="0" applyFill="0" applyBorder="0" applyAlignment="0" applyProtection="0"/>
    <xf numFmtId="9" fontId="14" fillId="0" borderId="0" applyFont="0" applyFill="0" applyBorder="0" applyAlignment="0" applyProtection="0"/>
  </cellStyleXfs>
  <cellXfs count="42">
    <xf numFmtId="0" fontId="0" fillId="0" borderId="0" xfId="0"/>
    <xf numFmtId="0" fontId="2" fillId="0" borderId="1" xfId="0" applyFont="1" applyBorder="1"/>
    <xf numFmtId="0" fontId="3" fillId="0" borderId="2" xfId="0" applyFont="1" applyBorder="1"/>
    <xf numFmtId="0" fontId="4" fillId="0" borderId="2" xfId="0" applyFont="1" applyBorder="1"/>
    <xf numFmtId="0" fontId="5" fillId="0" borderId="2" xfId="0" applyFont="1" applyBorder="1"/>
    <xf numFmtId="0" fontId="3" fillId="0" borderId="3" xfId="0" applyFont="1" applyBorder="1"/>
    <xf numFmtId="0" fontId="4" fillId="0" borderId="3" xfId="0" applyFont="1" applyBorder="1"/>
    <xf numFmtId="0" fontId="3" fillId="0" borderId="0" xfId="0" applyFont="1"/>
    <xf numFmtId="0" fontId="4" fillId="0" borderId="0" xfId="0" applyFont="1"/>
    <xf numFmtId="0" fontId="6" fillId="0" borderId="4" xfId="0"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7" fillId="0" borderId="6" xfId="0" applyFont="1" applyBorder="1" applyAlignment="1">
      <alignment vertical="top" wrapText="1"/>
    </xf>
    <xf numFmtId="0" fontId="8" fillId="0" borderId="7" xfId="0" quotePrefix="1" applyFont="1" applyBorder="1" applyAlignment="1">
      <alignment vertical="top" wrapText="1"/>
    </xf>
    <xf numFmtId="0" fontId="1" fillId="0" borderId="0" xfId="0" applyFont="1"/>
    <xf numFmtId="0" fontId="4" fillId="3" borderId="2" xfId="0" applyFont="1" applyFill="1" applyBorder="1"/>
    <xf numFmtId="0" fontId="0" fillId="3" borderId="0" xfId="0" applyFill="1"/>
    <xf numFmtId="0" fontId="0" fillId="2" borderId="0" xfId="0" applyFill="1"/>
    <xf numFmtId="0" fontId="3" fillId="2" borderId="2" xfId="0" applyFont="1" applyFill="1" applyBorder="1"/>
    <xf numFmtId="0" fontId="15" fillId="0" borderId="0" xfId="0" applyFont="1"/>
    <xf numFmtId="164" fontId="16" fillId="0" borderId="0" xfId="1" applyFont="1" applyBorder="1"/>
    <xf numFmtId="164" fontId="0" fillId="0" borderId="0" xfId="1" applyFont="1"/>
    <xf numFmtId="165" fontId="0" fillId="2" borderId="0" xfId="1" applyNumberFormat="1" applyFont="1" applyFill="1"/>
    <xf numFmtId="165" fontId="0" fillId="0" borderId="0" xfId="1" applyNumberFormat="1" applyFont="1"/>
    <xf numFmtId="165" fontId="16" fillId="0" borderId="0" xfId="1" applyNumberFormat="1" applyFont="1" applyBorder="1"/>
    <xf numFmtId="164" fontId="0" fillId="0" borderId="0" xfId="1" applyFont="1" applyAlignment="1">
      <alignment horizontal="center"/>
    </xf>
    <xf numFmtId="9" fontId="16" fillId="0" borderId="0" xfId="2" applyFont="1" applyBorder="1"/>
    <xf numFmtId="9" fontId="0" fillId="0" borderId="0" xfId="2" applyFont="1"/>
    <xf numFmtId="0" fontId="10" fillId="0" borderId="8" xfId="0" applyFont="1" applyBorder="1" applyAlignment="1">
      <alignment vertical="top" wrapText="1"/>
    </xf>
    <xf numFmtId="0" fontId="10"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8" fillId="0" borderId="8" xfId="0" applyFont="1" applyBorder="1" applyAlignment="1">
      <alignment vertical="top" wrapText="1"/>
    </xf>
    <xf numFmtId="0" fontId="8" fillId="0" borderId="6" xfId="0" applyFont="1" applyBorder="1" applyAlignment="1">
      <alignment vertical="top" wrapText="1"/>
    </xf>
    <xf numFmtId="0" fontId="7" fillId="0" borderId="8" xfId="0" applyFont="1" applyBorder="1" applyAlignment="1">
      <alignment vertical="top" wrapText="1"/>
    </xf>
    <xf numFmtId="0" fontId="7" fillId="0" borderId="6" xfId="0" applyFont="1" applyBorder="1" applyAlignment="1">
      <alignmen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topLeftCell="A4" workbookViewId="0">
      <selection activeCell="E6" sqref="E6"/>
    </sheetView>
  </sheetViews>
  <sheetFormatPr defaultColWidth="9.1328125" defaultRowHeight="14.25" x14ac:dyDescent="0.45"/>
  <cols>
    <col min="1" max="1" width="37.1328125" customWidth="1"/>
    <col min="2" max="2" width="33.3984375" customWidth="1"/>
    <col min="3" max="3" width="35.73046875" customWidth="1"/>
  </cols>
  <sheetData>
    <row r="1" spans="1:3" ht="14.65" thickBot="1" x14ac:dyDescent="0.5"/>
    <row r="2" spans="1:3" ht="15.75" thickBot="1" x14ac:dyDescent="0.5">
      <c r="A2" s="9"/>
      <c r="B2" s="10"/>
      <c r="C2" s="11" t="s">
        <v>44</v>
      </c>
    </row>
    <row r="3" spans="1:3" ht="15.75" thickBot="1" x14ac:dyDescent="0.5">
      <c r="A3" s="12"/>
      <c r="B3" s="13"/>
      <c r="C3" s="13"/>
    </row>
    <row r="4" spans="1:3" ht="14.65" thickBot="1" x14ac:dyDescent="0.5">
      <c r="A4" s="14" t="s">
        <v>45</v>
      </c>
      <c r="B4" s="15" t="s">
        <v>46</v>
      </c>
      <c r="C4" s="15" t="s">
        <v>47</v>
      </c>
    </row>
    <row r="5" spans="1:3" ht="14.65" thickBot="1" x14ac:dyDescent="0.5">
      <c r="A5" s="14" t="s">
        <v>48</v>
      </c>
      <c r="B5" s="15" t="s">
        <v>46</v>
      </c>
      <c r="C5" s="15" t="s">
        <v>49</v>
      </c>
    </row>
    <row r="6" spans="1:3" ht="14.65" thickBot="1" x14ac:dyDescent="0.5">
      <c r="A6" s="14" t="s">
        <v>50</v>
      </c>
      <c r="B6" s="15" t="s">
        <v>46</v>
      </c>
      <c r="C6" s="15" t="s">
        <v>51</v>
      </c>
    </row>
    <row r="7" spans="1:3" ht="23.65" thickBot="1" x14ac:dyDescent="0.5">
      <c r="A7" s="14" t="s">
        <v>52</v>
      </c>
      <c r="B7" s="15" t="s">
        <v>46</v>
      </c>
      <c r="C7" s="15" t="s">
        <v>53</v>
      </c>
    </row>
    <row r="8" spans="1:3" ht="14.65" thickBot="1" x14ac:dyDescent="0.5">
      <c r="A8" s="14" t="s">
        <v>54</v>
      </c>
      <c r="B8" s="15" t="s">
        <v>46</v>
      </c>
      <c r="C8" s="15" t="s">
        <v>55</v>
      </c>
    </row>
    <row r="9" spans="1:3" ht="14.65" thickBot="1" x14ac:dyDescent="0.5">
      <c r="A9" s="14" t="s">
        <v>56</v>
      </c>
      <c r="B9" s="15" t="s">
        <v>46</v>
      </c>
      <c r="C9" s="15" t="s">
        <v>57</v>
      </c>
    </row>
    <row r="10" spans="1:3" ht="14.65" thickBot="1" x14ac:dyDescent="0.5">
      <c r="A10" s="14" t="s">
        <v>58</v>
      </c>
      <c r="B10" s="15" t="s">
        <v>46</v>
      </c>
      <c r="C10" s="15" t="s">
        <v>59</v>
      </c>
    </row>
    <row r="11" spans="1:3" ht="14.65" thickBot="1" x14ac:dyDescent="0.5">
      <c r="A11" s="14" t="s">
        <v>60</v>
      </c>
      <c r="B11" s="15" t="s">
        <v>46</v>
      </c>
      <c r="C11" s="15" t="s">
        <v>61</v>
      </c>
    </row>
    <row r="12" spans="1:3" ht="14.65" thickBot="1" x14ac:dyDescent="0.5">
      <c r="A12" s="14" t="s">
        <v>62</v>
      </c>
      <c r="B12" s="15" t="s">
        <v>46</v>
      </c>
      <c r="C12" s="15" t="s">
        <v>63</v>
      </c>
    </row>
    <row r="13" spans="1:3" ht="14.65" thickBot="1" x14ac:dyDescent="0.5">
      <c r="A13" s="14" t="s">
        <v>64</v>
      </c>
      <c r="B13" s="15" t="s">
        <v>46</v>
      </c>
      <c r="C13" s="15" t="s">
        <v>65</v>
      </c>
    </row>
    <row r="14" spans="1:3" ht="14.65" thickBot="1" x14ac:dyDescent="0.5">
      <c r="A14" s="14" t="s">
        <v>66</v>
      </c>
      <c r="B14" s="15" t="s">
        <v>46</v>
      </c>
      <c r="C14" s="15" t="s">
        <v>67</v>
      </c>
    </row>
    <row r="15" spans="1:3" x14ac:dyDescent="0.45">
      <c r="A15" s="34" t="s">
        <v>68</v>
      </c>
      <c r="B15" s="36"/>
      <c r="C15" s="16" t="s">
        <v>69</v>
      </c>
    </row>
    <row r="16" spans="1:3" ht="14.65" thickBot="1" x14ac:dyDescent="0.5">
      <c r="A16" s="35"/>
      <c r="B16" s="37"/>
      <c r="C16" s="15" t="s">
        <v>70</v>
      </c>
    </row>
    <row r="17" spans="1:3" ht="15.75" thickBot="1" x14ac:dyDescent="0.5">
      <c r="A17" s="12"/>
      <c r="B17" s="13"/>
      <c r="C17" s="13"/>
    </row>
    <row r="18" spans="1:3" x14ac:dyDescent="0.45">
      <c r="A18" s="17" t="s">
        <v>71</v>
      </c>
      <c r="B18" s="38" t="s">
        <v>46</v>
      </c>
      <c r="C18" s="38" t="s">
        <v>72</v>
      </c>
    </row>
    <row r="19" spans="1:3" ht="14.65" thickBot="1" x14ac:dyDescent="0.5">
      <c r="A19" s="14" t="s">
        <v>73</v>
      </c>
      <c r="B19" s="39"/>
      <c r="C19" s="39"/>
    </row>
    <row r="20" spans="1:3" x14ac:dyDescent="0.45">
      <c r="A20" s="17" t="s">
        <v>74</v>
      </c>
      <c r="B20" s="38" t="s">
        <v>46</v>
      </c>
      <c r="C20" s="38" t="s">
        <v>75</v>
      </c>
    </row>
    <row r="21" spans="1:3" ht="14.65" thickBot="1" x14ac:dyDescent="0.5">
      <c r="A21" s="14" t="s">
        <v>76</v>
      </c>
      <c r="B21" s="39"/>
      <c r="C21" s="39"/>
    </row>
    <row r="22" spans="1:3" ht="14.65" thickBot="1" x14ac:dyDescent="0.5">
      <c r="A22" s="14" t="s">
        <v>77</v>
      </c>
      <c r="B22" s="15" t="s">
        <v>46</v>
      </c>
      <c r="C22" s="15" t="s">
        <v>78</v>
      </c>
    </row>
    <row r="23" spans="1:3" ht="14.65" thickBot="1" x14ac:dyDescent="0.5">
      <c r="A23" s="14" t="s">
        <v>79</v>
      </c>
      <c r="B23" s="15" t="s">
        <v>80</v>
      </c>
      <c r="C23" s="15" t="s">
        <v>81</v>
      </c>
    </row>
    <row r="24" spans="1:3" ht="23.65" thickBot="1" x14ac:dyDescent="0.5">
      <c r="A24" s="14" t="s">
        <v>82</v>
      </c>
      <c r="B24" s="15" t="s">
        <v>83</v>
      </c>
      <c r="C24" s="15" t="s">
        <v>84</v>
      </c>
    </row>
    <row r="25" spans="1:3" ht="14.65" thickBot="1" x14ac:dyDescent="0.5">
      <c r="A25" s="14" t="s">
        <v>85</v>
      </c>
      <c r="B25" s="15" t="s">
        <v>83</v>
      </c>
      <c r="C25" s="15" t="s">
        <v>86</v>
      </c>
    </row>
    <row r="26" spans="1:3" x14ac:dyDescent="0.45">
      <c r="A26" s="40" t="s">
        <v>87</v>
      </c>
      <c r="B26" s="36"/>
      <c r="C26" s="16" t="s">
        <v>88</v>
      </c>
    </row>
    <row r="27" spans="1:3" ht="14.65" thickBot="1" x14ac:dyDescent="0.5">
      <c r="A27" s="41"/>
      <c r="B27" s="37"/>
      <c r="C27" s="15" t="s">
        <v>89</v>
      </c>
    </row>
    <row r="28" spans="1:3" ht="15.75" thickBot="1" x14ac:dyDescent="0.5">
      <c r="A28" s="12"/>
      <c r="B28" s="13"/>
      <c r="C28" s="13"/>
    </row>
    <row r="29" spans="1:3" ht="23.65" thickBot="1" x14ac:dyDescent="0.5">
      <c r="A29" s="14" t="s">
        <v>90</v>
      </c>
      <c r="B29" s="15" t="s">
        <v>46</v>
      </c>
      <c r="C29" s="15" t="s">
        <v>91</v>
      </c>
    </row>
    <row r="30" spans="1:3" ht="14.65" thickBot="1" x14ac:dyDescent="0.5">
      <c r="A30" s="14" t="s">
        <v>92</v>
      </c>
      <c r="B30" s="15" t="s">
        <v>46</v>
      </c>
      <c r="C30" s="15" t="s">
        <v>93</v>
      </c>
    </row>
    <row r="31" spans="1:3" ht="23.65" thickBot="1" x14ac:dyDescent="0.5">
      <c r="A31" s="14" t="s">
        <v>94</v>
      </c>
      <c r="B31" s="15" t="s">
        <v>46</v>
      </c>
      <c r="C31" s="15" t="s">
        <v>95</v>
      </c>
    </row>
    <row r="32" spans="1:3" ht="14.65" thickBot="1" x14ac:dyDescent="0.5">
      <c r="A32" s="14" t="s">
        <v>96</v>
      </c>
      <c r="B32" s="15" t="s">
        <v>46</v>
      </c>
      <c r="C32" s="15" t="s">
        <v>97</v>
      </c>
    </row>
    <row r="33" spans="1:3" ht="14.65" thickBot="1" x14ac:dyDescent="0.5">
      <c r="A33" s="14" t="s">
        <v>98</v>
      </c>
      <c r="B33" s="15" t="s">
        <v>83</v>
      </c>
      <c r="C33" s="15" t="s">
        <v>99</v>
      </c>
    </row>
    <row r="34" spans="1:3" ht="23.65" thickBot="1" x14ac:dyDescent="0.5">
      <c r="A34" s="14" t="s">
        <v>100</v>
      </c>
      <c r="B34" s="15" t="s">
        <v>83</v>
      </c>
      <c r="C34" s="15" t="s">
        <v>101</v>
      </c>
    </row>
    <row r="35" spans="1:3" ht="14.65" thickBot="1" x14ac:dyDescent="0.5">
      <c r="A35" s="14" t="s">
        <v>102</v>
      </c>
      <c r="B35" s="15" t="s">
        <v>83</v>
      </c>
      <c r="C35" s="15" t="s">
        <v>103</v>
      </c>
    </row>
    <row r="36" spans="1:3" ht="15.75" thickBot="1" x14ac:dyDescent="0.5">
      <c r="A36" s="12"/>
      <c r="B36" s="13"/>
      <c r="C36" s="13"/>
    </row>
    <row r="37" spans="1:3" ht="15.75" thickBot="1" x14ac:dyDescent="0.5">
      <c r="A37" s="18" t="s">
        <v>104</v>
      </c>
      <c r="B37" s="13"/>
      <c r="C37" s="19" t="s">
        <v>105</v>
      </c>
    </row>
    <row r="39" spans="1:3" x14ac:dyDescent="0.45">
      <c r="A39" s="20" t="s">
        <v>106</v>
      </c>
    </row>
    <row r="40" spans="1:3" x14ac:dyDescent="0.45">
      <c r="A40" t="s">
        <v>107</v>
      </c>
    </row>
    <row r="41" spans="1:3" x14ac:dyDescent="0.45">
      <c r="A41" t="s">
        <v>108</v>
      </c>
    </row>
    <row r="43" spans="1:3" x14ac:dyDescent="0.45">
      <c r="A43" t="s">
        <v>109</v>
      </c>
    </row>
    <row r="45" spans="1:3" x14ac:dyDescent="0.45">
      <c r="A45" t="s">
        <v>110</v>
      </c>
    </row>
    <row r="47" spans="1:3" x14ac:dyDescent="0.45">
      <c r="A47" t="s">
        <v>111</v>
      </c>
    </row>
    <row r="49" spans="1:1" x14ac:dyDescent="0.45">
      <c r="A49" t="s">
        <v>112</v>
      </c>
    </row>
    <row r="51" spans="1:1" x14ac:dyDescent="0.45">
      <c r="A51" t="s">
        <v>113</v>
      </c>
    </row>
    <row r="52" spans="1:1" x14ac:dyDescent="0.45">
      <c r="A52" t="s">
        <v>114</v>
      </c>
    </row>
    <row r="53" spans="1:1" x14ac:dyDescent="0.45">
      <c r="A53" t="s">
        <v>115</v>
      </c>
    </row>
    <row r="54" spans="1:1" x14ac:dyDescent="0.45">
      <c r="A54" t="s">
        <v>116</v>
      </c>
    </row>
    <row r="55" spans="1:1" x14ac:dyDescent="0.45">
      <c r="A55" t="s">
        <v>117</v>
      </c>
    </row>
    <row r="56" spans="1:1" x14ac:dyDescent="0.45">
      <c r="A56" t="s">
        <v>118</v>
      </c>
    </row>
  </sheetData>
  <mergeCells count="8">
    <mergeCell ref="A26:A27"/>
    <mergeCell ref="B26:B27"/>
    <mergeCell ref="A15:A16"/>
    <mergeCell ref="B15:B16"/>
    <mergeCell ref="B18:B19"/>
    <mergeCell ref="C18:C19"/>
    <mergeCell ref="B20:B21"/>
    <mergeCell ref="C20: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F102"/>
  <sheetViews>
    <sheetView tabSelected="1" workbookViewId="0">
      <selection activeCell="C40" sqref="C40"/>
    </sheetView>
  </sheetViews>
  <sheetFormatPr defaultRowHeight="14.25" x14ac:dyDescent="0.45"/>
  <cols>
    <col min="1" max="1" width="101" bestFit="1" customWidth="1"/>
    <col min="2" max="2" width="29.265625" customWidth="1"/>
    <col min="3" max="3" width="22.59765625" customWidth="1"/>
    <col min="4" max="4" width="24.73046875" customWidth="1"/>
    <col min="5" max="5" width="20.59765625" customWidth="1"/>
    <col min="6" max="6" width="24.3984375" customWidth="1"/>
  </cols>
  <sheetData>
    <row r="1" spans="1:6" ht="21" x14ac:dyDescent="0.65">
      <c r="A1" s="1" t="s">
        <v>147</v>
      </c>
      <c r="B1" s="20"/>
      <c r="C1" s="20"/>
      <c r="D1" s="20"/>
      <c r="E1" s="20"/>
      <c r="F1" s="20"/>
    </row>
    <row r="2" spans="1:6" ht="15.75" x14ac:dyDescent="0.5">
      <c r="A2" s="2" t="s">
        <v>0</v>
      </c>
    </row>
    <row r="3" spans="1:6" ht="18" x14ac:dyDescent="0.55000000000000004">
      <c r="A3" s="2" t="s">
        <v>1</v>
      </c>
      <c r="B3" s="25" t="s">
        <v>148</v>
      </c>
      <c r="C3" s="25" t="s">
        <v>149</v>
      </c>
      <c r="D3" s="25" t="s">
        <v>150</v>
      </c>
      <c r="E3" s="25" t="s">
        <v>151</v>
      </c>
      <c r="F3" s="25" t="s">
        <v>152</v>
      </c>
    </row>
    <row r="4" spans="1:6" s="22" customFormat="1" ht="15.75" x14ac:dyDescent="0.5">
      <c r="A4" s="21" t="s">
        <v>2</v>
      </c>
    </row>
    <row r="5" spans="1:6" ht="15.75" x14ac:dyDescent="0.5">
      <c r="A5" s="2" t="s">
        <v>138</v>
      </c>
      <c r="B5" s="27">
        <v>177994670.62080356</v>
      </c>
      <c r="F5" s="26">
        <f>SUM(B5:E5)</f>
        <v>177994670.62080356</v>
      </c>
    </row>
    <row r="6" spans="1:6" ht="15.75" x14ac:dyDescent="0.5">
      <c r="A6" s="2" t="s">
        <v>139</v>
      </c>
      <c r="B6" s="27">
        <v>142674139.21080357</v>
      </c>
      <c r="F6" s="26">
        <f t="shared" ref="F6:F19" si="0">SUM(B6:E6)</f>
        <v>142674139.21080357</v>
      </c>
    </row>
    <row r="7" spans="1:6" ht="15.75" x14ac:dyDescent="0.5">
      <c r="A7" s="2" t="s">
        <v>144</v>
      </c>
      <c r="B7" s="27">
        <v>35598934.124160714</v>
      </c>
      <c r="F7" s="26">
        <f t="shared" si="0"/>
        <v>35598934.124160714</v>
      </c>
    </row>
    <row r="8" spans="1:6" ht="15.75" x14ac:dyDescent="0.5">
      <c r="A8" s="2" t="s">
        <v>145</v>
      </c>
      <c r="B8" s="27">
        <v>56300000</v>
      </c>
      <c r="F8" s="26">
        <f t="shared" si="0"/>
        <v>56300000</v>
      </c>
    </row>
    <row r="9" spans="1:6" ht="15.75" x14ac:dyDescent="0.5">
      <c r="A9" s="2" t="s">
        <v>140</v>
      </c>
      <c r="B9" s="27">
        <v>1161327.1400000001</v>
      </c>
      <c r="F9" s="26">
        <f t="shared" si="0"/>
        <v>1161327.1400000001</v>
      </c>
    </row>
    <row r="10" spans="1:6" ht="15.75" x14ac:dyDescent="0.5">
      <c r="A10" s="2" t="s">
        <v>141</v>
      </c>
      <c r="B10" s="27">
        <v>4596421.88</v>
      </c>
      <c r="F10" s="26">
        <f t="shared" si="0"/>
        <v>4596421.88</v>
      </c>
    </row>
    <row r="11" spans="1:6" ht="15.75" x14ac:dyDescent="0.5">
      <c r="A11" s="2" t="s">
        <v>142</v>
      </c>
      <c r="B11" s="27">
        <v>23560210.539999999</v>
      </c>
      <c r="F11" s="26">
        <f t="shared" si="0"/>
        <v>23560210.539999999</v>
      </c>
    </row>
    <row r="12" spans="1:6" ht="15.75" x14ac:dyDescent="0.5">
      <c r="A12" s="2" t="s">
        <v>143</v>
      </c>
      <c r="B12" s="27">
        <v>6676931.0700000003</v>
      </c>
      <c r="F12" s="26">
        <f t="shared" si="0"/>
        <v>6676931.0700000003</v>
      </c>
    </row>
    <row r="13" spans="1:6" ht="15.75" x14ac:dyDescent="0.5">
      <c r="A13" s="2" t="s">
        <v>3</v>
      </c>
      <c r="B13" s="27">
        <v>1835.19</v>
      </c>
      <c r="F13" s="26">
        <f t="shared" si="0"/>
        <v>1835.19</v>
      </c>
    </row>
    <row r="14" spans="1:6" ht="15.75" x14ac:dyDescent="0.5">
      <c r="A14" s="3" t="s">
        <v>4</v>
      </c>
      <c r="B14" s="27">
        <v>2478.13</v>
      </c>
      <c r="F14" s="26">
        <f t="shared" si="0"/>
        <v>2478.13</v>
      </c>
    </row>
    <row r="15" spans="1:6" ht="15.75" x14ac:dyDescent="0.5">
      <c r="A15" s="3" t="s">
        <v>5</v>
      </c>
      <c r="B15" s="27">
        <v>2792.19</v>
      </c>
      <c r="F15" s="26">
        <f t="shared" si="0"/>
        <v>2792.19</v>
      </c>
    </row>
    <row r="16" spans="1:6" ht="15.75" x14ac:dyDescent="0.5">
      <c r="A16" s="2" t="s">
        <v>6</v>
      </c>
      <c r="B16" s="27"/>
      <c r="F16" s="26">
        <f t="shared" si="0"/>
        <v>0</v>
      </c>
    </row>
    <row r="17" spans="1:6" ht="15.75" x14ac:dyDescent="0.5">
      <c r="A17" s="2" t="s">
        <v>7</v>
      </c>
      <c r="B17" s="27">
        <v>7651551.9800000004</v>
      </c>
      <c r="F17" s="26">
        <f t="shared" si="0"/>
        <v>7651551.9800000004</v>
      </c>
    </row>
    <row r="18" spans="1:6" ht="15.75" x14ac:dyDescent="0.5">
      <c r="A18" s="2" t="s">
        <v>8</v>
      </c>
      <c r="F18" s="26">
        <f t="shared" si="0"/>
        <v>0</v>
      </c>
    </row>
    <row r="19" spans="1:6" ht="15.75" x14ac:dyDescent="0.5">
      <c r="A19" s="2" t="s">
        <v>9</v>
      </c>
      <c r="F19" s="26">
        <f t="shared" si="0"/>
        <v>0</v>
      </c>
    </row>
    <row r="20" spans="1:6" ht="15.75" x14ac:dyDescent="0.5">
      <c r="A20" s="2"/>
    </row>
    <row r="21" spans="1:6" s="22" customFormat="1" ht="15.75" x14ac:dyDescent="0.5">
      <c r="A21" s="21" t="s">
        <v>10</v>
      </c>
    </row>
    <row r="22" spans="1:6" ht="15.75" x14ac:dyDescent="0.5">
      <c r="A22" s="2" t="s">
        <v>11</v>
      </c>
      <c r="B22" s="27">
        <v>312332.8835889257</v>
      </c>
      <c r="F22" s="26">
        <f t="shared" ref="F22:F35" si="1">SUM(B22:E22)</f>
        <v>312332.8835889257</v>
      </c>
    </row>
    <row r="23" spans="1:6" ht="15.75" x14ac:dyDescent="0.5">
      <c r="A23" s="2" t="s">
        <v>12</v>
      </c>
      <c r="B23" s="27">
        <v>1.03</v>
      </c>
      <c r="F23" s="26">
        <f t="shared" si="1"/>
        <v>1.03</v>
      </c>
    </row>
    <row r="24" spans="1:6" ht="15.75" x14ac:dyDescent="0.5">
      <c r="A24" s="4" t="s">
        <v>13</v>
      </c>
      <c r="B24" s="27">
        <v>523698.81877819297</v>
      </c>
      <c r="F24" s="26">
        <f t="shared" si="1"/>
        <v>523698.81877819297</v>
      </c>
    </row>
    <row r="25" spans="1:6" ht="15.75" x14ac:dyDescent="0.5">
      <c r="A25" s="4" t="s">
        <v>14</v>
      </c>
      <c r="B25" s="27">
        <v>1.63</v>
      </c>
      <c r="F25" s="26">
        <f t="shared" si="1"/>
        <v>1.63</v>
      </c>
    </row>
    <row r="26" spans="1:6" ht="15.75" x14ac:dyDescent="0.5">
      <c r="A26" s="2" t="s">
        <v>15</v>
      </c>
      <c r="B26" s="27">
        <v>838539.68519699993</v>
      </c>
      <c r="F26" s="26">
        <f t="shared" si="1"/>
        <v>838539.68519699993</v>
      </c>
    </row>
    <row r="27" spans="1:6" ht="15.75" x14ac:dyDescent="0.5">
      <c r="A27" s="2" t="s">
        <v>16</v>
      </c>
      <c r="B27" s="27">
        <v>1.44</v>
      </c>
      <c r="F27" s="26">
        <f t="shared" si="1"/>
        <v>1.44</v>
      </c>
    </row>
    <row r="28" spans="1:6" ht="15.75" x14ac:dyDescent="0.5">
      <c r="A28" s="2" t="s">
        <v>17</v>
      </c>
      <c r="B28" s="33">
        <v>0.94799999999999995</v>
      </c>
      <c r="F28" s="32">
        <f t="shared" si="1"/>
        <v>0.94799999999999995</v>
      </c>
    </row>
    <row r="29" spans="1:6" ht="15.75" x14ac:dyDescent="0.5">
      <c r="A29" s="2" t="s">
        <v>18</v>
      </c>
      <c r="B29" s="27">
        <v>36527.494084000755</v>
      </c>
      <c r="F29" s="26">
        <f t="shared" si="1"/>
        <v>36527.494084000755</v>
      </c>
    </row>
    <row r="30" spans="1:6" ht="15.75" x14ac:dyDescent="0.5">
      <c r="A30" s="2" t="s">
        <v>19</v>
      </c>
      <c r="B30" s="27">
        <v>29280.15008400075</v>
      </c>
      <c r="F30" s="26">
        <f t="shared" si="1"/>
        <v>29280.15008400075</v>
      </c>
    </row>
    <row r="31" spans="1:6" ht="15.75" x14ac:dyDescent="0.5">
      <c r="A31" s="2" t="s">
        <v>20</v>
      </c>
      <c r="B31" s="27">
        <v>36313970</v>
      </c>
      <c r="F31" s="26">
        <f t="shared" si="1"/>
        <v>36313970</v>
      </c>
    </row>
    <row r="32" spans="1:6" ht="15.75" x14ac:dyDescent="0.5">
      <c r="A32" s="2" t="s">
        <v>21</v>
      </c>
      <c r="B32" s="27">
        <v>68250</v>
      </c>
      <c r="F32" s="26">
        <f t="shared" si="1"/>
        <v>68250</v>
      </c>
    </row>
    <row r="33" spans="1:6" ht="15.75" x14ac:dyDescent="0.5">
      <c r="A33" s="2" t="s">
        <v>137</v>
      </c>
      <c r="B33" s="27">
        <v>4493604.1900000004</v>
      </c>
      <c r="F33" s="26">
        <f t="shared" si="1"/>
        <v>4493604.1900000004</v>
      </c>
    </row>
    <row r="34" spans="1:6" ht="15.75" x14ac:dyDescent="0.5">
      <c r="A34" s="2" t="s">
        <v>135</v>
      </c>
      <c r="B34" s="27">
        <v>5307523.92</v>
      </c>
      <c r="F34" s="26">
        <f t="shared" si="1"/>
        <v>5307523.92</v>
      </c>
    </row>
    <row r="35" spans="1:6" ht="15.75" x14ac:dyDescent="0.5">
      <c r="A35" s="2" t="s">
        <v>136</v>
      </c>
      <c r="B35" s="27">
        <v>4273357.0500000007</v>
      </c>
      <c r="F35" s="26">
        <f t="shared" si="1"/>
        <v>4273357.0500000007</v>
      </c>
    </row>
    <row r="36" spans="1:6" ht="15.75" x14ac:dyDescent="0.5">
      <c r="A36" s="2"/>
    </row>
    <row r="37" spans="1:6" s="22" customFormat="1" ht="15.75" x14ac:dyDescent="0.5">
      <c r="A37" s="21" t="s">
        <v>22</v>
      </c>
    </row>
    <row r="38" spans="1:6" s="23" customFormat="1" ht="15.75" x14ac:dyDescent="0.5">
      <c r="A38" s="24" t="s">
        <v>23</v>
      </c>
      <c r="B38" s="28">
        <v>811</v>
      </c>
      <c r="F38" s="30">
        <f t="shared" ref="F38:F42" si="2">SUM(B38:E38)</f>
        <v>811</v>
      </c>
    </row>
    <row r="39" spans="1:6" ht="15.75" x14ac:dyDescent="0.5">
      <c r="A39" s="2" t="s">
        <v>119</v>
      </c>
      <c r="B39" s="29">
        <v>17</v>
      </c>
      <c r="F39" s="30">
        <f t="shared" si="2"/>
        <v>17</v>
      </c>
    </row>
    <row r="40" spans="1:6" ht="15.75" x14ac:dyDescent="0.5">
      <c r="A40" s="2" t="s">
        <v>24</v>
      </c>
      <c r="B40" s="27">
        <v>14202252.989999998</v>
      </c>
      <c r="F40" s="26">
        <f t="shared" si="2"/>
        <v>14202252.989999998</v>
      </c>
    </row>
    <row r="41" spans="1:6" ht="15.75" x14ac:dyDescent="0.5">
      <c r="A41" s="2" t="s">
        <v>25</v>
      </c>
      <c r="B41" s="27">
        <v>484709.54000000004</v>
      </c>
      <c r="F41" s="26">
        <f t="shared" si="2"/>
        <v>484709.54000000004</v>
      </c>
    </row>
    <row r="42" spans="1:6" ht="15.75" x14ac:dyDescent="0.5">
      <c r="A42" s="2" t="s">
        <v>26</v>
      </c>
      <c r="B42" s="27">
        <v>491909.45</v>
      </c>
      <c r="F42" s="26">
        <f t="shared" si="2"/>
        <v>491909.45</v>
      </c>
    </row>
    <row r="43" spans="1:6" ht="15.75" x14ac:dyDescent="0.5">
      <c r="A43" s="2"/>
    </row>
    <row r="44" spans="1:6" s="22" customFormat="1" ht="15.75" x14ac:dyDescent="0.5">
      <c r="A44" s="21" t="s">
        <v>134</v>
      </c>
    </row>
    <row r="45" spans="1:6" ht="15.75" x14ac:dyDescent="0.5">
      <c r="A45" s="2" t="s">
        <v>146</v>
      </c>
      <c r="B45" s="27">
        <v>8461676.3399999999</v>
      </c>
      <c r="F45" s="26">
        <f t="shared" ref="F45:F59" si="3">SUM(B45:E45)</f>
        <v>8461676.3399999999</v>
      </c>
    </row>
    <row r="46" spans="1:6" ht="15.75" x14ac:dyDescent="0.5">
      <c r="A46" s="2" t="s">
        <v>120</v>
      </c>
      <c r="B46" s="27">
        <v>624129.44999999995</v>
      </c>
      <c r="F46" s="26">
        <f t="shared" si="3"/>
        <v>624129.44999999995</v>
      </c>
    </row>
    <row r="47" spans="1:6" ht="15.75" x14ac:dyDescent="0.5">
      <c r="A47" s="2" t="s">
        <v>121</v>
      </c>
      <c r="B47" s="27">
        <v>3896322.23</v>
      </c>
      <c r="F47" s="26">
        <f t="shared" si="3"/>
        <v>3896322.23</v>
      </c>
    </row>
    <row r="48" spans="1:6" ht="15.75" x14ac:dyDescent="0.5">
      <c r="A48" s="2" t="s">
        <v>122</v>
      </c>
      <c r="B48" s="27">
        <v>0</v>
      </c>
      <c r="F48" s="26">
        <f t="shared" si="3"/>
        <v>0</v>
      </c>
    </row>
    <row r="49" spans="1:6" ht="15.75" x14ac:dyDescent="0.5">
      <c r="A49" s="2" t="s">
        <v>123</v>
      </c>
      <c r="B49" s="27">
        <v>129882.04</v>
      </c>
      <c r="F49" s="26">
        <f t="shared" si="3"/>
        <v>129882.04</v>
      </c>
    </row>
    <row r="50" spans="1:6" ht="15.75" x14ac:dyDescent="0.5">
      <c r="A50" s="2" t="s">
        <v>124</v>
      </c>
      <c r="B50" s="27">
        <v>252406.33200000005</v>
      </c>
      <c r="F50" s="26">
        <f t="shared" si="3"/>
        <v>252406.33200000005</v>
      </c>
    </row>
    <row r="51" spans="1:6" ht="15.75" x14ac:dyDescent="0.5">
      <c r="A51" s="2" t="s">
        <v>125</v>
      </c>
      <c r="B51" s="27">
        <v>189304.74900000001</v>
      </c>
      <c r="F51" s="26">
        <f t="shared" si="3"/>
        <v>189304.74900000001</v>
      </c>
    </row>
    <row r="52" spans="1:6" ht="15.75" x14ac:dyDescent="0.5">
      <c r="A52" s="2" t="s">
        <v>126</v>
      </c>
      <c r="B52" s="27">
        <v>126203.16600000003</v>
      </c>
      <c r="F52" s="26">
        <f t="shared" si="3"/>
        <v>126203.16600000003</v>
      </c>
    </row>
    <row r="53" spans="1:6" ht="15.75" x14ac:dyDescent="0.5">
      <c r="A53" s="2" t="s">
        <v>127</v>
      </c>
      <c r="B53" s="27">
        <v>63101.583000000013</v>
      </c>
      <c r="F53" s="26">
        <f t="shared" si="3"/>
        <v>63101.583000000013</v>
      </c>
    </row>
    <row r="54" spans="1:6" ht="15.75" x14ac:dyDescent="0.5">
      <c r="A54" s="2" t="s">
        <v>128</v>
      </c>
      <c r="B54" s="31" t="s">
        <v>153</v>
      </c>
      <c r="F54" s="31" t="s">
        <v>153</v>
      </c>
    </row>
    <row r="55" spans="1:6" ht="15.75" x14ac:dyDescent="0.5">
      <c r="A55" s="2" t="s">
        <v>154</v>
      </c>
      <c r="B55" s="27">
        <v>1708113</v>
      </c>
      <c r="F55" s="26">
        <f t="shared" si="3"/>
        <v>1708113</v>
      </c>
    </row>
    <row r="56" spans="1:6" ht="15.75" x14ac:dyDescent="0.5">
      <c r="A56" s="2" t="s">
        <v>129</v>
      </c>
      <c r="B56" s="27">
        <v>20623729.640000001</v>
      </c>
      <c r="F56" s="26">
        <f t="shared" si="3"/>
        <v>20623729.640000001</v>
      </c>
    </row>
    <row r="57" spans="1:6" ht="15.75" x14ac:dyDescent="0.5">
      <c r="A57" s="2" t="s">
        <v>130</v>
      </c>
      <c r="B57" s="31" t="s">
        <v>153</v>
      </c>
      <c r="F57" s="31" t="s">
        <v>153</v>
      </c>
    </row>
    <row r="58" spans="1:6" ht="15.75" x14ac:dyDescent="0.5">
      <c r="A58" s="2" t="s">
        <v>131</v>
      </c>
      <c r="B58" s="31" t="s">
        <v>153</v>
      </c>
      <c r="F58" s="31" t="s">
        <v>153</v>
      </c>
    </row>
    <row r="59" spans="1:6" ht="15.75" x14ac:dyDescent="0.5">
      <c r="A59" s="3" t="s">
        <v>132</v>
      </c>
      <c r="B59" s="27">
        <v>538069504.75</v>
      </c>
      <c r="F59" s="26">
        <f t="shared" si="3"/>
        <v>538069504.75</v>
      </c>
    </row>
    <row r="60" spans="1:6" ht="15.75" x14ac:dyDescent="0.5">
      <c r="A60" s="2" t="s">
        <v>155</v>
      </c>
      <c r="B60" s="27">
        <v>1987500</v>
      </c>
      <c r="F60" s="26">
        <f>SUM(B60:E60)</f>
        <v>1987500</v>
      </c>
    </row>
    <row r="61" spans="1:6" ht="15.75" x14ac:dyDescent="0.5">
      <c r="A61" s="2" t="s">
        <v>133</v>
      </c>
      <c r="B61" s="27">
        <v>20723561.770000003</v>
      </c>
      <c r="F61" s="26">
        <f>SUM(B61:E61)</f>
        <v>20723561.770000003</v>
      </c>
    </row>
    <row r="62" spans="1:6" ht="15.75" x14ac:dyDescent="0.5">
      <c r="A62" s="2"/>
    </row>
    <row r="63" spans="1:6" s="22" customFormat="1" ht="15.75" x14ac:dyDescent="0.5">
      <c r="A63" s="21" t="s">
        <v>27</v>
      </c>
    </row>
    <row r="64" spans="1:6" ht="15.75" x14ac:dyDescent="0.5">
      <c r="A64" s="2" t="s">
        <v>28</v>
      </c>
      <c r="B64" s="27">
        <v>8581.5400000000009</v>
      </c>
      <c r="F64" s="26">
        <f t="shared" ref="F64:F75" si="4">SUM(B64:E64)</f>
        <v>8581.5400000000009</v>
      </c>
    </row>
    <row r="65" spans="1:6" ht="15.75" x14ac:dyDescent="0.5">
      <c r="A65" s="2" t="s">
        <v>29</v>
      </c>
      <c r="F65" s="26">
        <f t="shared" si="4"/>
        <v>0</v>
      </c>
    </row>
    <row r="66" spans="1:6" ht="15.75" x14ac:dyDescent="0.5">
      <c r="A66" s="2" t="s">
        <v>30</v>
      </c>
      <c r="F66" s="26">
        <f t="shared" si="4"/>
        <v>0</v>
      </c>
    </row>
    <row r="67" spans="1:6" ht="15.75" x14ac:dyDescent="0.5">
      <c r="A67" s="2" t="s">
        <v>31</v>
      </c>
      <c r="B67" s="27">
        <v>78654.600000000006</v>
      </c>
      <c r="F67" s="26">
        <f t="shared" si="4"/>
        <v>78654.600000000006</v>
      </c>
    </row>
    <row r="68" spans="1:6" ht="15.75" x14ac:dyDescent="0.5">
      <c r="A68" s="2" t="s">
        <v>32</v>
      </c>
      <c r="F68" s="26">
        <f t="shared" si="4"/>
        <v>0</v>
      </c>
    </row>
    <row r="69" spans="1:6" ht="15.75" x14ac:dyDescent="0.5">
      <c r="A69" s="2" t="s">
        <v>33</v>
      </c>
      <c r="F69" s="26">
        <f t="shared" si="4"/>
        <v>0</v>
      </c>
    </row>
    <row r="70" spans="1:6" ht="15.75" x14ac:dyDescent="0.5">
      <c r="A70" s="2" t="s">
        <v>34</v>
      </c>
      <c r="F70" s="26">
        <f t="shared" si="4"/>
        <v>0</v>
      </c>
    </row>
    <row r="71" spans="1:6" ht="15.75" x14ac:dyDescent="0.5">
      <c r="A71" s="2" t="s">
        <v>35</v>
      </c>
      <c r="F71" s="26">
        <f t="shared" si="4"/>
        <v>0</v>
      </c>
    </row>
    <row r="72" spans="1:6" ht="15.75" x14ac:dyDescent="0.5">
      <c r="A72" s="2" t="s">
        <v>36</v>
      </c>
      <c r="F72" s="26">
        <f t="shared" si="4"/>
        <v>0</v>
      </c>
    </row>
    <row r="73" spans="1:6" ht="15.75" x14ac:dyDescent="0.5">
      <c r="A73" s="2" t="s">
        <v>37</v>
      </c>
      <c r="F73" s="26">
        <f t="shared" si="4"/>
        <v>0</v>
      </c>
    </row>
    <row r="74" spans="1:6" ht="15.75" x14ac:dyDescent="0.5">
      <c r="A74" s="2" t="s">
        <v>38</v>
      </c>
      <c r="F74" s="26">
        <f t="shared" si="4"/>
        <v>0</v>
      </c>
    </row>
    <row r="75" spans="1:6" ht="15.75" x14ac:dyDescent="0.5">
      <c r="A75" s="2" t="s">
        <v>39</v>
      </c>
      <c r="B75" s="27">
        <v>14387.56</v>
      </c>
      <c r="F75" s="26">
        <f t="shared" si="4"/>
        <v>14387.56</v>
      </c>
    </row>
    <row r="76" spans="1:6" ht="15.75" x14ac:dyDescent="0.5">
      <c r="A76" s="5" t="s">
        <v>40</v>
      </c>
      <c r="F76" s="26">
        <f>SUM(B76:E76)</f>
        <v>0</v>
      </c>
    </row>
    <row r="77" spans="1:6" ht="15.75" x14ac:dyDescent="0.5">
      <c r="A77" s="2"/>
    </row>
    <row r="78" spans="1:6" s="22" customFormat="1" ht="15.75" x14ac:dyDescent="0.5">
      <c r="A78" s="21" t="s">
        <v>41</v>
      </c>
    </row>
    <row r="79" spans="1:6" ht="15.75" x14ac:dyDescent="0.5">
      <c r="A79" s="2" t="s">
        <v>28</v>
      </c>
      <c r="B79" s="27">
        <v>56175.07</v>
      </c>
      <c r="F79" s="26">
        <f t="shared" ref="F79:F91" si="5">SUM(B79:E79)</f>
        <v>56175.07</v>
      </c>
    </row>
    <row r="80" spans="1:6" ht="15.75" x14ac:dyDescent="0.5">
      <c r="A80" s="2" t="s">
        <v>29</v>
      </c>
      <c r="F80" s="26">
        <f t="shared" si="5"/>
        <v>0</v>
      </c>
    </row>
    <row r="81" spans="1:6" ht="15.75" x14ac:dyDescent="0.5">
      <c r="A81" s="2" t="s">
        <v>30</v>
      </c>
      <c r="F81" s="26">
        <f t="shared" si="5"/>
        <v>0</v>
      </c>
    </row>
    <row r="82" spans="1:6" ht="15.75" x14ac:dyDescent="0.5">
      <c r="A82" s="2" t="s">
        <v>31</v>
      </c>
      <c r="F82" s="26">
        <f t="shared" si="5"/>
        <v>0</v>
      </c>
    </row>
    <row r="83" spans="1:6" ht="15.75" x14ac:dyDescent="0.5">
      <c r="A83" s="2" t="s">
        <v>32</v>
      </c>
      <c r="F83" s="26">
        <f t="shared" si="5"/>
        <v>0</v>
      </c>
    </row>
    <row r="84" spans="1:6" ht="15.75" x14ac:dyDescent="0.5">
      <c r="A84" s="2" t="s">
        <v>33</v>
      </c>
      <c r="F84" s="26">
        <f t="shared" si="5"/>
        <v>0</v>
      </c>
    </row>
    <row r="85" spans="1:6" ht="15.75" x14ac:dyDescent="0.5">
      <c r="A85" s="2" t="s">
        <v>34</v>
      </c>
      <c r="F85" s="26">
        <f t="shared" si="5"/>
        <v>0</v>
      </c>
    </row>
    <row r="86" spans="1:6" ht="15.75" x14ac:dyDescent="0.5">
      <c r="A86" s="2" t="s">
        <v>35</v>
      </c>
      <c r="F86" s="26">
        <f t="shared" si="5"/>
        <v>0</v>
      </c>
    </row>
    <row r="87" spans="1:6" ht="15.75" x14ac:dyDescent="0.5">
      <c r="A87" s="2" t="s">
        <v>36</v>
      </c>
      <c r="F87" s="26">
        <f t="shared" si="5"/>
        <v>0</v>
      </c>
    </row>
    <row r="88" spans="1:6" ht="15.75" x14ac:dyDescent="0.5">
      <c r="A88" s="2" t="s">
        <v>37</v>
      </c>
      <c r="F88" s="26">
        <f t="shared" si="5"/>
        <v>0</v>
      </c>
    </row>
    <row r="89" spans="1:6" ht="15.75" x14ac:dyDescent="0.5">
      <c r="A89" s="2" t="s">
        <v>38</v>
      </c>
      <c r="F89" s="26">
        <f t="shared" si="5"/>
        <v>0</v>
      </c>
    </row>
    <row r="90" spans="1:6" ht="15.75" x14ac:dyDescent="0.5">
      <c r="A90" s="2" t="s">
        <v>39</v>
      </c>
      <c r="F90" s="26">
        <f t="shared" si="5"/>
        <v>0</v>
      </c>
    </row>
    <row r="91" spans="1:6" ht="15.75" x14ac:dyDescent="0.5">
      <c r="A91" s="5" t="s">
        <v>40</v>
      </c>
      <c r="F91" s="26">
        <f t="shared" si="5"/>
        <v>0</v>
      </c>
    </row>
    <row r="92" spans="1:6" ht="15.75" x14ac:dyDescent="0.5">
      <c r="A92" s="2"/>
    </row>
    <row r="93" spans="1:6" s="22" customFormat="1" ht="15.75" x14ac:dyDescent="0.5">
      <c r="A93" s="21" t="s">
        <v>42</v>
      </c>
    </row>
    <row r="94" spans="1:6" ht="15.75" x14ac:dyDescent="0.5">
      <c r="A94" s="2" t="s">
        <v>28</v>
      </c>
      <c r="F94" s="26">
        <f t="shared" ref="F94:F101" si="6">SUM(B94:E94)</f>
        <v>0</v>
      </c>
    </row>
    <row r="95" spans="1:6" ht="15.75" x14ac:dyDescent="0.5">
      <c r="A95" s="2" t="s">
        <v>29</v>
      </c>
      <c r="F95" s="26">
        <f t="shared" si="6"/>
        <v>0</v>
      </c>
    </row>
    <row r="96" spans="1:6" ht="15.75" x14ac:dyDescent="0.5">
      <c r="A96" s="2" t="s">
        <v>30</v>
      </c>
      <c r="F96" s="26">
        <f t="shared" si="6"/>
        <v>0</v>
      </c>
    </row>
    <row r="97" spans="1:6" ht="15.75" x14ac:dyDescent="0.5">
      <c r="A97" s="2" t="s">
        <v>31</v>
      </c>
      <c r="F97" s="26">
        <f t="shared" si="6"/>
        <v>0</v>
      </c>
    </row>
    <row r="98" spans="1:6" ht="15.75" x14ac:dyDescent="0.5">
      <c r="A98" s="2" t="s">
        <v>32</v>
      </c>
      <c r="F98" s="26">
        <f t="shared" si="6"/>
        <v>0</v>
      </c>
    </row>
    <row r="99" spans="1:6" ht="15.75" x14ac:dyDescent="0.5">
      <c r="A99" s="2" t="s">
        <v>39</v>
      </c>
      <c r="F99" s="26">
        <f t="shared" si="6"/>
        <v>0</v>
      </c>
    </row>
    <row r="100" spans="1:6" ht="15.75" x14ac:dyDescent="0.5">
      <c r="A100" s="6" t="s">
        <v>40</v>
      </c>
      <c r="F100" s="26">
        <f t="shared" si="6"/>
        <v>0</v>
      </c>
    </row>
    <row r="101" spans="1:6" ht="15.75" x14ac:dyDescent="0.5">
      <c r="A101" s="7"/>
      <c r="F101" s="26">
        <f t="shared" si="6"/>
        <v>0</v>
      </c>
    </row>
    <row r="102" spans="1:6" ht="15.75" x14ac:dyDescent="0.5">
      <c r="A102" s="8" t="s">
        <v>43</v>
      </c>
    </row>
  </sheetData>
  <pageMargins left="0.7" right="0.7" top="0.75" bottom="0.75" header="0.3" footer="0.3"/>
  <pageSetup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2023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Priscilla Owusu</cp:lastModifiedBy>
  <dcterms:created xsi:type="dcterms:W3CDTF">2022-07-29T09:47:39Z</dcterms:created>
  <dcterms:modified xsi:type="dcterms:W3CDTF">2026-05-05T13:49:30Z</dcterms:modified>
</cp:coreProperties>
</file>